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kesh Bisht\rk\"/>
    </mc:Choice>
  </mc:AlternateContent>
  <xr:revisionPtr revIDLastSave="0" documentId="13_ncr:1_{D065AB4F-244F-4F29-9621-ED3BEC05A48A}" xr6:coauthVersionLast="47" xr6:coauthVersionMax="47" xr10:uidLastSave="{00000000-0000-0000-0000-000000000000}"/>
  <bookViews>
    <workbookView xWindow="-108" yWindow="-108" windowWidth="23256" windowHeight="12456" tabRatio="812" activeTab="2" xr2:uid="{9BA3DEE0-5A2D-4F21-8A51-D3774A0B557B}"/>
  </bookViews>
  <sheets>
    <sheet name="YoY Pt Growth" sheetId="23" r:id="rId1"/>
    <sheet name="YoY Sales Growth" sheetId="22" r:id="rId2"/>
    <sheet name="Sales Summary" sheetId="6" r:id="rId3"/>
    <sheet name="CHC Sales - YTD" sheetId="1" r:id="rId4"/>
    <sheet name="OL Sales YTD" sheetId="8" r:id="rId5"/>
    <sheet name="MT- MNT TRACKER" sheetId="9" r:id="rId6"/>
    <sheet name="ABV" sheetId="3" r:id="rId7"/>
    <sheet name="Box Enrollment" sheetId="4" r:id="rId8"/>
    <sheet name="Package Enrollment" sheetId="5" r:id="rId9"/>
    <sheet name="Sheet1" sheetId="24" r:id="rId10"/>
  </sheets>
  <definedNames>
    <definedName name="_xlnm._FilterDatabase" localSheetId="6" hidden="1">ABV!$B$3:$H$22</definedName>
    <definedName name="_xlnm._FilterDatabase" localSheetId="3" hidden="1">'CHC Sales - YTD'!$A$2:$K$31</definedName>
    <definedName name="_xlnm._FilterDatabase" localSheetId="5" hidden="1">'MT- MNT TRACKER'!$A$3:$N$32</definedName>
    <definedName name="_xlnm._FilterDatabase" localSheetId="4" hidden="1">'OL Sales YTD'!$A$2:$E$31</definedName>
    <definedName name="_xlnm._FilterDatabase" localSheetId="8" hidden="1">'Package Enrollment'!$A$3:$O$19</definedName>
    <definedName name="_xlnm._FilterDatabase" localSheetId="0" hidden="1">'YoY Pt Growth'!$DB$3:$DD$32</definedName>
    <definedName name="_xlnm._FilterDatabase" localSheetId="1" hidden="1">'YoY Sales Growth'!$BB$2:$BB$31</definedName>
    <definedName name="East">'MT- MNT TRACKER'!$A$18:$A$18</definedName>
    <definedName name="ExternalData_1" localSheetId="9" hidden="1">Sheet1!$A$1:$DT$34</definedName>
    <definedName name="Mend">DAY(EOMONTH(#REF!,0))</definedName>
    <definedName name="SalesTracker" localSheetId="5">'MT- MNT TRACKER'!#REF!</definedName>
    <definedName name="SalesTracker" localSheetId="4">'OL Sales YTD'!#REF!</definedName>
    <definedName name="SalesTracker">'CHC Sales - YTD'!$G$2:$J$16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5" l="1"/>
  <c r="D19" i="5"/>
  <c r="E19" i="5"/>
  <c r="F19" i="5"/>
  <c r="G19" i="5"/>
  <c r="H19" i="5"/>
  <c r="I19" i="5"/>
  <c r="J19" i="5"/>
  <c r="K19" i="5"/>
  <c r="L19" i="5"/>
  <c r="M19" i="5"/>
  <c r="N19" i="5"/>
  <c r="O19" i="5"/>
  <c r="B19" i="5"/>
  <c r="B5" i="5"/>
  <c r="C5" i="5"/>
  <c r="H5" i="5" s="1"/>
  <c r="D5" i="5"/>
  <c r="E5" i="5"/>
  <c r="F5" i="5"/>
  <c r="G5" i="5"/>
  <c r="I5" i="5"/>
  <c r="J5" i="5"/>
  <c r="K5" i="5"/>
  <c r="L5" i="5"/>
  <c r="M5" i="5"/>
  <c r="N5" i="5"/>
  <c r="B6" i="5"/>
  <c r="C6" i="5"/>
  <c r="D6" i="5"/>
  <c r="E6" i="5"/>
  <c r="F6" i="5"/>
  <c r="G6" i="5"/>
  <c r="I6" i="5"/>
  <c r="J6" i="5"/>
  <c r="K6" i="5"/>
  <c r="L6" i="5"/>
  <c r="M6" i="5"/>
  <c r="N6" i="5"/>
  <c r="B7" i="5"/>
  <c r="C7" i="5"/>
  <c r="D7" i="5"/>
  <c r="E7" i="5"/>
  <c r="F7" i="5"/>
  <c r="G7" i="5"/>
  <c r="I7" i="5"/>
  <c r="J7" i="5"/>
  <c r="K7" i="5"/>
  <c r="L7" i="5"/>
  <c r="M7" i="5"/>
  <c r="N7" i="5"/>
  <c r="B8" i="5"/>
  <c r="C8" i="5"/>
  <c r="D8" i="5"/>
  <c r="E8" i="5"/>
  <c r="F8" i="5"/>
  <c r="G8" i="5"/>
  <c r="I8" i="5"/>
  <c r="J8" i="5"/>
  <c r="K8" i="5"/>
  <c r="L8" i="5"/>
  <c r="M8" i="5"/>
  <c r="N8" i="5"/>
  <c r="B9" i="5"/>
  <c r="C9" i="5"/>
  <c r="D9" i="5"/>
  <c r="E9" i="5"/>
  <c r="F9" i="5"/>
  <c r="G9" i="5"/>
  <c r="I9" i="5"/>
  <c r="J9" i="5"/>
  <c r="K9" i="5"/>
  <c r="L9" i="5"/>
  <c r="M9" i="5"/>
  <c r="N9" i="5"/>
  <c r="B10" i="5"/>
  <c r="C10" i="5"/>
  <c r="D10" i="5"/>
  <c r="E10" i="5"/>
  <c r="F10" i="5"/>
  <c r="G10" i="5"/>
  <c r="I10" i="5"/>
  <c r="J10" i="5"/>
  <c r="K10" i="5"/>
  <c r="L10" i="5"/>
  <c r="M10" i="5"/>
  <c r="N10" i="5"/>
  <c r="B11" i="5"/>
  <c r="C11" i="5"/>
  <c r="D11" i="5"/>
  <c r="E11" i="5"/>
  <c r="F11" i="5"/>
  <c r="G11" i="5"/>
  <c r="I11" i="5"/>
  <c r="J11" i="5"/>
  <c r="K11" i="5"/>
  <c r="L11" i="5"/>
  <c r="O11" i="5" s="1"/>
  <c r="M11" i="5"/>
  <c r="N11" i="5"/>
  <c r="B12" i="5"/>
  <c r="C12" i="5"/>
  <c r="D12" i="5"/>
  <c r="E12" i="5"/>
  <c r="F12" i="5"/>
  <c r="G12" i="5"/>
  <c r="I12" i="5"/>
  <c r="J12" i="5"/>
  <c r="K12" i="5"/>
  <c r="L12" i="5"/>
  <c r="M12" i="5"/>
  <c r="N12" i="5"/>
  <c r="B13" i="5"/>
  <c r="C13" i="5"/>
  <c r="D13" i="5"/>
  <c r="E13" i="5"/>
  <c r="F13" i="5"/>
  <c r="G13" i="5"/>
  <c r="I13" i="5"/>
  <c r="J13" i="5"/>
  <c r="K13" i="5"/>
  <c r="L13" i="5"/>
  <c r="M13" i="5"/>
  <c r="N13" i="5"/>
  <c r="B14" i="5"/>
  <c r="C14" i="5"/>
  <c r="D14" i="5"/>
  <c r="E14" i="5"/>
  <c r="F14" i="5"/>
  <c r="G14" i="5"/>
  <c r="I14" i="5"/>
  <c r="J14" i="5"/>
  <c r="K14" i="5"/>
  <c r="L14" i="5"/>
  <c r="M14" i="5"/>
  <c r="N14" i="5"/>
  <c r="B15" i="5"/>
  <c r="C15" i="5"/>
  <c r="D15" i="5"/>
  <c r="E15" i="5"/>
  <c r="F15" i="5"/>
  <c r="G15" i="5"/>
  <c r="I15" i="5"/>
  <c r="J15" i="5"/>
  <c r="K15" i="5"/>
  <c r="L15" i="5"/>
  <c r="M15" i="5"/>
  <c r="N15" i="5"/>
  <c r="B16" i="5"/>
  <c r="C16" i="5"/>
  <c r="D16" i="5"/>
  <c r="E16" i="5"/>
  <c r="F16" i="5"/>
  <c r="G16" i="5"/>
  <c r="I16" i="5"/>
  <c r="J16" i="5"/>
  <c r="K16" i="5"/>
  <c r="L16" i="5"/>
  <c r="M16" i="5"/>
  <c r="N16" i="5"/>
  <c r="B17" i="5"/>
  <c r="C17" i="5"/>
  <c r="D17" i="5"/>
  <c r="H17" i="5" s="1"/>
  <c r="E17" i="5"/>
  <c r="F17" i="5"/>
  <c r="G17" i="5"/>
  <c r="I17" i="5"/>
  <c r="J17" i="5"/>
  <c r="K17" i="5"/>
  <c r="L17" i="5"/>
  <c r="M17" i="5"/>
  <c r="N17" i="5"/>
  <c r="B18" i="5"/>
  <c r="C18" i="5"/>
  <c r="D18" i="5"/>
  <c r="E18" i="5"/>
  <c r="F18" i="5"/>
  <c r="G18" i="5"/>
  <c r="I18" i="5"/>
  <c r="J18" i="5"/>
  <c r="K18" i="5"/>
  <c r="L18" i="5"/>
  <c r="M18" i="5"/>
  <c r="N18" i="5"/>
  <c r="O17" i="5" l="1"/>
  <c r="O15" i="5"/>
  <c r="H16" i="5"/>
  <c r="H15" i="5"/>
  <c r="H10" i="5"/>
  <c r="H13" i="5"/>
  <c r="O14" i="5"/>
  <c r="H9" i="5"/>
  <c r="H14" i="5"/>
  <c r="H6" i="5"/>
  <c r="H18" i="5"/>
  <c r="O12" i="5"/>
  <c r="O10" i="5"/>
  <c r="O8" i="5"/>
  <c r="O6" i="5"/>
  <c r="O18" i="5"/>
  <c r="O13" i="5"/>
  <c r="H12" i="5"/>
  <c r="H11" i="5"/>
  <c r="O7" i="5"/>
  <c r="O16" i="5"/>
  <c r="O9" i="5"/>
  <c r="H8" i="5"/>
  <c r="H7" i="5"/>
  <c r="O5" i="5"/>
  <c r="B5" i="6" l="1"/>
  <c r="E5" i="6"/>
  <c r="E4" i="6"/>
  <c r="F5" i="6"/>
  <c r="F4" i="6"/>
  <c r="B4" i="6"/>
  <c r="C12" i="6"/>
  <c r="C11" i="6"/>
  <c r="C14" i="6"/>
  <c r="C13" i="6"/>
  <c r="G5" i="6" l="1"/>
  <c r="F6" i="6"/>
  <c r="D5" i="6"/>
  <c r="C5" i="6"/>
  <c r="G4" i="6"/>
  <c r="D4" i="6"/>
  <c r="C4" i="6"/>
  <c r="G32" i="9"/>
  <c r="H32" i="9"/>
  <c r="G5" i="9"/>
  <c r="H5" i="9"/>
  <c r="G6" i="9"/>
  <c r="H6" i="9"/>
  <c r="G7" i="9"/>
  <c r="H7" i="9" s="1"/>
  <c r="G8" i="9"/>
  <c r="H8" i="9"/>
  <c r="G9" i="9"/>
  <c r="H9" i="9"/>
  <c r="G10" i="9"/>
  <c r="H10" i="9"/>
  <c r="G11" i="9"/>
  <c r="H11" i="9" s="1"/>
  <c r="G12" i="9"/>
  <c r="H12" i="9"/>
  <c r="G13" i="9"/>
  <c r="H13" i="9"/>
  <c r="G14" i="9"/>
  <c r="H14" i="9"/>
  <c r="G15" i="9"/>
  <c r="H15" i="9" s="1"/>
  <c r="G16" i="9"/>
  <c r="H16" i="9"/>
  <c r="G17" i="9"/>
  <c r="H17" i="9"/>
  <c r="G18" i="9"/>
  <c r="H18" i="9"/>
  <c r="G19" i="9"/>
  <c r="H19" i="9" s="1"/>
  <c r="G20" i="9"/>
  <c r="H20" i="9"/>
  <c r="G21" i="9"/>
  <c r="H21" i="9"/>
  <c r="G22" i="9"/>
  <c r="H22" i="9"/>
  <c r="G23" i="9"/>
  <c r="H23" i="9" s="1"/>
  <c r="G24" i="9"/>
  <c r="H24" i="9"/>
  <c r="G25" i="9"/>
  <c r="H25" i="9"/>
  <c r="G26" i="9"/>
  <c r="H26" i="9"/>
  <c r="G27" i="9"/>
  <c r="H27" i="9" s="1"/>
  <c r="G28" i="9"/>
  <c r="H28" i="9"/>
  <c r="G29" i="9"/>
  <c r="H29" i="9"/>
  <c r="G30" i="9"/>
  <c r="H30" i="9"/>
  <c r="G31" i="9"/>
  <c r="H31" i="9" s="1"/>
  <c r="H4" i="9"/>
  <c r="G4" i="9"/>
  <c r="DC32" i="23"/>
  <c r="DD32" i="23"/>
  <c r="DB32" i="23"/>
  <c r="DD5" i="23"/>
  <c r="DD6" i="23"/>
  <c r="DD7" i="23"/>
  <c r="DD8" i="23"/>
  <c r="DD9" i="23"/>
  <c r="DD10" i="23"/>
  <c r="DD11" i="23"/>
  <c r="DD12" i="23"/>
  <c r="DD13" i="23"/>
  <c r="DD14" i="23"/>
  <c r="DD15" i="23"/>
  <c r="DD16" i="23"/>
  <c r="DD17" i="23"/>
  <c r="DD18" i="23"/>
  <c r="DD19" i="23"/>
  <c r="DD20" i="23"/>
  <c r="DD21" i="23"/>
  <c r="DD22" i="23"/>
  <c r="DD23" i="23"/>
  <c r="DD24" i="23"/>
  <c r="DD25" i="23"/>
  <c r="DD26" i="23"/>
  <c r="DD27" i="23"/>
  <c r="DD28" i="23"/>
  <c r="DD29" i="23"/>
  <c r="DD30" i="23"/>
  <c r="DD31" i="23"/>
  <c r="CW5" i="23"/>
  <c r="CY5" i="23" s="1"/>
  <c r="CX5" i="23"/>
  <c r="CW6" i="23"/>
  <c r="CX6" i="23"/>
  <c r="CW7" i="23"/>
  <c r="CX7" i="23"/>
  <c r="CW8" i="23"/>
  <c r="CY8" i="23" s="1"/>
  <c r="CX8" i="23"/>
  <c r="CW9" i="23"/>
  <c r="CX9" i="23"/>
  <c r="CW10" i="23"/>
  <c r="CX10" i="23"/>
  <c r="CW11" i="23"/>
  <c r="CX11" i="23"/>
  <c r="CY11" i="23" s="1"/>
  <c r="CW12" i="23"/>
  <c r="CY12" i="23" s="1"/>
  <c r="CX12" i="23"/>
  <c r="CW13" i="23"/>
  <c r="CX13" i="23"/>
  <c r="CW14" i="23"/>
  <c r="CY14" i="23" s="1"/>
  <c r="CX14" i="23"/>
  <c r="CW15" i="23"/>
  <c r="CX15" i="23"/>
  <c r="CW16" i="23"/>
  <c r="CY16" i="23" s="1"/>
  <c r="CX16" i="23"/>
  <c r="CW17" i="23"/>
  <c r="CX17" i="23"/>
  <c r="CW18" i="23"/>
  <c r="CX18" i="23"/>
  <c r="CW19" i="23"/>
  <c r="CX19" i="23"/>
  <c r="CW20" i="23"/>
  <c r="CY20" i="23" s="1"/>
  <c r="CX20" i="23"/>
  <c r="CW21" i="23"/>
  <c r="CY21" i="23" s="1"/>
  <c r="CX21" i="23"/>
  <c r="CW22" i="23"/>
  <c r="CX22" i="23"/>
  <c r="CW23" i="23"/>
  <c r="CX23" i="23"/>
  <c r="CW24" i="23"/>
  <c r="CY24" i="23" s="1"/>
  <c r="CX24" i="23"/>
  <c r="CW25" i="23"/>
  <c r="CY25" i="23" s="1"/>
  <c r="CX25" i="23"/>
  <c r="CW26" i="23"/>
  <c r="CX26" i="23"/>
  <c r="CW27" i="23"/>
  <c r="CX27" i="23"/>
  <c r="CY27" i="23"/>
  <c r="CW28" i="23"/>
  <c r="CY28" i="23" s="1"/>
  <c r="CX28" i="23"/>
  <c r="CW29" i="23"/>
  <c r="CX29" i="23"/>
  <c r="CY29" i="23" s="1"/>
  <c r="CW30" i="23"/>
  <c r="CX30" i="23"/>
  <c r="CW31" i="23"/>
  <c r="CX31" i="23"/>
  <c r="F32" i="23"/>
  <c r="CX32" i="23" s="1"/>
  <c r="E32" i="23"/>
  <c r="CW32" i="23" s="1"/>
  <c r="G6" i="23"/>
  <c r="G7" i="23"/>
  <c r="G9" i="23"/>
  <c r="G10" i="23"/>
  <c r="G13" i="23"/>
  <c r="G15" i="23"/>
  <c r="G17" i="23"/>
  <c r="G18" i="23"/>
  <c r="G20" i="23"/>
  <c r="G21" i="23"/>
  <c r="G22" i="23"/>
  <c r="G24" i="23"/>
  <c r="G25" i="23"/>
  <c r="G26" i="23"/>
  <c r="G28" i="23"/>
  <c r="G29" i="23"/>
  <c r="G31" i="23"/>
  <c r="BB31" i="22"/>
  <c r="AY22" i="22"/>
  <c r="AY23" i="22"/>
  <c r="AY24" i="22"/>
  <c r="AY25" i="22"/>
  <c r="AY26" i="22"/>
  <c r="AY27" i="22"/>
  <c r="AY28" i="22"/>
  <c r="AY29" i="22"/>
  <c r="AY30" i="22"/>
  <c r="C31" i="22"/>
  <c r="C4" i="4"/>
  <c r="D4" i="4"/>
  <c r="E4" i="4"/>
  <c r="F4" i="4"/>
  <c r="G4" i="4"/>
  <c r="H4" i="4"/>
  <c r="I4" i="4"/>
  <c r="J4" i="4"/>
  <c r="L4" i="4"/>
  <c r="M4" i="4"/>
  <c r="N4" i="4"/>
  <c r="O4" i="4"/>
  <c r="P4" i="4"/>
  <c r="Q4" i="4"/>
  <c r="R4" i="4"/>
  <c r="S4" i="4"/>
  <c r="C5" i="4"/>
  <c r="D5" i="4"/>
  <c r="E5" i="4"/>
  <c r="F5" i="4"/>
  <c r="G5" i="4"/>
  <c r="H5" i="4"/>
  <c r="I5" i="4"/>
  <c r="J5" i="4"/>
  <c r="L5" i="4"/>
  <c r="M5" i="4"/>
  <c r="N5" i="4"/>
  <c r="O5" i="4"/>
  <c r="P5" i="4"/>
  <c r="Q5" i="4"/>
  <c r="R5" i="4"/>
  <c r="S5" i="4"/>
  <c r="C6" i="4"/>
  <c r="D6" i="4"/>
  <c r="E6" i="4"/>
  <c r="F6" i="4"/>
  <c r="G6" i="4"/>
  <c r="H6" i="4"/>
  <c r="I6" i="4"/>
  <c r="J6" i="4"/>
  <c r="L6" i="4"/>
  <c r="M6" i="4"/>
  <c r="N6" i="4"/>
  <c r="O6" i="4"/>
  <c r="P6" i="4"/>
  <c r="Q6" i="4"/>
  <c r="R6" i="4"/>
  <c r="S6" i="4"/>
  <c r="C7" i="4"/>
  <c r="D7" i="4"/>
  <c r="E7" i="4"/>
  <c r="F7" i="4"/>
  <c r="G7" i="4"/>
  <c r="H7" i="4"/>
  <c r="I7" i="4"/>
  <c r="J7" i="4"/>
  <c r="L7" i="4"/>
  <c r="M7" i="4"/>
  <c r="N7" i="4"/>
  <c r="O7" i="4"/>
  <c r="P7" i="4"/>
  <c r="Q7" i="4"/>
  <c r="R7" i="4"/>
  <c r="S7" i="4"/>
  <c r="C8" i="4"/>
  <c r="D8" i="4"/>
  <c r="E8" i="4"/>
  <c r="F8" i="4"/>
  <c r="G8" i="4"/>
  <c r="H8" i="4"/>
  <c r="I8" i="4"/>
  <c r="J8" i="4"/>
  <c r="L8" i="4"/>
  <c r="M8" i="4"/>
  <c r="N8" i="4"/>
  <c r="O8" i="4"/>
  <c r="P8" i="4"/>
  <c r="Q8" i="4"/>
  <c r="R8" i="4"/>
  <c r="S8" i="4"/>
  <c r="C9" i="4"/>
  <c r="D9" i="4"/>
  <c r="E9" i="4"/>
  <c r="F9" i="4"/>
  <c r="G9" i="4"/>
  <c r="H9" i="4"/>
  <c r="I9" i="4"/>
  <c r="J9" i="4"/>
  <c r="L9" i="4"/>
  <c r="M9" i="4"/>
  <c r="N9" i="4"/>
  <c r="O9" i="4"/>
  <c r="P9" i="4"/>
  <c r="Q9" i="4"/>
  <c r="R9" i="4"/>
  <c r="S9" i="4"/>
  <c r="C10" i="4"/>
  <c r="D10" i="4"/>
  <c r="E10" i="4"/>
  <c r="F10" i="4"/>
  <c r="G10" i="4"/>
  <c r="H10" i="4"/>
  <c r="I10" i="4"/>
  <c r="J10" i="4"/>
  <c r="L10" i="4"/>
  <c r="M10" i="4"/>
  <c r="N10" i="4"/>
  <c r="O10" i="4"/>
  <c r="P10" i="4"/>
  <c r="Q10" i="4"/>
  <c r="R10" i="4"/>
  <c r="S10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C12" i="4"/>
  <c r="D12" i="4"/>
  <c r="E12" i="4"/>
  <c r="F12" i="4"/>
  <c r="G12" i="4"/>
  <c r="H12" i="4"/>
  <c r="I12" i="4"/>
  <c r="J12" i="4"/>
  <c r="L12" i="4"/>
  <c r="M12" i="4"/>
  <c r="N12" i="4"/>
  <c r="O12" i="4"/>
  <c r="P12" i="4"/>
  <c r="Q12" i="4"/>
  <c r="R12" i="4"/>
  <c r="S12" i="4"/>
  <c r="C13" i="4"/>
  <c r="D13" i="4"/>
  <c r="E13" i="4"/>
  <c r="F13" i="4"/>
  <c r="G13" i="4"/>
  <c r="H13" i="4"/>
  <c r="I13" i="4"/>
  <c r="J13" i="4"/>
  <c r="L13" i="4"/>
  <c r="M13" i="4"/>
  <c r="N13" i="4"/>
  <c r="O13" i="4"/>
  <c r="P13" i="4"/>
  <c r="Q13" i="4"/>
  <c r="R13" i="4"/>
  <c r="S13" i="4"/>
  <c r="C14" i="4"/>
  <c r="D14" i="4"/>
  <c r="E14" i="4"/>
  <c r="F14" i="4"/>
  <c r="G14" i="4"/>
  <c r="H14" i="4"/>
  <c r="I14" i="4"/>
  <c r="J14" i="4"/>
  <c r="L14" i="4"/>
  <c r="M14" i="4"/>
  <c r="N14" i="4"/>
  <c r="O14" i="4"/>
  <c r="P14" i="4"/>
  <c r="Q14" i="4"/>
  <c r="R14" i="4"/>
  <c r="S14" i="4"/>
  <c r="C15" i="4"/>
  <c r="D15" i="4"/>
  <c r="E15" i="4"/>
  <c r="F15" i="4"/>
  <c r="G15" i="4"/>
  <c r="H15" i="4"/>
  <c r="I15" i="4"/>
  <c r="J15" i="4"/>
  <c r="L15" i="4"/>
  <c r="M15" i="4"/>
  <c r="N15" i="4"/>
  <c r="O15" i="4"/>
  <c r="P15" i="4"/>
  <c r="Q15" i="4"/>
  <c r="R15" i="4"/>
  <c r="S15" i="4"/>
  <c r="C16" i="4"/>
  <c r="D16" i="4"/>
  <c r="E16" i="4"/>
  <c r="F16" i="4"/>
  <c r="G16" i="4"/>
  <c r="H16" i="4"/>
  <c r="I16" i="4"/>
  <c r="J16" i="4"/>
  <c r="L16" i="4"/>
  <c r="M16" i="4"/>
  <c r="N16" i="4"/>
  <c r="O16" i="4"/>
  <c r="P16" i="4"/>
  <c r="Q16" i="4"/>
  <c r="R16" i="4"/>
  <c r="S16" i="4"/>
  <c r="C17" i="4"/>
  <c r="D17" i="4"/>
  <c r="E17" i="4"/>
  <c r="F17" i="4"/>
  <c r="G17" i="4"/>
  <c r="H17" i="4"/>
  <c r="I17" i="4"/>
  <c r="J17" i="4"/>
  <c r="L17" i="4"/>
  <c r="M17" i="4"/>
  <c r="N17" i="4"/>
  <c r="O17" i="4"/>
  <c r="P17" i="4"/>
  <c r="Q17" i="4"/>
  <c r="R17" i="4"/>
  <c r="S17" i="4"/>
  <c r="C18" i="4"/>
  <c r="D18" i="4"/>
  <c r="E18" i="4"/>
  <c r="F18" i="4"/>
  <c r="G18" i="4"/>
  <c r="H18" i="4"/>
  <c r="I18" i="4"/>
  <c r="J18" i="4"/>
  <c r="L18" i="4"/>
  <c r="M18" i="4"/>
  <c r="N18" i="4"/>
  <c r="O18" i="4"/>
  <c r="P18" i="4"/>
  <c r="Q18" i="4"/>
  <c r="R18" i="4"/>
  <c r="S18" i="4"/>
  <c r="C19" i="4"/>
  <c r="D19" i="4"/>
  <c r="E19" i="4"/>
  <c r="F19" i="4"/>
  <c r="G19" i="4"/>
  <c r="H19" i="4"/>
  <c r="I19" i="4"/>
  <c r="J19" i="4"/>
  <c r="L19" i="4"/>
  <c r="M19" i="4"/>
  <c r="N19" i="4"/>
  <c r="O19" i="4"/>
  <c r="P19" i="4"/>
  <c r="Q19" i="4"/>
  <c r="R19" i="4"/>
  <c r="S19" i="4"/>
  <c r="C20" i="4"/>
  <c r="D20" i="4"/>
  <c r="E20" i="4"/>
  <c r="F20" i="4"/>
  <c r="G20" i="4"/>
  <c r="H20" i="4"/>
  <c r="I20" i="4"/>
  <c r="J20" i="4"/>
  <c r="L20" i="4"/>
  <c r="M20" i="4"/>
  <c r="N20" i="4"/>
  <c r="O20" i="4"/>
  <c r="P20" i="4"/>
  <c r="Q20" i="4"/>
  <c r="R20" i="4"/>
  <c r="S20" i="4"/>
  <c r="C21" i="4"/>
  <c r="D21" i="4"/>
  <c r="E21" i="4"/>
  <c r="F21" i="4"/>
  <c r="G21" i="4"/>
  <c r="H21" i="4"/>
  <c r="I21" i="4"/>
  <c r="J21" i="4"/>
  <c r="L21" i="4"/>
  <c r="M21" i="4"/>
  <c r="N21" i="4"/>
  <c r="O21" i="4"/>
  <c r="P21" i="4"/>
  <c r="Q21" i="4"/>
  <c r="R21" i="4"/>
  <c r="S21" i="4"/>
  <c r="C22" i="4"/>
  <c r="D22" i="4"/>
  <c r="E22" i="4"/>
  <c r="F22" i="4"/>
  <c r="G22" i="4"/>
  <c r="H22" i="4"/>
  <c r="I22" i="4"/>
  <c r="J22" i="4"/>
  <c r="L22" i="4"/>
  <c r="M22" i="4"/>
  <c r="N22" i="4"/>
  <c r="O22" i="4"/>
  <c r="P22" i="4"/>
  <c r="Q22" i="4"/>
  <c r="R22" i="4"/>
  <c r="S22" i="4"/>
  <c r="C23" i="4"/>
  <c r="D23" i="4"/>
  <c r="E23" i="4"/>
  <c r="F23" i="4"/>
  <c r="G23" i="4"/>
  <c r="H23" i="4"/>
  <c r="I23" i="4"/>
  <c r="J23" i="4"/>
  <c r="L23" i="4"/>
  <c r="M23" i="4"/>
  <c r="N23" i="4"/>
  <c r="O23" i="4"/>
  <c r="P23" i="4"/>
  <c r="Q23" i="4"/>
  <c r="R23" i="4"/>
  <c r="S23" i="4"/>
  <c r="C24" i="4"/>
  <c r="D24" i="4"/>
  <c r="E24" i="4"/>
  <c r="F24" i="4"/>
  <c r="G24" i="4"/>
  <c r="H24" i="4"/>
  <c r="I24" i="4"/>
  <c r="J24" i="4"/>
  <c r="L24" i="4"/>
  <c r="M24" i="4"/>
  <c r="N24" i="4"/>
  <c r="O24" i="4"/>
  <c r="P24" i="4"/>
  <c r="Q24" i="4"/>
  <c r="R24" i="4"/>
  <c r="S24" i="4"/>
  <c r="C25" i="4"/>
  <c r="D25" i="4"/>
  <c r="E25" i="4"/>
  <c r="F25" i="4"/>
  <c r="G25" i="4"/>
  <c r="H25" i="4"/>
  <c r="I25" i="4"/>
  <c r="J25" i="4"/>
  <c r="L25" i="4"/>
  <c r="M25" i="4"/>
  <c r="N25" i="4"/>
  <c r="O25" i="4"/>
  <c r="P25" i="4"/>
  <c r="Q25" i="4"/>
  <c r="R25" i="4"/>
  <c r="S25" i="4"/>
  <c r="C26" i="4"/>
  <c r="D26" i="4"/>
  <c r="E26" i="4"/>
  <c r="F26" i="4"/>
  <c r="G26" i="4"/>
  <c r="H26" i="4"/>
  <c r="I26" i="4"/>
  <c r="J26" i="4"/>
  <c r="L26" i="4"/>
  <c r="M26" i="4"/>
  <c r="N26" i="4"/>
  <c r="O26" i="4"/>
  <c r="P26" i="4"/>
  <c r="Q26" i="4"/>
  <c r="R26" i="4"/>
  <c r="S26" i="4"/>
  <c r="C27" i="4"/>
  <c r="D27" i="4"/>
  <c r="E27" i="4"/>
  <c r="F27" i="4"/>
  <c r="G27" i="4"/>
  <c r="H27" i="4"/>
  <c r="I27" i="4"/>
  <c r="J27" i="4"/>
  <c r="L27" i="4"/>
  <c r="M27" i="4"/>
  <c r="N27" i="4"/>
  <c r="O27" i="4"/>
  <c r="P27" i="4"/>
  <c r="Q27" i="4"/>
  <c r="R27" i="4"/>
  <c r="S27" i="4"/>
  <c r="C28" i="4"/>
  <c r="D28" i="4"/>
  <c r="E28" i="4"/>
  <c r="F28" i="4"/>
  <c r="G28" i="4"/>
  <c r="H28" i="4"/>
  <c r="I28" i="4"/>
  <c r="J28" i="4"/>
  <c r="L28" i="4"/>
  <c r="M28" i="4"/>
  <c r="N28" i="4"/>
  <c r="O28" i="4"/>
  <c r="P28" i="4"/>
  <c r="Q28" i="4"/>
  <c r="R28" i="4"/>
  <c r="S28" i="4"/>
  <c r="C29" i="4"/>
  <c r="D29" i="4"/>
  <c r="E29" i="4"/>
  <c r="F29" i="4"/>
  <c r="G29" i="4"/>
  <c r="H29" i="4"/>
  <c r="I29" i="4"/>
  <c r="J29" i="4"/>
  <c r="L29" i="4"/>
  <c r="M29" i="4"/>
  <c r="N29" i="4"/>
  <c r="O29" i="4"/>
  <c r="P29" i="4"/>
  <c r="Q29" i="4"/>
  <c r="R29" i="4"/>
  <c r="S29" i="4"/>
  <c r="C30" i="4"/>
  <c r="D30" i="4"/>
  <c r="E30" i="4"/>
  <c r="F30" i="4"/>
  <c r="G30" i="4"/>
  <c r="H30" i="4"/>
  <c r="I30" i="4"/>
  <c r="J30" i="4"/>
  <c r="L30" i="4"/>
  <c r="M30" i="4"/>
  <c r="N30" i="4"/>
  <c r="O30" i="4"/>
  <c r="P30" i="4"/>
  <c r="Q30" i="4"/>
  <c r="R30" i="4"/>
  <c r="S30" i="4"/>
  <c r="C5" i="3"/>
  <c r="D5" i="3"/>
  <c r="F5" i="3"/>
  <c r="G5" i="3"/>
  <c r="L5" i="3"/>
  <c r="M5" i="3"/>
  <c r="O5" i="3"/>
  <c r="P5" i="3"/>
  <c r="C6" i="3"/>
  <c r="D6" i="3"/>
  <c r="F6" i="3"/>
  <c r="G6" i="3"/>
  <c r="J6" i="3" s="1"/>
  <c r="L6" i="3"/>
  <c r="M6" i="3"/>
  <c r="O6" i="3"/>
  <c r="P6" i="3"/>
  <c r="C7" i="3"/>
  <c r="D7" i="3"/>
  <c r="F7" i="3"/>
  <c r="G7" i="3"/>
  <c r="L7" i="3"/>
  <c r="M7" i="3"/>
  <c r="O7" i="3"/>
  <c r="P7" i="3"/>
  <c r="C8" i="3"/>
  <c r="D8" i="3"/>
  <c r="F8" i="3"/>
  <c r="G8" i="3"/>
  <c r="L8" i="3"/>
  <c r="M8" i="3"/>
  <c r="O8" i="3"/>
  <c r="P8" i="3"/>
  <c r="C9" i="3"/>
  <c r="D9" i="3"/>
  <c r="F9" i="3"/>
  <c r="G9" i="3"/>
  <c r="L9" i="3"/>
  <c r="M9" i="3"/>
  <c r="O9" i="3"/>
  <c r="P9" i="3"/>
  <c r="C10" i="3"/>
  <c r="D10" i="3"/>
  <c r="F10" i="3"/>
  <c r="G10" i="3"/>
  <c r="J10" i="3" s="1"/>
  <c r="L10" i="3"/>
  <c r="M10" i="3"/>
  <c r="O10" i="3"/>
  <c r="P10" i="3"/>
  <c r="C11" i="3"/>
  <c r="D11" i="3"/>
  <c r="F11" i="3"/>
  <c r="G11" i="3"/>
  <c r="L11" i="3"/>
  <c r="M11" i="3"/>
  <c r="O11" i="3"/>
  <c r="P11" i="3"/>
  <c r="C12" i="3"/>
  <c r="E12" i="3" s="1"/>
  <c r="D12" i="3"/>
  <c r="F12" i="3"/>
  <c r="G12" i="3"/>
  <c r="L12" i="3"/>
  <c r="M12" i="3"/>
  <c r="O12" i="3"/>
  <c r="P12" i="3"/>
  <c r="C13" i="3"/>
  <c r="D13" i="3"/>
  <c r="F13" i="3"/>
  <c r="G13" i="3"/>
  <c r="L13" i="3"/>
  <c r="M13" i="3"/>
  <c r="O13" i="3"/>
  <c r="P13" i="3"/>
  <c r="C14" i="3"/>
  <c r="D14" i="3"/>
  <c r="F14" i="3"/>
  <c r="G14" i="3"/>
  <c r="L14" i="3"/>
  <c r="M14" i="3"/>
  <c r="O14" i="3"/>
  <c r="P14" i="3"/>
  <c r="C15" i="3"/>
  <c r="E15" i="3" s="1"/>
  <c r="D15" i="3"/>
  <c r="F15" i="3"/>
  <c r="G15" i="3"/>
  <c r="H15" i="3" s="1"/>
  <c r="L15" i="3"/>
  <c r="M15" i="3"/>
  <c r="O15" i="3"/>
  <c r="P15" i="3"/>
  <c r="C16" i="3"/>
  <c r="D16" i="3"/>
  <c r="F16" i="3"/>
  <c r="G16" i="3"/>
  <c r="L16" i="3"/>
  <c r="M16" i="3"/>
  <c r="O16" i="3"/>
  <c r="P16" i="3"/>
  <c r="C17" i="3"/>
  <c r="D17" i="3"/>
  <c r="F17" i="3"/>
  <c r="G17" i="3"/>
  <c r="L17" i="3"/>
  <c r="M17" i="3"/>
  <c r="O17" i="3"/>
  <c r="P17" i="3"/>
  <c r="C18" i="3"/>
  <c r="D18" i="3"/>
  <c r="F18" i="3"/>
  <c r="G18" i="3"/>
  <c r="L18" i="3"/>
  <c r="M18" i="3"/>
  <c r="O18" i="3"/>
  <c r="P18" i="3"/>
  <c r="C19" i="3"/>
  <c r="D19" i="3"/>
  <c r="F19" i="3"/>
  <c r="G19" i="3"/>
  <c r="L19" i="3"/>
  <c r="M19" i="3"/>
  <c r="O19" i="3"/>
  <c r="R19" i="3" s="1"/>
  <c r="P19" i="3"/>
  <c r="C20" i="3"/>
  <c r="D20" i="3"/>
  <c r="F20" i="3"/>
  <c r="G20" i="3"/>
  <c r="L20" i="3"/>
  <c r="M20" i="3"/>
  <c r="O20" i="3"/>
  <c r="P20" i="3"/>
  <c r="C21" i="3"/>
  <c r="D21" i="3"/>
  <c r="F21" i="3"/>
  <c r="G21" i="3"/>
  <c r="L21" i="3"/>
  <c r="M21" i="3"/>
  <c r="O21" i="3"/>
  <c r="Q21" i="3" s="1"/>
  <c r="P21" i="3"/>
  <c r="C22" i="3"/>
  <c r="I22" i="3" s="1"/>
  <c r="D22" i="3"/>
  <c r="F22" i="3"/>
  <c r="G22" i="3"/>
  <c r="L22" i="3"/>
  <c r="M22" i="3"/>
  <c r="O22" i="3"/>
  <c r="P22" i="3"/>
  <c r="C23" i="3"/>
  <c r="D23" i="3"/>
  <c r="F23" i="3"/>
  <c r="G23" i="3"/>
  <c r="L23" i="3"/>
  <c r="M23" i="3"/>
  <c r="O23" i="3"/>
  <c r="P23" i="3"/>
  <c r="C24" i="3"/>
  <c r="D24" i="3"/>
  <c r="F24" i="3"/>
  <c r="G24" i="3"/>
  <c r="L24" i="3"/>
  <c r="M24" i="3"/>
  <c r="O24" i="3"/>
  <c r="P24" i="3"/>
  <c r="C25" i="3"/>
  <c r="D25" i="3"/>
  <c r="F25" i="3"/>
  <c r="G25" i="3"/>
  <c r="L25" i="3"/>
  <c r="M25" i="3"/>
  <c r="O25" i="3"/>
  <c r="P25" i="3"/>
  <c r="C26" i="3"/>
  <c r="D26" i="3"/>
  <c r="F26" i="3"/>
  <c r="G26" i="3"/>
  <c r="J26" i="3" s="1"/>
  <c r="L26" i="3"/>
  <c r="M26" i="3"/>
  <c r="O26" i="3"/>
  <c r="P26" i="3"/>
  <c r="C27" i="3"/>
  <c r="D27" i="3"/>
  <c r="F27" i="3"/>
  <c r="G27" i="3"/>
  <c r="L27" i="3"/>
  <c r="M27" i="3"/>
  <c r="O27" i="3"/>
  <c r="P27" i="3"/>
  <c r="C28" i="3"/>
  <c r="D28" i="3"/>
  <c r="F28" i="3"/>
  <c r="G28" i="3"/>
  <c r="L28" i="3"/>
  <c r="M28" i="3"/>
  <c r="O28" i="3"/>
  <c r="P28" i="3"/>
  <c r="C29" i="3"/>
  <c r="I29" i="3" s="1"/>
  <c r="D29" i="3"/>
  <c r="F29" i="3"/>
  <c r="G29" i="3"/>
  <c r="L29" i="3"/>
  <c r="M29" i="3"/>
  <c r="O29" i="3"/>
  <c r="P29" i="3"/>
  <c r="C30" i="3"/>
  <c r="D30" i="3"/>
  <c r="F30" i="3"/>
  <c r="I30" i="3" s="1"/>
  <c r="G30" i="3"/>
  <c r="L30" i="3"/>
  <c r="M30" i="3"/>
  <c r="O30" i="3"/>
  <c r="P30" i="3"/>
  <c r="C31" i="3"/>
  <c r="D31" i="3"/>
  <c r="F31" i="3"/>
  <c r="G31" i="3"/>
  <c r="L31" i="3"/>
  <c r="M31" i="3"/>
  <c r="O31" i="3"/>
  <c r="P31" i="3"/>
  <c r="C4" i="3"/>
  <c r="K5" i="9"/>
  <c r="Q5" i="9" s="1"/>
  <c r="W5" i="9" s="1"/>
  <c r="M5" i="9"/>
  <c r="K6" i="9"/>
  <c r="Q6" i="9" s="1"/>
  <c r="W6" i="9" s="1"/>
  <c r="M6" i="9"/>
  <c r="K7" i="9"/>
  <c r="Q7" i="9" s="1"/>
  <c r="W7" i="9" s="1"/>
  <c r="M7" i="9"/>
  <c r="K8" i="9"/>
  <c r="Q8" i="9" s="1"/>
  <c r="W8" i="9" s="1"/>
  <c r="M8" i="9"/>
  <c r="S8" i="9" s="1"/>
  <c r="Y8" i="9" s="1"/>
  <c r="K9" i="9"/>
  <c r="Q9" i="9" s="1"/>
  <c r="W9" i="9" s="1"/>
  <c r="M9" i="9"/>
  <c r="S9" i="9" s="1"/>
  <c r="Y9" i="9" s="1"/>
  <c r="K10" i="9"/>
  <c r="Q10" i="9" s="1"/>
  <c r="W10" i="9" s="1"/>
  <c r="M10" i="9"/>
  <c r="S10" i="9" s="1"/>
  <c r="Y10" i="9" s="1"/>
  <c r="K11" i="9"/>
  <c r="Q11" i="9" s="1"/>
  <c r="W11" i="9" s="1"/>
  <c r="M11" i="9"/>
  <c r="S11" i="9" s="1"/>
  <c r="Y11" i="9" s="1"/>
  <c r="K12" i="9"/>
  <c r="Q12" i="9" s="1"/>
  <c r="W12" i="9" s="1"/>
  <c r="M12" i="9"/>
  <c r="K13" i="9"/>
  <c r="Q13" i="9" s="1"/>
  <c r="W13" i="9" s="1"/>
  <c r="M13" i="9"/>
  <c r="K14" i="9"/>
  <c r="Q14" i="9" s="1"/>
  <c r="W14" i="9" s="1"/>
  <c r="M14" i="9"/>
  <c r="K15" i="9"/>
  <c r="Q15" i="9" s="1"/>
  <c r="W15" i="9" s="1"/>
  <c r="M15" i="9"/>
  <c r="K16" i="9"/>
  <c r="Q16" i="9" s="1"/>
  <c r="W16" i="9" s="1"/>
  <c r="M16" i="9"/>
  <c r="S16" i="9" s="1"/>
  <c r="Y16" i="9" s="1"/>
  <c r="K17" i="9"/>
  <c r="Q17" i="9" s="1"/>
  <c r="W17" i="9" s="1"/>
  <c r="M17" i="9"/>
  <c r="S17" i="9" s="1"/>
  <c r="Y17" i="9" s="1"/>
  <c r="K18" i="9"/>
  <c r="Q18" i="9" s="1"/>
  <c r="W18" i="9" s="1"/>
  <c r="M18" i="9"/>
  <c r="S18" i="9" s="1"/>
  <c r="Y18" i="9" s="1"/>
  <c r="K19" i="9"/>
  <c r="Q19" i="9" s="1"/>
  <c r="W19" i="9" s="1"/>
  <c r="M19" i="9"/>
  <c r="S19" i="9" s="1"/>
  <c r="Y19" i="9" s="1"/>
  <c r="K20" i="9"/>
  <c r="Q20" i="9" s="1"/>
  <c r="W20" i="9" s="1"/>
  <c r="M20" i="9"/>
  <c r="K21" i="9"/>
  <c r="Q21" i="9" s="1"/>
  <c r="W21" i="9" s="1"/>
  <c r="M21" i="9"/>
  <c r="K22" i="9"/>
  <c r="Q22" i="9" s="1"/>
  <c r="W22" i="9" s="1"/>
  <c r="M22" i="9"/>
  <c r="S22" i="9" s="1"/>
  <c r="Y22" i="9" s="1"/>
  <c r="K23" i="9"/>
  <c r="Q23" i="9" s="1"/>
  <c r="W23" i="9" s="1"/>
  <c r="M23" i="9"/>
  <c r="K24" i="9"/>
  <c r="Q24" i="9" s="1"/>
  <c r="W24" i="9" s="1"/>
  <c r="M24" i="9"/>
  <c r="K25" i="9"/>
  <c r="Q25" i="9" s="1"/>
  <c r="W25" i="9" s="1"/>
  <c r="M25" i="9"/>
  <c r="S25" i="9" s="1"/>
  <c r="Y25" i="9" s="1"/>
  <c r="K26" i="9"/>
  <c r="Q26" i="9" s="1"/>
  <c r="W26" i="9" s="1"/>
  <c r="M26" i="9"/>
  <c r="S26" i="9" s="1"/>
  <c r="Y26" i="9" s="1"/>
  <c r="K27" i="9"/>
  <c r="Q27" i="9" s="1"/>
  <c r="W27" i="9" s="1"/>
  <c r="M27" i="9"/>
  <c r="S27" i="9" s="1"/>
  <c r="Y27" i="9" s="1"/>
  <c r="K28" i="9"/>
  <c r="Q28" i="9" s="1"/>
  <c r="W28" i="9" s="1"/>
  <c r="M28" i="9"/>
  <c r="K29" i="9"/>
  <c r="Q29" i="9" s="1"/>
  <c r="W29" i="9" s="1"/>
  <c r="M29" i="9"/>
  <c r="K30" i="9"/>
  <c r="Q30" i="9" s="1"/>
  <c r="W30" i="9" s="1"/>
  <c r="M30" i="9"/>
  <c r="K31" i="9"/>
  <c r="Q31" i="9" s="1"/>
  <c r="W31" i="9" s="1"/>
  <c r="M31" i="9"/>
  <c r="E32" i="9"/>
  <c r="F32" i="9"/>
  <c r="D32" i="9"/>
  <c r="N31" i="8"/>
  <c r="O31" i="8"/>
  <c r="G4" i="8"/>
  <c r="H4" i="8"/>
  <c r="I4" i="8"/>
  <c r="G5" i="8"/>
  <c r="H5" i="8"/>
  <c r="I5" i="8"/>
  <c r="G6" i="8"/>
  <c r="H6" i="8"/>
  <c r="I6" i="8"/>
  <c r="G7" i="8"/>
  <c r="H7" i="8"/>
  <c r="J7" i="8" s="1"/>
  <c r="I7" i="8"/>
  <c r="G8" i="8"/>
  <c r="H8" i="8"/>
  <c r="I8" i="8"/>
  <c r="G9" i="8"/>
  <c r="H9" i="8"/>
  <c r="I9" i="8"/>
  <c r="G10" i="8"/>
  <c r="H10" i="8"/>
  <c r="I10" i="8"/>
  <c r="G11" i="8"/>
  <c r="H11" i="8"/>
  <c r="I11" i="8"/>
  <c r="G12" i="8"/>
  <c r="H12" i="8"/>
  <c r="I12" i="8"/>
  <c r="G13" i="8"/>
  <c r="H13" i="8"/>
  <c r="I13" i="8"/>
  <c r="G14" i="8"/>
  <c r="H14" i="8"/>
  <c r="I14" i="8"/>
  <c r="G15" i="8"/>
  <c r="H15" i="8"/>
  <c r="I15" i="8"/>
  <c r="G16" i="8"/>
  <c r="H16" i="8"/>
  <c r="I16" i="8"/>
  <c r="G17" i="8"/>
  <c r="H17" i="8"/>
  <c r="I17" i="8"/>
  <c r="G18" i="8"/>
  <c r="H18" i="8"/>
  <c r="I18" i="8"/>
  <c r="G19" i="8"/>
  <c r="H19" i="8"/>
  <c r="I19" i="8"/>
  <c r="G20" i="8"/>
  <c r="H20" i="8"/>
  <c r="I20" i="8"/>
  <c r="G21" i="8"/>
  <c r="H21" i="8"/>
  <c r="I21" i="8"/>
  <c r="G22" i="8"/>
  <c r="H22" i="8"/>
  <c r="I22" i="8"/>
  <c r="G23" i="8"/>
  <c r="H23" i="8"/>
  <c r="I23" i="8"/>
  <c r="G24" i="8"/>
  <c r="H24" i="8"/>
  <c r="I24" i="8"/>
  <c r="G25" i="8"/>
  <c r="H25" i="8"/>
  <c r="I25" i="8"/>
  <c r="G26" i="8"/>
  <c r="H26" i="8"/>
  <c r="J26" i="8" s="1"/>
  <c r="I26" i="8"/>
  <c r="G27" i="8"/>
  <c r="H27" i="8"/>
  <c r="J27" i="8" s="1"/>
  <c r="I27" i="8"/>
  <c r="G28" i="8"/>
  <c r="H28" i="8"/>
  <c r="I28" i="8"/>
  <c r="G29" i="8"/>
  <c r="H29" i="8"/>
  <c r="I29" i="8"/>
  <c r="G30" i="8"/>
  <c r="H30" i="8"/>
  <c r="I30" i="8"/>
  <c r="E31" i="8"/>
  <c r="D31" i="8"/>
  <c r="G4" i="1"/>
  <c r="H4" i="1"/>
  <c r="M4" i="1" s="1"/>
  <c r="P4" i="1" s="1"/>
  <c r="I4" i="1"/>
  <c r="G5" i="1"/>
  <c r="H5" i="1"/>
  <c r="M5" i="1" s="1"/>
  <c r="P5" i="1" s="1"/>
  <c r="I5" i="1"/>
  <c r="G6" i="1"/>
  <c r="H6" i="1"/>
  <c r="M6" i="1" s="1"/>
  <c r="P6" i="1" s="1"/>
  <c r="I6" i="1"/>
  <c r="G7" i="1"/>
  <c r="H7" i="1"/>
  <c r="B23" i="22" s="1"/>
  <c r="D23" i="22" s="1"/>
  <c r="I7" i="1"/>
  <c r="G8" i="1"/>
  <c r="H8" i="1"/>
  <c r="B25" i="22" s="1"/>
  <c r="AX25" i="22" s="1"/>
  <c r="AZ25" i="22" s="1"/>
  <c r="I8" i="1"/>
  <c r="G9" i="1"/>
  <c r="H9" i="1"/>
  <c r="B5" i="22" s="1"/>
  <c r="I9" i="1"/>
  <c r="G10" i="1"/>
  <c r="H10" i="1"/>
  <c r="B7" i="22" s="1"/>
  <c r="I10" i="1"/>
  <c r="G11" i="1"/>
  <c r="H11" i="1"/>
  <c r="M11" i="1" s="1"/>
  <c r="P11" i="1" s="1"/>
  <c r="I11" i="1"/>
  <c r="G12" i="1"/>
  <c r="H12" i="1"/>
  <c r="M12" i="1" s="1"/>
  <c r="P12" i="1" s="1"/>
  <c r="I12" i="1"/>
  <c r="G13" i="1"/>
  <c r="H13" i="1"/>
  <c r="M13" i="1" s="1"/>
  <c r="P13" i="1" s="1"/>
  <c r="I13" i="1"/>
  <c r="G14" i="1"/>
  <c r="H14" i="1"/>
  <c r="B11" i="22" s="1"/>
  <c r="I14" i="1"/>
  <c r="G15" i="1"/>
  <c r="H15" i="1"/>
  <c r="B15" i="22" s="1"/>
  <c r="I15" i="1"/>
  <c r="G16" i="1"/>
  <c r="H16" i="1"/>
  <c r="B17" i="22" s="1"/>
  <c r="I16" i="1"/>
  <c r="G17" i="1"/>
  <c r="H17" i="1"/>
  <c r="B18" i="22" s="1"/>
  <c r="I17" i="1"/>
  <c r="G18" i="1"/>
  <c r="H18" i="1"/>
  <c r="B29" i="22" s="1"/>
  <c r="AX29" i="22" s="1"/>
  <c r="AZ29" i="22" s="1"/>
  <c r="I18" i="1"/>
  <c r="G19" i="1"/>
  <c r="H19" i="1"/>
  <c r="M19" i="1" s="1"/>
  <c r="P19" i="1" s="1"/>
  <c r="I19" i="1"/>
  <c r="G20" i="1"/>
  <c r="H20" i="1"/>
  <c r="M20" i="1" s="1"/>
  <c r="P20" i="1" s="1"/>
  <c r="I20" i="1"/>
  <c r="G21" i="1"/>
  <c r="H21" i="1"/>
  <c r="B13" i="22" s="1"/>
  <c r="I21" i="1"/>
  <c r="G22" i="1"/>
  <c r="H22" i="1"/>
  <c r="M22" i="1" s="1"/>
  <c r="P22" i="1" s="1"/>
  <c r="AC22" i="1" s="1"/>
  <c r="R14" i="6" s="1"/>
  <c r="I22" i="1"/>
  <c r="G23" i="1"/>
  <c r="H23" i="1"/>
  <c r="B30" i="22" s="1"/>
  <c r="AX30" i="22" s="1"/>
  <c r="AZ30" i="22" s="1"/>
  <c r="I23" i="1"/>
  <c r="G24" i="1"/>
  <c r="H24" i="1"/>
  <c r="B3" i="22" s="1"/>
  <c r="I24" i="1"/>
  <c r="G25" i="1"/>
  <c r="H25" i="1"/>
  <c r="M25" i="1" s="1"/>
  <c r="P25" i="1" s="1"/>
  <c r="AC25" i="1" s="1"/>
  <c r="M19" i="6" s="1"/>
  <c r="I25" i="1"/>
  <c r="G26" i="1"/>
  <c r="H26" i="1"/>
  <c r="B20" i="22" s="1"/>
  <c r="I26" i="1"/>
  <c r="G27" i="1"/>
  <c r="H27" i="1"/>
  <c r="M27" i="1" s="1"/>
  <c r="P27" i="1" s="1"/>
  <c r="AC27" i="1" s="1"/>
  <c r="M21" i="6" s="1"/>
  <c r="I27" i="1"/>
  <c r="G28" i="1"/>
  <c r="H28" i="1"/>
  <c r="M28" i="1" s="1"/>
  <c r="P28" i="1" s="1"/>
  <c r="AC28" i="1" s="1"/>
  <c r="M22" i="6" s="1"/>
  <c r="I28" i="1"/>
  <c r="G29" i="1"/>
  <c r="H29" i="1"/>
  <c r="M29" i="1" s="1"/>
  <c r="P29" i="1" s="1"/>
  <c r="AC29" i="1" s="1"/>
  <c r="M23" i="6" s="1"/>
  <c r="I29" i="1"/>
  <c r="G30" i="1"/>
  <c r="H30" i="1"/>
  <c r="M30" i="1" s="1"/>
  <c r="P30" i="1" s="1"/>
  <c r="AC30" i="1" s="1"/>
  <c r="M24" i="6" s="1"/>
  <c r="I30" i="1"/>
  <c r="E31" i="1"/>
  <c r="D31" i="1"/>
  <c r="E31" i="3" l="1"/>
  <c r="E30" i="3"/>
  <c r="Q29" i="3"/>
  <c r="Q28" i="3"/>
  <c r="Q27" i="3"/>
  <c r="Q5" i="3"/>
  <c r="J30" i="3"/>
  <c r="R28" i="3"/>
  <c r="M24" i="8"/>
  <c r="P24" i="8" s="1"/>
  <c r="AC24" i="8" s="1"/>
  <c r="W18" i="6" s="1"/>
  <c r="J24" i="8"/>
  <c r="J16" i="8"/>
  <c r="M8" i="8"/>
  <c r="J8" i="8"/>
  <c r="B27" i="22"/>
  <c r="D27" i="22" s="1"/>
  <c r="M29" i="8"/>
  <c r="P29" i="8" s="1"/>
  <c r="AC29" i="8" s="1"/>
  <c r="W23" i="6" s="1"/>
  <c r="J29" i="8"/>
  <c r="K24" i="8"/>
  <c r="M21" i="8"/>
  <c r="J21" i="8"/>
  <c r="M13" i="8"/>
  <c r="J13" i="8"/>
  <c r="M5" i="8"/>
  <c r="J5" i="8"/>
  <c r="H27" i="3"/>
  <c r="Q9" i="3"/>
  <c r="M18" i="8"/>
  <c r="J18" i="8"/>
  <c r="M10" i="8"/>
  <c r="J10" i="8"/>
  <c r="E27" i="3"/>
  <c r="J18" i="3"/>
  <c r="K18" i="3" s="1"/>
  <c r="H17" i="3"/>
  <c r="S12" i="3"/>
  <c r="S5" i="3"/>
  <c r="M23" i="8"/>
  <c r="P23" i="8" s="1"/>
  <c r="AC23" i="8" s="1"/>
  <c r="AB23" i="6" s="1"/>
  <c r="J23" i="8"/>
  <c r="M15" i="8"/>
  <c r="J15" i="8"/>
  <c r="M28" i="8"/>
  <c r="P28" i="8" s="1"/>
  <c r="AC28" i="8" s="1"/>
  <c r="W22" i="6" s="1"/>
  <c r="J28" i="8"/>
  <c r="M20" i="8"/>
  <c r="J20" i="8"/>
  <c r="M12" i="8"/>
  <c r="J12" i="8"/>
  <c r="J4" i="8"/>
  <c r="E21" i="3"/>
  <c r="E18" i="3"/>
  <c r="H5" i="3"/>
  <c r="K25" i="8"/>
  <c r="J25" i="8"/>
  <c r="M17" i="8"/>
  <c r="J17" i="8"/>
  <c r="M9" i="8"/>
  <c r="J9" i="8"/>
  <c r="I21" i="3"/>
  <c r="I18" i="3"/>
  <c r="I17" i="3"/>
  <c r="I13" i="3"/>
  <c r="I9" i="3"/>
  <c r="M30" i="8"/>
  <c r="P30" i="8" s="1"/>
  <c r="AC30" i="8" s="1"/>
  <c r="W24" i="6" s="1"/>
  <c r="J30" i="8"/>
  <c r="M22" i="8"/>
  <c r="P22" i="8" s="1"/>
  <c r="AC22" i="8" s="1"/>
  <c r="AB14" i="6" s="1"/>
  <c r="J22" i="8"/>
  <c r="M14" i="8"/>
  <c r="J14" i="8"/>
  <c r="M6" i="8"/>
  <c r="J6" i="8"/>
  <c r="M4" i="8"/>
  <c r="N29" i="3"/>
  <c r="N28" i="3"/>
  <c r="N24" i="3"/>
  <c r="M19" i="8"/>
  <c r="J19" i="8"/>
  <c r="M11" i="8"/>
  <c r="J11" i="8"/>
  <c r="H5" i="6"/>
  <c r="H4" i="6"/>
  <c r="K30" i="1"/>
  <c r="K22" i="1"/>
  <c r="H19" i="3"/>
  <c r="H31" i="3"/>
  <c r="E16" i="3"/>
  <c r="H11" i="3"/>
  <c r="H8" i="3"/>
  <c r="E11" i="3"/>
  <c r="E10" i="3"/>
  <c r="E9" i="3"/>
  <c r="K16" i="8"/>
  <c r="E29" i="3"/>
  <c r="J28" i="3"/>
  <c r="H24" i="3"/>
  <c r="S8" i="3"/>
  <c r="I5" i="3"/>
  <c r="J20" i="3"/>
  <c r="E23" i="3"/>
  <c r="B21" i="22"/>
  <c r="K22" i="8"/>
  <c r="V27" i="9"/>
  <c r="X27" i="9" s="1"/>
  <c r="V19" i="9"/>
  <c r="X19" i="9" s="1"/>
  <c r="V11" i="9"/>
  <c r="X11" i="9" s="1"/>
  <c r="Q30" i="3"/>
  <c r="E28" i="3"/>
  <c r="E26" i="3"/>
  <c r="E25" i="3"/>
  <c r="J24" i="3"/>
  <c r="Q15" i="3"/>
  <c r="E14" i="3"/>
  <c r="E13" i="3"/>
  <c r="K28" i="4"/>
  <c r="K24" i="4"/>
  <c r="K20" i="4"/>
  <c r="K16" i="4"/>
  <c r="K12" i="4"/>
  <c r="K8" i="4"/>
  <c r="K4" i="4"/>
  <c r="B28" i="22"/>
  <c r="AX28" i="22" s="1"/>
  <c r="AZ28" i="22" s="1"/>
  <c r="B12" i="22"/>
  <c r="B4" i="22"/>
  <c r="I25" i="3"/>
  <c r="T8" i="4"/>
  <c r="K26" i="8"/>
  <c r="K23" i="8"/>
  <c r="M27" i="8"/>
  <c r="P27" i="8" s="1"/>
  <c r="AC27" i="8" s="1"/>
  <c r="W21" i="6" s="1"/>
  <c r="V26" i="9"/>
  <c r="X26" i="9" s="1"/>
  <c r="V22" i="9"/>
  <c r="Z22" i="9" s="1"/>
  <c r="V18" i="9"/>
  <c r="X18" i="9" s="1"/>
  <c r="V10" i="9"/>
  <c r="X10" i="9" s="1"/>
  <c r="Q25" i="3"/>
  <c r="Q24" i="3"/>
  <c r="Q23" i="3"/>
  <c r="E22" i="3"/>
  <c r="H21" i="3"/>
  <c r="N16" i="3"/>
  <c r="S15" i="3"/>
  <c r="Q12" i="3"/>
  <c r="Q11" i="3"/>
  <c r="I10" i="3"/>
  <c r="K10" i="3" s="1"/>
  <c r="J8" i="3"/>
  <c r="E7" i="3"/>
  <c r="K29" i="4"/>
  <c r="K25" i="4"/>
  <c r="K21" i="4"/>
  <c r="K17" i="4"/>
  <c r="K13" i="4"/>
  <c r="K9" i="4"/>
  <c r="K5" i="4"/>
  <c r="B26" i="22"/>
  <c r="AX26" i="22" s="1"/>
  <c r="AZ26" i="22" s="1"/>
  <c r="B10" i="22"/>
  <c r="R31" i="3"/>
  <c r="T12" i="4"/>
  <c r="B19" i="22"/>
  <c r="M26" i="8"/>
  <c r="P26" i="8" s="1"/>
  <c r="AC26" i="8" s="1"/>
  <c r="W20" i="6" s="1"/>
  <c r="I6" i="3"/>
  <c r="K30" i="4"/>
  <c r="T29" i="4"/>
  <c r="T27" i="4"/>
  <c r="K26" i="4"/>
  <c r="T25" i="4"/>
  <c r="T23" i="4"/>
  <c r="K22" i="4"/>
  <c r="T21" i="4"/>
  <c r="T19" i="4"/>
  <c r="K18" i="4"/>
  <c r="T17" i="4"/>
  <c r="T15" i="4"/>
  <c r="K14" i="4"/>
  <c r="T13" i="4"/>
  <c r="T11" i="4"/>
  <c r="K10" i="4"/>
  <c r="T9" i="4"/>
  <c r="T7" i="4"/>
  <c r="K6" i="4"/>
  <c r="T5" i="4"/>
  <c r="B9" i="22"/>
  <c r="S30" i="3"/>
  <c r="I26" i="3"/>
  <c r="K26" i="3" s="1"/>
  <c r="T24" i="4"/>
  <c r="K10" i="8"/>
  <c r="M25" i="8"/>
  <c r="P25" i="8" s="1"/>
  <c r="AC25" i="8" s="1"/>
  <c r="W19" i="6" s="1"/>
  <c r="T30" i="4"/>
  <c r="K27" i="4"/>
  <c r="T26" i="4"/>
  <c r="K23" i="4"/>
  <c r="T22" i="4"/>
  <c r="K19" i="4"/>
  <c r="T18" i="4"/>
  <c r="K15" i="4"/>
  <c r="T14" i="4"/>
  <c r="K11" i="4"/>
  <c r="T10" i="4"/>
  <c r="K7" i="4"/>
  <c r="T6" i="4"/>
  <c r="B24" i="22"/>
  <c r="AX24" i="22" s="1"/>
  <c r="AZ24" i="22" s="1"/>
  <c r="B16" i="22"/>
  <c r="B8" i="22"/>
  <c r="T20" i="4"/>
  <c r="T16" i="4"/>
  <c r="M16" i="8"/>
  <c r="J28" i="9"/>
  <c r="B22" i="23" s="1"/>
  <c r="CT22" i="23" s="1"/>
  <c r="J24" i="9"/>
  <c r="L24" i="9" s="1"/>
  <c r="C31" i="23" s="1"/>
  <c r="CU31" i="23" s="1"/>
  <c r="J20" i="9"/>
  <c r="B5" i="23" s="1"/>
  <c r="CT5" i="23" s="1"/>
  <c r="J31" i="3"/>
  <c r="R24" i="3"/>
  <c r="S21" i="3"/>
  <c r="E19" i="3"/>
  <c r="S9" i="3"/>
  <c r="Q8" i="3"/>
  <c r="I14" i="3"/>
  <c r="T28" i="4"/>
  <c r="T4" i="4"/>
  <c r="K30" i="8"/>
  <c r="M7" i="8"/>
  <c r="Q31" i="3"/>
  <c r="J23" i="3"/>
  <c r="Q20" i="3"/>
  <c r="J14" i="3"/>
  <c r="K14" i="3" s="1"/>
  <c r="B22" i="22"/>
  <c r="AX22" i="22" s="1"/>
  <c r="AZ22" i="22" s="1"/>
  <c r="B6" i="22"/>
  <c r="S17" i="3"/>
  <c r="N8" i="3"/>
  <c r="Q26" i="3"/>
  <c r="N17" i="3"/>
  <c r="S20" i="3"/>
  <c r="R20" i="3"/>
  <c r="S26" i="3"/>
  <c r="S23" i="3"/>
  <c r="E5" i="3"/>
  <c r="J12" i="9"/>
  <c r="B9" i="23" s="1"/>
  <c r="CT9" i="23" s="1"/>
  <c r="V25" i="9"/>
  <c r="Z25" i="9" s="1"/>
  <c r="V17" i="9"/>
  <c r="Z17" i="9" s="1"/>
  <c r="V9" i="9"/>
  <c r="Z9" i="9" s="1"/>
  <c r="V16" i="9"/>
  <c r="X16" i="9" s="1"/>
  <c r="V8" i="9"/>
  <c r="X8" i="9" s="1"/>
  <c r="Z11" i="9"/>
  <c r="J31" i="9"/>
  <c r="L31" i="9" s="1"/>
  <c r="C29" i="23" s="1"/>
  <c r="CU29" i="23" s="1"/>
  <c r="J23" i="9"/>
  <c r="L23" i="9" s="1"/>
  <c r="C27" i="23" s="1"/>
  <c r="CU27" i="23" s="1"/>
  <c r="J8" i="9"/>
  <c r="N8" i="9" s="1"/>
  <c r="J7" i="9"/>
  <c r="L7" i="9" s="1"/>
  <c r="C17" i="23" s="1"/>
  <c r="CU17" i="23" s="1"/>
  <c r="J21" i="9"/>
  <c r="B7" i="23" s="1"/>
  <c r="CT7" i="23" s="1"/>
  <c r="B31" i="23"/>
  <c r="CT31" i="23" s="1"/>
  <c r="CY19" i="23"/>
  <c r="CY9" i="23"/>
  <c r="CY15" i="23"/>
  <c r="CY23" i="23"/>
  <c r="CY31" i="23"/>
  <c r="CY13" i="23"/>
  <c r="CY10" i="23"/>
  <c r="CY32" i="23"/>
  <c r="CY22" i="23"/>
  <c r="CY17" i="23"/>
  <c r="CY6" i="23"/>
  <c r="CY26" i="23"/>
  <c r="CY18" i="23"/>
  <c r="CY7" i="23"/>
  <c r="CY30" i="23"/>
  <c r="G14" i="23"/>
  <c r="G8" i="23"/>
  <c r="G19" i="23"/>
  <c r="G11" i="23"/>
  <c r="G27" i="23"/>
  <c r="G30" i="23"/>
  <c r="G23" i="23"/>
  <c r="G16" i="23"/>
  <c r="G12" i="23"/>
  <c r="G5" i="23"/>
  <c r="AX27" i="22"/>
  <c r="AZ27" i="22" s="1"/>
  <c r="AX23" i="22"/>
  <c r="AZ23" i="22" s="1"/>
  <c r="D29" i="22"/>
  <c r="D25" i="22"/>
  <c r="D30" i="22"/>
  <c r="S31" i="3"/>
  <c r="T31" i="3" s="1"/>
  <c r="S27" i="3"/>
  <c r="R23" i="3"/>
  <c r="I23" i="3"/>
  <c r="N21" i="3"/>
  <c r="H20" i="3"/>
  <c r="J19" i="3"/>
  <c r="Q17" i="3"/>
  <c r="E17" i="3"/>
  <c r="J16" i="3"/>
  <c r="J12" i="3"/>
  <c r="S29" i="3"/>
  <c r="E20" i="3"/>
  <c r="N5" i="3"/>
  <c r="K6" i="3"/>
  <c r="S28" i="3"/>
  <c r="H28" i="3"/>
  <c r="J27" i="3"/>
  <c r="S24" i="3"/>
  <c r="H23" i="3"/>
  <c r="N20" i="3"/>
  <c r="R15" i="3"/>
  <c r="I15" i="3"/>
  <c r="H13" i="3"/>
  <c r="N12" i="3"/>
  <c r="R11" i="3"/>
  <c r="I11" i="3"/>
  <c r="N9" i="3"/>
  <c r="E8" i="3"/>
  <c r="E6" i="3"/>
  <c r="I19" i="3"/>
  <c r="S11" i="3"/>
  <c r="C32" i="3"/>
  <c r="N25" i="3"/>
  <c r="Q14" i="3"/>
  <c r="R12" i="3"/>
  <c r="T12" i="3" s="1"/>
  <c r="Q10" i="3"/>
  <c r="H9" i="3"/>
  <c r="Q6" i="3"/>
  <c r="E24" i="3"/>
  <c r="J22" i="3"/>
  <c r="K22" i="3" s="1"/>
  <c r="Q18" i="3"/>
  <c r="S14" i="3"/>
  <c r="S10" i="3"/>
  <c r="S7" i="3"/>
  <c r="S6" i="3"/>
  <c r="I31" i="3"/>
  <c r="H29" i="3"/>
  <c r="R27" i="3"/>
  <c r="I27" i="3"/>
  <c r="H25" i="3"/>
  <c r="S18" i="3"/>
  <c r="H16" i="3"/>
  <c r="J15" i="3"/>
  <c r="H12" i="3"/>
  <c r="J11" i="3"/>
  <c r="R8" i="3"/>
  <c r="T8" i="3" s="1"/>
  <c r="S22" i="3"/>
  <c r="S25" i="3"/>
  <c r="H7" i="3"/>
  <c r="Q16" i="3"/>
  <c r="Q7" i="3"/>
  <c r="R16" i="3"/>
  <c r="J7" i="3"/>
  <c r="N13" i="3"/>
  <c r="S19" i="3"/>
  <c r="T19" i="3" s="1"/>
  <c r="S13" i="3"/>
  <c r="Q22" i="3"/>
  <c r="S16" i="3"/>
  <c r="Q13" i="3"/>
  <c r="R7" i="3"/>
  <c r="Q19" i="3"/>
  <c r="I7" i="3"/>
  <c r="K27" i="3"/>
  <c r="K30" i="3"/>
  <c r="T28" i="3"/>
  <c r="I28" i="3"/>
  <c r="N31" i="3"/>
  <c r="H30" i="3"/>
  <c r="R29" i="3"/>
  <c r="J29" i="3"/>
  <c r="K29" i="3" s="1"/>
  <c r="N27" i="3"/>
  <c r="H26" i="3"/>
  <c r="R25" i="3"/>
  <c r="J25" i="3"/>
  <c r="N23" i="3"/>
  <c r="H22" i="3"/>
  <c r="R21" i="3"/>
  <c r="T21" i="3" s="1"/>
  <c r="J21" i="3"/>
  <c r="N19" i="3"/>
  <c r="H18" i="3"/>
  <c r="R17" i="3"/>
  <c r="J17" i="3"/>
  <c r="N15" i="3"/>
  <c r="H14" i="3"/>
  <c r="R13" i="3"/>
  <c r="J13" i="3"/>
  <c r="N11" i="3"/>
  <c r="H10" i="3"/>
  <c r="R9" i="3"/>
  <c r="J9" i="3"/>
  <c r="N7" i="3"/>
  <c r="H6" i="3"/>
  <c r="R5" i="3"/>
  <c r="T5" i="3" s="1"/>
  <c r="J5" i="3"/>
  <c r="N30" i="3"/>
  <c r="N26" i="3"/>
  <c r="N22" i="3"/>
  <c r="N18" i="3"/>
  <c r="N14" i="3"/>
  <c r="N10" i="3"/>
  <c r="N6" i="3"/>
  <c r="I24" i="3"/>
  <c r="I16" i="3"/>
  <c r="I20" i="3"/>
  <c r="K20" i="3" s="1"/>
  <c r="I12" i="3"/>
  <c r="I8" i="3"/>
  <c r="R30" i="3"/>
  <c r="R26" i="3"/>
  <c r="R22" i="3"/>
  <c r="T22" i="3" s="1"/>
  <c r="R18" i="3"/>
  <c r="R14" i="3"/>
  <c r="R10" i="3"/>
  <c r="R6" i="3"/>
  <c r="X22" i="9"/>
  <c r="Z26" i="9"/>
  <c r="J30" i="9"/>
  <c r="B28" i="23" s="1"/>
  <c r="CT28" i="23" s="1"/>
  <c r="J14" i="9"/>
  <c r="S21" i="9"/>
  <c r="Y21" i="9" s="1"/>
  <c r="V21" i="9" s="1"/>
  <c r="J6" i="9"/>
  <c r="B13" i="23" s="1"/>
  <c r="CT13" i="23" s="1"/>
  <c r="J5" i="9"/>
  <c r="N5" i="9" s="1"/>
  <c r="P19" i="9"/>
  <c r="R19" i="9" s="1"/>
  <c r="P27" i="9"/>
  <c r="T27" i="9" s="1"/>
  <c r="P22" i="9"/>
  <c r="T22" i="9" s="1"/>
  <c r="P18" i="9"/>
  <c r="R18" i="9" s="1"/>
  <c r="P25" i="9"/>
  <c r="R25" i="9" s="1"/>
  <c r="P21" i="9"/>
  <c r="T21" i="9" s="1"/>
  <c r="P17" i="9"/>
  <c r="T17" i="9" s="1"/>
  <c r="P9" i="9"/>
  <c r="R9" i="9" s="1"/>
  <c r="P11" i="9"/>
  <c r="T11" i="9" s="1"/>
  <c r="P26" i="9"/>
  <c r="R26" i="9" s="1"/>
  <c r="P10" i="9"/>
  <c r="T10" i="9" s="1"/>
  <c r="J16" i="9"/>
  <c r="S6" i="9"/>
  <c r="Y6" i="9" s="1"/>
  <c r="V6" i="9" s="1"/>
  <c r="J29" i="9"/>
  <c r="J26" i="9"/>
  <c r="J22" i="9"/>
  <c r="J15" i="9"/>
  <c r="L15" i="9" s="1"/>
  <c r="C12" i="23" s="1"/>
  <c r="CU12" i="23" s="1"/>
  <c r="S31" i="9"/>
  <c r="Y31" i="9" s="1"/>
  <c r="V31" i="9" s="1"/>
  <c r="S28" i="9"/>
  <c r="Y28" i="9" s="1"/>
  <c r="V28" i="9" s="1"/>
  <c r="X28" i="9" s="1"/>
  <c r="S15" i="9"/>
  <c r="S12" i="9"/>
  <c r="Y12" i="9" s="1"/>
  <c r="V12" i="9" s="1"/>
  <c r="X12" i="9" s="1"/>
  <c r="S5" i="9"/>
  <c r="Y5" i="9" s="1"/>
  <c r="V5" i="9" s="1"/>
  <c r="J18" i="9"/>
  <c r="N18" i="9" s="1"/>
  <c r="S24" i="9"/>
  <c r="Y24" i="9" s="1"/>
  <c r="S30" i="9"/>
  <c r="S14" i="9"/>
  <c r="Y14" i="9" s="1"/>
  <c r="V14" i="9" s="1"/>
  <c r="J13" i="9"/>
  <c r="J10" i="9"/>
  <c r="S23" i="9"/>
  <c r="S20" i="9"/>
  <c r="Y20" i="9" s="1"/>
  <c r="V20" i="9" s="1"/>
  <c r="X20" i="9" s="1"/>
  <c r="S7" i="9"/>
  <c r="S29" i="9"/>
  <c r="Y29" i="9" s="1"/>
  <c r="S13" i="9"/>
  <c r="P16" i="9"/>
  <c r="T16" i="9" s="1"/>
  <c r="P8" i="9"/>
  <c r="T8" i="9" s="1"/>
  <c r="L28" i="9"/>
  <c r="C22" i="23" s="1"/>
  <c r="CU22" i="23" s="1"/>
  <c r="N12" i="9"/>
  <c r="L12" i="9"/>
  <c r="C9" i="23" s="1"/>
  <c r="CU9" i="23" s="1"/>
  <c r="J19" i="9"/>
  <c r="B30" i="23" s="1"/>
  <c r="CT30" i="23" s="1"/>
  <c r="J25" i="9"/>
  <c r="J17" i="9"/>
  <c r="J9" i="9"/>
  <c r="J27" i="9"/>
  <c r="J11" i="9"/>
  <c r="K19" i="8"/>
  <c r="K11" i="8"/>
  <c r="K6" i="8"/>
  <c r="K8" i="8"/>
  <c r="K14" i="8"/>
  <c r="K7" i="8"/>
  <c r="K27" i="8"/>
  <c r="K29" i="8"/>
  <c r="K18" i="8"/>
  <c r="K9" i="8"/>
  <c r="K15" i="8"/>
  <c r="K17" i="8"/>
  <c r="K28" i="8"/>
  <c r="K20" i="8"/>
  <c r="K12" i="8"/>
  <c r="K4" i="8"/>
  <c r="K13" i="8"/>
  <c r="K5" i="8"/>
  <c r="K21" i="8"/>
  <c r="J23" i="1"/>
  <c r="K24" i="1"/>
  <c r="J21" i="1"/>
  <c r="J7" i="1"/>
  <c r="J25" i="1"/>
  <c r="K27" i="1"/>
  <c r="J29" i="1"/>
  <c r="J24" i="1"/>
  <c r="K8" i="1"/>
  <c r="K18" i="1"/>
  <c r="K26" i="1"/>
  <c r="K16" i="1"/>
  <c r="J30" i="1"/>
  <c r="J22" i="1"/>
  <c r="M26" i="1"/>
  <c r="P26" i="1" s="1"/>
  <c r="AC26" i="1" s="1"/>
  <c r="M20" i="6" s="1"/>
  <c r="J28" i="1"/>
  <c r="J6" i="1"/>
  <c r="M24" i="1"/>
  <c r="P24" i="1" s="1"/>
  <c r="AC24" i="1" s="1"/>
  <c r="M18" i="6" s="1"/>
  <c r="J15" i="1"/>
  <c r="J10" i="1"/>
  <c r="J27" i="1"/>
  <c r="J5" i="1"/>
  <c r="M23" i="1"/>
  <c r="P23" i="1" s="1"/>
  <c r="AC23" i="1" s="1"/>
  <c r="R23" i="6" s="1"/>
  <c r="J13" i="1"/>
  <c r="J26" i="1"/>
  <c r="J17" i="1"/>
  <c r="M18" i="1"/>
  <c r="P18" i="1" s="1"/>
  <c r="K14" i="1"/>
  <c r="K11" i="1"/>
  <c r="J9" i="1"/>
  <c r="K6" i="1"/>
  <c r="M17" i="1"/>
  <c r="P17" i="1" s="1"/>
  <c r="M10" i="1"/>
  <c r="P10" i="1" s="1"/>
  <c r="M9" i="1"/>
  <c r="P9" i="1" s="1"/>
  <c r="J20" i="1"/>
  <c r="J12" i="1"/>
  <c r="J4" i="1"/>
  <c r="M16" i="1"/>
  <c r="P16" i="1" s="1"/>
  <c r="M8" i="1"/>
  <c r="P8" i="1" s="1"/>
  <c r="J19" i="1"/>
  <c r="J11" i="1"/>
  <c r="M15" i="1"/>
  <c r="P15" i="1" s="1"/>
  <c r="M7" i="1"/>
  <c r="P7" i="1" s="1"/>
  <c r="J18" i="1"/>
  <c r="M14" i="1"/>
  <c r="P14" i="1" s="1"/>
  <c r="J14" i="1"/>
  <c r="K10" i="1"/>
  <c r="M21" i="1"/>
  <c r="P21" i="1" s="1"/>
  <c r="K19" i="1"/>
  <c r="J16" i="1"/>
  <c r="J8" i="1"/>
  <c r="K25" i="1"/>
  <c r="K17" i="1"/>
  <c r="K9" i="1"/>
  <c r="K28" i="1"/>
  <c r="K20" i="1"/>
  <c r="K12" i="1"/>
  <c r="K4" i="1"/>
  <c r="K23" i="1"/>
  <c r="K15" i="1"/>
  <c r="K7" i="1"/>
  <c r="K29" i="1"/>
  <c r="K21" i="1"/>
  <c r="K13" i="1"/>
  <c r="K5" i="1"/>
  <c r="Z10" i="9" l="1"/>
  <c r="Z18" i="9"/>
  <c r="K24" i="3"/>
  <c r="K13" i="3"/>
  <c r="K21" i="3"/>
  <c r="X17" i="9"/>
  <c r="L20" i="9"/>
  <c r="C5" i="23" s="1"/>
  <c r="CU5" i="23" s="1"/>
  <c r="CV5" i="23" s="1"/>
  <c r="CZ5" i="23" s="1"/>
  <c r="K9" i="3"/>
  <c r="K17" i="3"/>
  <c r="K28" i="3"/>
  <c r="M25" i="6"/>
  <c r="K31" i="3"/>
  <c r="W25" i="6"/>
  <c r="T20" i="3"/>
  <c r="K11" i="3"/>
  <c r="T17" i="3"/>
  <c r="X25" i="9"/>
  <c r="T30" i="3"/>
  <c r="K25" i="3"/>
  <c r="T6" i="3"/>
  <c r="T15" i="3"/>
  <c r="T27" i="3"/>
  <c r="K16" i="3"/>
  <c r="K5" i="3"/>
  <c r="T7" i="3"/>
  <c r="N28" i="9"/>
  <c r="X9" i="9"/>
  <c r="K15" i="3"/>
  <c r="D28" i="22"/>
  <c r="Z19" i="9"/>
  <c r="T10" i="3"/>
  <c r="N24" i="9"/>
  <c r="T18" i="3"/>
  <c r="T16" i="3"/>
  <c r="D22" i="22"/>
  <c r="CV31" i="23"/>
  <c r="CZ31" i="23" s="1"/>
  <c r="Z27" i="9"/>
  <c r="T26" i="3"/>
  <c r="K19" i="3"/>
  <c r="N20" i="9"/>
  <c r="N21" i="9"/>
  <c r="D24" i="22"/>
  <c r="K8" i="3"/>
  <c r="L21" i="9"/>
  <c r="C7" i="23" s="1"/>
  <c r="CU7" i="23" s="1"/>
  <c r="CV7" i="23" s="1"/>
  <c r="CZ7" i="23" s="1"/>
  <c r="R17" i="9"/>
  <c r="Z20" i="9"/>
  <c r="K12" i="3"/>
  <c r="T9" i="3"/>
  <c r="T25" i="3"/>
  <c r="T24" i="3"/>
  <c r="T29" i="3"/>
  <c r="K23" i="3"/>
  <c r="D26" i="22"/>
  <c r="T11" i="3"/>
  <c r="T23" i="3"/>
  <c r="T14" i="3"/>
  <c r="V24" i="9"/>
  <c r="X24" i="9" s="1"/>
  <c r="N19" i="9"/>
  <c r="D9" i="23"/>
  <c r="H9" i="23" s="1"/>
  <c r="D31" i="23"/>
  <c r="H31" i="23" s="1"/>
  <c r="Z6" i="9"/>
  <c r="X6" i="9"/>
  <c r="Z21" i="9"/>
  <c r="X21" i="9"/>
  <c r="Z5" i="9"/>
  <c r="X5" i="9"/>
  <c r="Z14" i="9"/>
  <c r="X14" i="9"/>
  <c r="Z31" i="9"/>
  <c r="X31" i="9"/>
  <c r="L17" i="9"/>
  <c r="C18" i="23" s="1"/>
  <c r="CU18" i="23" s="1"/>
  <c r="B18" i="23"/>
  <c r="P12" i="9"/>
  <c r="R12" i="9" s="1"/>
  <c r="Z28" i="9"/>
  <c r="L27" i="9"/>
  <c r="C21" i="23" s="1"/>
  <c r="CU21" i="23" s="1"/>
  <c r="B21" i="23"/>
  <c r="P28" i="9"/>
  <c r="R28" i="9" s="1"/>
  <c r="Z8" i="9"/>
  <c r="N7" i="9"/>
  <c r="B17" i="23"/>
  <c r="P7" i="9"/>
  <c r="R7" i="9" s="1"/>
  <c r="Y7" i="9"/>
  <c r="V7" i="9" s="1"/>
  <c r="P31" i="9"/>
  <c r="R31" i="9" s="1"/>
  <c r="N15" i="9"/>
  <c r="B12" i="23"/>
  <c r="P20" i="9"/>
  <c r="R20" i="9" s="1"/>
  <c r="L8" i="9"/>
  <c r="C24" i="23" s="1"/>
  <c r="CU24" i="23" s="1"/>
  <c r="B24" i="23"/>
  <c r="L25" i="9"/>
  <c r="C4" i="23" s="1"/>
  <c r="B4" i="23"/>
  <c r="CV22" i="23"/>
  <c r="CZ22" i="23" s="1"/>
  <c r="N30" i="9"/>
  <c r="L6" i="9"/>
  <c r="C13" i="23" s="1"/>
  <c r="CU13" i="23" s="1"/>
  <c r="CV13" i="23" s="1"/>
  <c r="CZ13" i="23" s="1"/>
  <c r="L19" i="9"/>
  <c r="C30" i="23" s="1"/>
  <c r="CU30" i="23" s="1"/>
  <c r="CV30" i="23" s="1"/>
  <c r="CZ30" i="23" s="1"/>
  <c r="N6" i="9"/>
  <c r="L18" i="9"/>
  <c r="C19" i="23" s="1"/>
  <c r="CU19" i="23" s="1"/>
  <c r="B19" i="23"/>
  <c r="N22" i="9"/>
  <c r="B14" i="23"/>
  <c r="P6" i="9"/>
  <c r="R6" i="9" s="1"/>
  <c r="L5" i="9"/>
  <c r="C25" i="23" s="1"/>
  <c r="CU25" i="23" s="1"/>
  <c r="B25" i="23"/>
  <c r="N23" i="9"/>
  <c r="B27" i="23"/>
  <c r="L26" i="9"/>
  <c r="C20" i="23" s="1"/>
  <c r="CU20" i="23" s="1"/>
  <c r="B20" i="23"/>
  <c r="L11" i="9"/>
  <c r="C8" i="23" s="1"/>
  <c r="CU8" i="23" s="1"/>
  <c r="B8" i="23"/>
  <c r="P23" i="9"/>
  <c r="R23" i="9" s="1"/>
  <c r="Y23" i="9"/>
  <c r="V23" i="9" s="1"/>
  <c r="T9" i="9"/>
  <c r="Z12" i="9"/>
  <c r="Z16" i="9"/>
  <c r="N31" i="9"/>
  <c r="B29" i="23"/>
  <c r="L9" i="9"/>
  <c r="C26" i="23" s="1"/>
  <c r="CU26" i="23" s="1"/>
  <c r="B26" i="23"/>
  <c r="P13" i="9"/>
  <c r="R13" i="9" s="1"/>
  <c r="Y13" i="9"/>
  <c r="L10" i="9"/>
  <c r="C6" i="23" s="1"/>
  <c r="CU6" i="23" s="1"/>
  <c r="B6" i="23"/>
  <c r="R10" i="9"/>
  <c r="N29" i="9"/>
  <c r="B23" i="23"/>
  <c r="T19" i="9"/>
  <c r="T18" i="9"/>
  <c r="CV9" i="23"/>
  <c r="CZ9" i="23" s="1"/>
  <c r="D22" i="23"/>
  <c r="H22" i="23" s="1"/>
  <c r="L13" i="9"/>
  <c r="C10" i="23" s="1"/>
  <c r="CU10" i="23" s="1"/>
  <c r="B10" i="23"/>
  <c r="N14" i="9"/>
  <c r="B11" i="23"/>
  <c r="L16" i="9"/>
  <c r="C16" i="23" s="1"/>
  <c r="CU16" i="23" s="1"/>
  <c r="B16" i="23"/>
  <c r="V29" i="9"/>
  <c r="X29" i="9" s="1"/>
  <c r="P15" i="9"/>
  <c r="R15" i="9" s="1"/>
  <c r="Y15" i="9"/>
  <c r="V15" i="9" s="1"/>
  <c r="L30" i="9"/>
  <c r="C28" i="23" s="1"/>
  <c r="CU28" i="23" s="1"/>
  <c r="CV28" i="23" s="1"/>
  <c r="CZ28" i="23" s="1"/>
  <c r="P30" i="9"/>
  <c r="R30" i="9" s="1"/>
  <c r="Y30" i="9"/>
  <c r="V30" i="9" s="1"/>
  <c r="D5" i="23"/>
  <c r="H5" i="23" s="1"/>
  <c r="T13" i="3"/>
  <c r="K7" i="3"/>
  <c r="T26" i="9"/>
  <c r="R8" i="9"/>
  <c r="T25" i="9"/>
  <c r="R21" i="9"/>
  <c r="N16" i="9"/>
  <c r="L14" i="9"/>
  <c r="C11" i="23" s="1"/>
  <c r="CU11" i="23" s="1"/>
  <c r="L22" i="9"/>
  <c r="C14" i="23" s="1"/>
  <c r="CU14" i="23" s="1"/>
  <c r="N10" i="9"/>
  <c r="P5" i="9"/>
  <c r="R5" i="9" s="1"/>
  <c r="R22" i="9"/>
  <c r="N26" i="9"/>
  <c r="R16" i="9"/>
  <c r="N13" i="9"/>
  <c r="N27" i="9"/>
  <c r="L29" i="9"/>
  <c r="C23" i="23" s="1"/>
  <c r="CU23" i="23" s="1"/>
  <c r="R11" i="9"/>
  <c r="R27" i="9"/>
  <c r="P14" i="9"/>
  <c r="R14" i="9" s="1"/>
  <c r="T7" i="9"/>
  <c r="P24" i="9"/>
  <c r="R24" i="9" s="1"/>
  <c r="P29" i="9"/>
  <c r="R29" i="9" s="1"/>
  <c r="N9" i="9"/>
  <c r="N11" i="9"/>
  <c r="N17" i="9"/>
  <c r="N25" i="9"/>
  <c r="T28" i="9" l="1"/>
  <c r="T6" i="9"/>
  <c r="T30" i="9"/>
  <c r="Z29" i="9"/>
  <c r="D7" i="23"/>
  <c r="H7" i="23" s="1"/>
  <c r="Z24" i="9"/>
  <c r="T20" i="9"/>
  <c r="T23" i="9"/>
  <c r="CT24" i="23"/>
  <c r="CV24" i="23" s="1"/>
  <c r="CZ24" i="23" s="1"/>
  <c r="D24" i="23"/>
  <c r="H24" i="23" s="1"/>
  <c r="T31" i="9"/>
  <c r="Z15" i="9"/>
  <c r="X15" i="9"/>
  <c r="CT11" i="23"/>
  <c r="CV11" i="23" s="1"/>
  <c r="CZ11" i="23" s="1"/>
  <c r="D11" i="23"/>
  <c r="H11" i="23" s="1"/>
  <c r="CT26" i="23"/>
  <c r="CV26" i="23" s="1"/>
  <c r="CZ26" i="23" s="1"/>
  <c r="D26" i="23"/>
  <c r="H26" i="23" s="1"/>
  <c r="Z23" i="9"/>
  <c r="X23" i="9"/>
  <c r="CT25" i="23"/>
  <c r="CV25" i="23" s="1"/>
  <c r="CZ25" i="23" s="1"/>
  <c r="D25" i="23"/>
  <c r="H25" i="23" s="1"/>
  <c r="D18" i="23"/>
  <c r="H18" i="23" s="1"/>
  <c r="CT18" i="23"/>
  <c r="CV18" i="23" s="1"/>
  <c r="CZ18" i="23" s="1"/>
  <c r="CT23" i="23"/>
  <c r="CV23" i="23" s="1"/>
  <c r="CZ23" i="23" s="1"/>
  <c r="D23" i="23"/>
  <c r="H23" i="23" s="1"/>
  <c r="D13" i="23"/>
  <c r="H13" i="23" s="1"/>
  <c r="CT17" i="23"/>
  <c r="CV17" i="23" s="1"/>
  <c r="CZ17" i="23" s="1"/>
  <c r="D17" i="23"/>
  <c r="H17" i="23" s="1"/>
  <c r="CT10" i="23"/>
  <c r="CV10" i="23" s="1"/>
  <c r="CZ10" i="23" s="1"/>
  <c r="D10" i="23"/>
  <c r="H10" i="23" s="1"/>
  <c r="CT29" i="23"/>
  <c r="CV29" i="23" s="1"/>
  <c r="CZ29" i="23" s="1"/>
  <c r="D29" i="23"/>
  <c r="H29" i="23" s="1"/>
  <c r="CT8" i="23"/>
  <c r="CV8" i="23" s="1"/>
  <c r="CZ8" i="23" s="1"/>
  <c r="D8" i="23"/>
  <c r="H8" i="23" s="1"/>
  <c r="CT12" i="23"/>
  <c r="CV12" i="23" s="1"/>
  <c r="CZ12" i="23" s="1"/>
  <c r="D12" i="23"/>
  <c r="H12" i="23" s="1"/>
  <c r="Z30" i="9"/>
  <c r="X30" i="9"/>
  <c r="D28" i="23"/>
  <c r="H28" i="23" s="1"/>
  <c r="T13" i="9"/>
  <c r="T12" i="9"/>
  <c r="CT14" i="23"/>
  <c r="CV14" i="23" s="1"/>
  <c r="CZ14" i="23" s="1"/>
  <c r="D14" i="23"/>
  <c r="H14" i="23" s="1"/>
  <c r="CT16" i="23"/>
  <c r="CV16" i="23" s="1"/>
  <c r="CZ16" i="23" s="1"/>
  <c r="D16" i="23"/>
  <c r="H16" i="23" s="1"/>
  <c r="D6" i="23"/>
  <c r="H6" i="23" s="1"/>
  <c r="CT6" i="23"/>
  <c r="CV6" i="23" s="1"/>
  <c r="CZ6" i="23" s="1"/>
  <c r="CT20" i="23"/>
  <c r="CV20" i="23" s="1"/>
  <c r="CZ20" i="23" s="1"/>
  <c r="D20" i="23"/>
  <c r="H20" i="23" s="1"/>
  <c r="CT21" i="23"/>
  <c r="CV21" i="23" s="1"/>
  <c r="CZ21" i="23" s="1"/>
  <c r="D21" i="23"/>
  <c r="H21" i="23" s="1"/>
  <c r="CT19" i="23"/>
  <c r="CV19" i="23" s="1"/>
  <c r="CZ19" i="23" s="1"/>
  <c r="D19" i="23"/>
  <c r="H19" i="23" s="1"/>
  <c r="Z7" i="9"/>
  <c r="X7" i="9"/>
  <c r="T15" i="9"/>
  <c r="V13" i="9"/>
  <c r="X13" i="9" s="1"/>
  <c r="CT27" i="23"/>
  <c r="CV27" i="23" s="1"/>
  <c r="CZ27" i="23" s="1"/>
  <c r="D27" i="23"/>
  <c r="H27" i="23" s="1"/>
  <c r="D30" i="23"/>
  <c r="H30" i="23" s="1"/>
  <c r="T24" i="9"/>
  <c r="T29" i="9"/>
  <c r="T14" i="9"/>
  <c r="T5" i="9"/>
  <c r="Z13" i="9" l="1"/>
  <c r="G4" i="23"/>
  <c r="G32" i="23" s="1"/>
  <c r="AY4" i="22" l="1"/>
  <c r="AY5" i="22"/>
  <c r="AY6" i="22"/>
  <c r="AY7" i="22"/>
  <c r="AY8" i="22"/>
  <c r="AY9" i="22"/>
  <c r="AY10" i="22"/>
  <c r="AY11" i="22"/>
  <c r="AY12" i="22"/>
  <c r="AY13" i="22"/>
  <c r="AY14" i="22"/>
  <c r="AY15" i="22"/>
  <c r="AY16" i="22"/>
  <c r="AY17" i="22"/>
  <c r="AY18" i="22"/>
  <c r="AY19" i="22"/>
  <c r="AY20" i="22"/>
  <c r="AY21" i="22"/>
  <c r="AY3" i="22"/>
  <c r="CX4" i="23"/>
  <c r="CW4" i="23"/>
  <c r="AY31" i="22" l="1"/>
  <c r="C4" i="5"/>
  <c r="D4" i="5"/>
  <c r="E4" i="5"/>
  <c r="F4" i="5"/>
  <c r="G4" i="5"/>
  <c r="I4" i="5"/>
  <c r="J4" i="5"/>
  <c r="K4" i="5"/>
  <c r="L4" i="5"/>
  <c r="M4" i="5"/>
  <c r="N4" i="5"/>
  <c r="B4" i="5"/>
  <c r="M3" i="4"/>
  <c r="N3" i="4"/>
  <c r="O3" i="4"/>
  <c r="P3" i="4"/>
  <c r="P31" i="4" s="1"/>
  <c r="Q3" i="4"/>
  <c r="R3" i="4"/>
  <c r="S3" i="4"/>
  <c r="L3" i="4"/>
  <c r="I3" i="4"/>
  <c r="J3" i="4"/>
  <c r="M31" i="4" l="1"/>
  <c r="L31" i="4"/>
  <c r="N31" i="4"/>
  <c r="S31" i="4"/>
  <c r="R31" i="4"/>
  <c r="J31" i="4"/>
  <c r="I31" i="4"/>
  <c r="Q31" i="4"/>
  <c r="O31" i="4"/>
  <c r="O4" i="5"/>
  <c r="H4" i="5"/>
  <c r="T3" i="4"/>
  <c r="T31" i="4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D3" i="4" l="1"/>
  <c r="E3" i="4"/>
  <c r="F3" i="4"/>
  <c r="G3" i="4"/>
  <c r="H3" i="4"/>
  <c r="C3" i="4"/>
  <c r="P4" i="3"/>
  <c r="P32" i="3" s="1"/>
  <c r="O4" i="3"/>
  <c r="O32" i="3" s="1"/>
  <c r="M4" i="3"/>
  <c r="M32" i="3" s="1"/>
  <c r="L4" i="3"/>
  <c r="L32" i="3" s="1"/>
  <c r="G4" i="3"/>
  <c r="G32" i="3" s="1"/>
  <c r="F4" i="3"/>
  <c r="F32" i="3" s="1"/>
  <c r="D4" i="3"/>
  <c r="D32" i="3" s="1"/>
  <c r="E32" i="3" s="1"/>
  <c r="A2" i="6"/>
  <c r="A1" i="8" s="1"/>
  <c r="M4" i="9"/>
  <c r="K4" i="9"/>
  <c r="I3" i="8"/>
  <c r="I31" i="8" s="1"/>
  <c r="D12" i="6" s="1"/>
  <c r="H3" i="8"/>
  <c r="G3" i="8"/>
  <c r="G31" i="8" s="1"/>
  <c r="I3" i="1"/>
  <c r="I31" i="1" s="1"/>
  <c r="D11" i="6" s="1"/>
  <c r="H3" i="1"/>
  <c r="G3" i="1"/>
  <c r="G31" i="1" s="1"/>
  <c r="M3" i="8" l="1"/>
  <c r="M31" i="8" s="1"/>
  <c r="H31" i="8"/>
  <c r="E12" i="6" s="1"/>
  <c r="H31" i="1"/>
  <c r="E11" i="6" s="1"/>
  <c r="B14" i="22"/>
  <c r="B31" i="22" s="1"/>
  <c r="D31" i="22" s="1"/>
  <c r="H32" i="3"/>
  <c r="Q32" i="3"/>
  <c r="N32" i="3"/>
  <c r="Q4" i="9"/>
  <c r="W4" i="9" s="1"/>
  <c r="K32" i="9"/>
  <c r="S4" i="9"/>
  <c r="Y4" i="9" s="1"/>
  <c r="M32" i="9"/>
  <c r="E14" i="6" s="1"/>
  <c r="J3" i="1"/>
  <c r="M3" i="1"/>
  <c r="M31" i="1" s="1"/>
  <c r="J31" i="1"/>
  <c r="D31" i="4"/>
  <c r="E31" i="4"/>
  <c r="C31" i="4"/>
  <c r="H31" i="4"/>
  <c r="G31" i="4"/>
  <c r="F31" i="4"/>
  <c r="CU4" i="23"/>
  <c r="CT4" i="23"/>
  <c r="AB3" i="1"/>
  <c r="AB20" i="1"/>
  <c r="AB12" i="1"/>
  <c r="AB4" i="1"/>
  <c r="AB18" i="1"/>
  <c r="AB17" i="1"/>
  <c r="AB9" i="1"/>
  <c r="AB14" i="1"/>
  <c r="AB6" i="1"/>
  <c r="AB10" i="1"/>
  <c r="AB11" i="1"/>
  <c r="AB16" i="1"/>
  <c r="AB8" i="1"/>
  <c r="AB19" i="1"/>
  <c r="AB21" i="1"/>
  <c r="AB13" i="1"/>
  <c r="AB5" i="1"/>
  <c r="AB15" i="1"/>
  <c r="AB7" i="1"/>
  <c r="AB8" i="8"/>
  <c r="AB21" i="8"/>
  <c r="AB13" i="8"/>
  <c r="AB5" i="8"/>
  <c r="AB18" i="8"/>
  <c r="AB10" i="8"/>
  <c r="AB15" i="8"/>
  <c r="AB7" i="8"/>
  <c r="AB16" i="8"/>
  <c r="AB20" i="8"/>
  <c r="AB12" i="8"/>
  <c r="AB4" i="8"/>
  <c r="AB17" i="8"/>
  <c r="AB9" i="8"/>
  <c r="AB14" i="8"/>
  <c r="AB6" i="8"/>
  <c r="AB19" i="8"/>
  <c r="AB11" i="8"/>
  <c r="K3" i="4"/>
  <c r="AB3" i="8"/>
  <c r="X16" i="8"/>
  <c r="X8" i="8"/>
  <c r="X21" i="8"/>
  <c r="X13" i="8"/>
  <c r="X5" i="8"/>
  <c r="X18" i="8"/>
  <c r="X10" i="8"/>
  <c r="X15" i="8"/>
  <c r="X7" i="8"/>
  <c r="X20" i="8"/>
  <c r="X12" i="8"/>
  <c r="X17" i="8"/>
  <c r="X9" i="8"/>
  <c r="X14" i="8"/>
  <c r="X6" i="8"/>
  <c r="X19" i="8"/>
  <c r="X11" i="8"/>
  <c r="X3" i="8"/>
  <c r="A1" i="1"/>
  <c r="A2" i="5"/>
  <c r="B1" i="4"/>
  <c r="B2" i="3"/>
  <c r="A1" i="9"/>
  <c r="K31" i="8" l="1"/>
  <c r="J31" i="8"/>
  <c r="AX9" i="22"/>
  <c r="D9" i="22"/>
  <c r="AX7" i="22"/>
  <c r="D7" i="22"/>
  <c r="AX17" i="22"/>
  <c r="D17" i="22"/>
  <c r="AX14" i="22"/>
  <c r="D14" i="22"/>
  <c r="AX10" i="22"/>
  <c r="D10" i="22"/>
  <c r="AX5" i="22"/>
  <c r="D5" i="22"/>
  <c r="S32" i="9"/>
  <c r="Y32" i="9" s="1"/>
  <c r="Q32" i="9"/>
  <c r="W32" i="9" s="1"/>
  <c r="P4" i="9"/>
  <c r="T4" i="9" s="1"/>
  <c r="AX3" i="22"/>
  <c r="D12" i="22"/>
  <c r="K31" i="4"/>
  <c r="X3" i="1"/>
  <c r="X4" i="8"/>
  <c r="R4" i="9" l="1"/>
  <c r="V32" i="9"/>
  <c r="Z32" i="9" s="1"/>
  <c r="X32" i="9"/>
  <c r="AX6" i="22"/>
  <c r="D6" i="22"/>
  <c r="AX18" i="22"/>
  <c r="D18" i="22"/>
  <c r="AX21" i="22"/>
  <c r="D21" i="22"/>
  <c r="AX20" i="22"/>
  <c r="D20" i="22"/>
  <c r="AX8" i="22"/>
  <c r="D8" i="22"/>
  <c r="AX16" i="22"/>
  <c r="D16" i="22"/>
  <c r="AX15" i="22"/>
  <c r="D15" i="22"/>
  <c r="AX19" i="22"/>
  <c r="D19" i="22"/>
  <c r="AX13" i="22"/>
  <c r="D13" i="22"/>
  <c r="AX4" i="22"/>
  <c r="D4" i="22"/>
  <c r="AX11" i="22"/>
  <c r="D11" i="22"/>
  <c r="P32" i="9"/>
  <c r="R32" i="9" s="1"/>
  <c r="T32" i="9"/>
  <c r="P4" i="8" l="1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3" i="8"/>
  <c r="D9" i="6"/>
  <c r="P31" i="8" l="1"/>
  <c r="T4" i="8" l="1"/>
  <c r="AC4" i="8" s="1"/>
  <c r="AB19" i="6" s="1"/>
  <c r="T5" i="8"/>
  <c r="AC5" i="8" s="1"/>
  <c r="AB4" i="6" s="1"/>
  <c r="T6" i="8"/>
  <c r="AC6" i="8" s="1"/>
  <c r="AB5" i="6" s="1"/>
  <c r="T7" i="8"/>
  <c r="AC7" i="8" s="1"/>
  <c r="AB6" i="6" s="1"/>
  <c r="T8" i="8"/>
  <c r="AC8" i="8" s="1"/>
  <c r="AB7" i="6" s="1"/>
  <c r="T9" i="8"/>
  <c r="AC9" i="8" s="1"/>
  <c r="W5" i="6" s="1"/>
  <c r="T10" i="8"/>
  <c r="AC10" i="8" s="1"/>
  <c r="W6" i="6" s="1"/>
  <c r="T11" i="8"/>
  <c r="AC11" i="8" s="1"/>
  <c r="W7" i="6" s="1"/>
  <c r="T12" i="8"/>
  <c r="AC12" i="8" s="1"/>
  <c r="W8" i="6" s="1"/>
  <c r="T13" i="8"/>
  <c r="AC13" i="8" s="1"/>
  <c r="W9" i="6" s="1"/>
  <c r="T14" i="8"/>
  <c r="AC14" i="8" s="1"/>
  <c r="W10" i="6" s="1"/>
  <c r="T15" i="8"/>
  <c r="AC15" i="8" s="1"/>
  <c r="W11" i="6" s="1"/>
  <c r="T16" i="8"/>
  <c r="AC16" i="8" s="1"/>
  <c r="W12" i="6" s="1"/>
  <c r="T17" i="8"/>
  <c r="AC17" i="8" s="1"/>
  <c r="W13" i="6" s="1"/>
  <c r="T18" i="8"/>
  <c r="AC18" i="8" s="1"/>
  <c r="W14" i="6" s="1"/>
  <c r="T19" i="8"/>
  <c r="AC19" i="8" s="1"/>
  <c r="AB11" i="6" s="1"/>
  <c r="T20" i="8"/>
  <c r="AC20" i="8" s="1"/>
  <c r="AB12" i="6" s="1"/>
  <c r="T21" i="8"/>
  <c r="AC21" i="8" s="1"/>
  <c r="AB13" i="6" s="1"/>
  <c r="T3" i="8"/>
  <c r="AC3" i="8" s="1"/>
  <c r="AB18" i="6" s="1"/>
  <c r="AB15" i="6" l="1"/>
  <c r="AB20" i="6"/>
  <c r="W15" i="6"/>
  <c r="AB8" i="6"/>
  <c r="AC31" i="8"/>
  <c r="T15" i="1"/>
  <c r="T7" i="1"/>
  <c r="T20" i="1"/>
  <c r="T12" i="1"/>
  <c r="T4" i="1"/>
  <c r="T17" i="1"/>
  <c r="T9" i="1"/>
  <c r="T14" i="1"/>
  <c r="T6" i="1"/>
  <c r="T19" i="1"/>
  <c r="T11" i="1"/>
  <c r="T16" i="1"/>
  <c r="T8" i="1"/>
  <c r="T21" i="1"/>
  <c r="AC21" i="1" s="1"/>
  <c r="R13" i="6" s="1"/>
  <c r="T13" i="1"/>
  <c r="T5" i="1"/>
  <c r="AC5" i="1" s="1"/>
  <c r="R4" i="6" s="1"/>
  <c r="T18" i="1"/>
  <c r="T10" i="1"/>
  <c r="Z27" i="6" l="1"/>
  <c r="AC20" i="1"/>
  <c r="R12" i="6" s="1"/>
  <c r="AC19" i="1"/>
  <c r="R11" i="6" s="1"/>
  <c r="R15" i="6" s="1"/>
  <c r="AC7" i="1"/>
  <c r="R6" i="6" s="1"/>
  <c r="AC18" i="1"/>
  <c r="M14" i="6" s="1"/>
  <c r="AC6" i="1"/>
  <c r="R5" i="6" s="1"/>
  <c r="R8" i="6" s="1"/>
  <c r="AC15" i="1"/>
  <c r="M11" i="6" s="1"/>
  <c r="AC14" i="1"/>
  <c r="M10" i="6" s="1"/>
  <c r="AC13" i="1"/>
  <c r="M9" i="6" s="1"/>
  <c r="AC9" i="1"/>
  <c r="M5" i="6" s="1"/>
  <c r="AC17" i="1"/>
  <c r="M13" i="6" s="1"/>
  <c r="AC11" i="1"/>
  <c r="M7" i="6" s="1"/>
  <c r="AC10" i="1"/>
  <c r="M6" i="6" s="1"/>
  <c r="AC8" i="1"/>
  <c r="R7" i="6" s="1"/>
  <c r="AC4" i="1"/>
  <c r="R19" i="6" s="1"/>
  <c r="AC16" i="1"/>
  <c r="M12" i="6" s="1"/>
  <c r="AC12" i="1"/>
  <c r="M8" i="6" s="1"/>
  <c r="AZ21" i="22"/>
  <c r="AZ20" i="22"/>
  <c r="AZ9" i="22"/>
  <c r="AZ18" i="22"/>
  <c r="AZ14" i="22"/>
  <c r="AZ6" i="22"/>
  <c r="AZ15" i="22"/>
  <c r="AZ5" i="22"/>
  <c r="AZ17" i="22"/>
  <c r="AZ19" i="22"/>
  <c r="AZ10" i="22"/>
  <c r="AZ13" i="22"/>
  <c r="AZ11" i="22"/>
  <c r="AZ4" i="22"/>
  <c r="AZ16" i="22"/>
  <c r="D3" i="22"/>
  <c r="T3" i="1"/>
  <c r="P3" i="1"/>
  <c r="P31" i="1" s="1"/>
  <c r="DD4" i="23"/>
  <c r="M15" i="6" l="1"/>
  <c r="AC3" i="1"/>
  <c r="R18" i="6" s="1"/>
  <c r="R20" i="6" s="1"/>
  <c r="AZ7" i="22"/>
  <c r="AZ8" i="22"/>
  <c r="I4" i="3"/>
  <c r="I32" i="3" s="1"/>
  <c r="J4" i="3"/>
  <c r="J32" i="3" s="1"/>
  <c r="P27" i="6" l="1"/>
  <c r="K32" i="3"/>
  <c r="AC31" i="1"/>
  <c r="K3" i="8" l="1"/>
  <c r="AX12" i="22" l="1"/>
  <c r="AX31" i="22" s="1"/>
  <c r="AZ31" i="22" s="1"/>
  <c r="AZ12" i="22" l="1"/>
  <c r="CY4" i="23" l="1"/>
  <c r="B6" i="6"/>
  <c r="AZ3" i="22" l="1"/>
  <c r="K3" i="1" l="1"/>
  <c r="K31" i="1" s="1"/>
  <c r="CV4" i="23" l="1"/>
  <c r="D4" i="23"/>
  <c r="N4" i="3"/>
  <c r="E4" i="3"/>
  <c r="Q4" i="3"/>
  <c r="R4" i="3"/>
  <c r="R32" i="3" s="1"/>
  <c r="S4" i="3"/>
  <c r="S32" i="3" s="1"/>
  <c r="H4" i="3"/>
  <c r="H4" i="23" l="1"/>
  <c r="T32" i="3"/>
  <c r="CZ4" i="23"/>
  <c r="K4" i="3"/>
  <c r="T4" i="3"/>
  <c r="E6" i="6"/>
  <c r="D6" i="6"/>
  <c r="C6" i="6"/>
  <c r="J4" i="9" l="1"/>
  <c r="J3" i="8"/>
  <c r="J32" i="9" l="1"/>
  <c r="B15" i="23"/>
  <c r="G14" i="6"/>
  <c r="V4" i="9"/>
  <c r="N4" i="9"/>
  <c r="L4" i="9"/>
  <c r="C15" i="23" s="1"/>
  <c r="L32" i="9" l="1"/>
  <c r="E13" i="6"/>
  <c r="N32" i="9"/>
  <c r="CU15" i="23"/>
  <c r="C32" i="23"/>
  <c r="CU32" i="23" s="1"/>
  <c r="CT15" i="23"/>
  <c r="CV15" i="23" s="1"/>
  <c r="CZ15" i="23" s="1"/>
  <c r="D15" i="23"/>
  <c r="B32" i="23"/>
  <c r="CT32" i="23" s="1"/>
  <c r="H6" i="6"/>
  <c r="G11" i="6"/>
  <c r="F11" i="6"/>
  <c r="Z4" i="9"/>
  <c r="X4" i="9"/>
  <c r="G12" i="6"/>
  <c r="F12" i="6"/>
  <c r="CV32" i="23" l="1"/>
  <c r="CZ32" i="23" s="1"/>
  <c r="H15" i="23"/>
  <c r="D32" i="23"/>
  <c r="H32" i="23" s="1"/>
  <c r="F13" i="6" l="1"/>
  <c r="G1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Rakesh Bisht</author>
  </authors>
  <commentList>
    <comment ref="AT7" authorId="0" shapeId="0" xr:uid="{5653DD38-D926-40A6-8220-187BAC38CBBC}">
      <text>
        <r>
          <rPr>
            <b/>
            <sz val="9"/>
            <color indexed="81"/>
            <rFont val="Tahoma"/>
            <family val="2"/>
          </rPr>
          <t>+183600/- trf from South ex, Approved by Preeti mam</t>
        </r>
      </text>
    </comment>
    <comment ref="AT8" authorId="0" shapeId="0" xr:uid="{6FF9535F-97A4-4F93-A522-06C033E68ED7}">
      <text>
        <r>
          <rPr>
            <b/>
            <sz val="9"/>
            <color indexed="81"/>
            <rFont val="Tahoma"/>
            <family val="2"/>
          </rPr>
          <t>Rs. 183600/- Trf to NFC, Approved by Preeti mam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9CB33E-EA4F-4A6C-9A9C-3BDEF3CE2A97}" keepAlive="1" name="Query - Deck" description="Connection to the 'Deck' query in the workbook." type="5" refreshedVersion="8" background="1" saveData="1">
    <dbPr connection="Provider=Microsoft.Mashup.OleDb.1;Data Source=$Workbook$;Location=Deck;Extended Properties=&quot;&quot;" command="SELECT * FROM [Deck]"/>
  </connection>
</connections>
</file>

<file path=xl/sharedStrings.xml><?xml version="1.0" encoding="utf-8"?>
<sst xmlns="http://schemas.openxmlformats.org/spreadsheetml/2006/main" count="1288" uniqueCount="340">
  <si>
    <t>AHMEDABAD</t>
  </si>
  <si>
    <t>BANGALORE</t>
  </si>
  <si>
    <t>CHANDIGARH</t>
  </si>
  <si>
    <t>CHENNAI</t>
  </si>
  <si>
    <t>DELHI-PITAMPURA</t>
  </si>
  <si>
    <t>HYDERABAD</t>
  </si>
  <si>
    <t>INDORE</t>
  </si>
  <si>
    <t>KOLKATA</t>
  </si>
  <si>
    <t>PATNA</t>
  </si>
  <si>
    <t>RAIPUR</t>
  </si>
  <si>
    <t>LUCKNOW</t>
  </si>
  <si>
    <t>MTD</t>
  </si>
  <si>
    <t>LMTD</t>
  </si>
  <si>
    <t>TOTAL</t>
  </si>
  <si>
    <t>ONGOING PATIENT</t>
  </si>
  <si>
    <t>MT</t>
  </si>
  <si>
    <t>MNT</t>
  </si>
  <si>
    <t>NEW PATIENT</t>
  </si>
  <si>
    <t>TARGET</t>
  </si>
  <si>
    <t>ABV- MTD v/s LMTD</t>
  </si>
  <si>
    <t>REVENUE</t>
  </si>
  <si>
    <t>BOX ENROLLMENT- MTD</t>
  </si>
  <si>
    <t>BOX ENROLLMENT- LMTD</t>
  </si>
  <si>
    <t>PRIMARY LINE</t>
  </si>
  <si>
    <t>BASIC LINE</t>
  </si>
  <si>
    <t>CH PLUS</t>
  </si>
  <si>
    <t>SECOND LINE</t>
  </si>
  <si>
    <t>ADVANCE LINE</t>
  </si>
  <si>
    <t>SANJIVANI</t>
  </si>
  <si>
    <t>Package</t>
  </si>
  <si>
    <t>1M</t>
  </si>
  <si>
    <t>2M</t>
  </si>
  <si>
    <t>3M</t>
  </si>
  <si>
    <t>Total</t>
  </si>
  <si>
    <t>Advance</t>
  </si>
  <si>
    <t>Basic</t>
  </si>
  <si>
    <t>CH Plus</t>
  </si>
  <si>
    <t>Executive</t>
  </si>
  <si>
    <t>Sanjeevani</t>
  </si>
  <si>
    <t>Sanjivani Plus</t>
  </si>
  <si>
    <t>Second</t>
  </si>
  <si>
    <t>Grand Total</t>
  </si>
  <si>
    <t>Primary</t>
  </si>
  <si>
    <t>ABV</t>
  </si>
  <si>
    <t>JAIPUR</t>
  </si>
  <si>
    <t>LUDHIANA</t>
  </si>
  <si>
    <t>DEHRADUN</t>
  </si>
  <si>
    <t>Ach%</t>
  </si>
  <si>
    <t xml:space="preserve">Last Month Vs Current Month </t>
  </si>
  <si>
    <t>Organic Life</t>
  </si>
  <si>
    <t>Growth %</t>
  </si>
  <si>
    <t>New Patients</t>
  </si>
  <si>
    <t>Sales</t>
  </si>
  <si>
    <t xml:space="preserve">Target </t>
  </si>
  <si>
    <t xml:space="preserve">Region </t>
  </si>
  <si>
    <t xml:space="preserve">North </t>
  </si>
  <si>
    <t>West</t>
  </si>
  <si>
    <t>East</t>
  </si>
  <si>
    <t>South</t>
  </si>
  <si>
    <t>Avg/ Mth</t>
  </si>
  <si>
    <t xml:space="preserve">May </t>
  </si>
  <si>
    <t>Aug</t>
  </si>
  <si>
    <t>Centers</t>
  </si>
  <si>
    <t>Oct</t>
  </si>
  <si>
    <t>MTD
ACHD</t>
  </si>
  <si>
    <t>Achd. %</t>
  </si>
  <si>
    <t>Avg/ Mth MNT</t>
  </si>
  <si>
    <t>ACHD
%</t>
  </si>
  <si>
    <t>Avg/ Mth MT</t>
  </si>
  <si>
    <t>Total (YTD)</t>
  </si>
  <si>
    <t xml:space="preserve"> MNT %</t>
  </si>
  <si>
    <t>Package Enrollment</t>
  </si>
  <si>
    <t>S.No</t>
  </si>
  <si>
    <t>MT%</t>
  </si>
  <si>
    <t>MNT%</t>
  </si>
  <si>
    <t>Visited</t>
  </si>
  <si>
    <t>S No</t>
  </si>
  <si>
    <t>Target</t>
  </si>
  <si>
    <t>15D</t>
  </si>
  <si>
    <t>LMTD AHCD</t>
  </si>
  <si>
    <t xml:space="preserve"> Total Sales</t>
  </si>
  <si>
    <t>Ach</t>
  </si>
  <si>
    <t xml:space="preserve">LMTD </t>
  </si>
  <si>
    <t>CHC</t>
  </si>
  <si>
    <t>VIRTUAL CENTER</t>
  </si>
  <si>
    <t>CENTER NAME</t>
  </si>
  <si>
    <t>MTD
TARGET</t>
  </si>
  <si>
    <t>ACHIEVEMENT
%age</t>
  </si>
  <si>
    <t>TOTAL FF</t>
  </si>
  <si>
    <t>MNT %</t>
  </si>
  <si>
    <t>PRIMARY LINE*</t>
  </si>
  <si>
    <t>Growth%</t>
  </si>
  <si>
    <t>May</t>
  </si>
  <si>
    <t>SALES SUMMARY</t>
  </si>
  <si>
    <t>Difference
MTD-LMTD</t>
  </si>
  <si>
    <t>Overall</t>
  </si>
  <si>
    <t>LMTD
ACHD</t>
  </si>
  <si>
    <t>%age</t>
  </si>
  <si>
    <t>VARANASI</t>
  </si>
  <si>
    <t>DIFFERENCE
MTD-LMTD</t>
  </si>
  <si>
    <t>GRAND TOTAL</t>
  </si>
  <si>
    <t>Overall Sales</t>
  </si>
  <si>
    <t>Jun</t>
  </si>
  <si>
    <t>Jul</t>
  </si>
  <si>
    <t>Apr</t>
  </si>
  <si>
    <t>OL YTD SALES</t>
  </si>
  <si>
    <t>CHC YTD SALES</t>
  </si>
  <si>
    <t>New</t>
  </si>
  <si>
    <t>SURAT</t>
  </si>
  <si>
    <t>MT-MNT TRACKER</t>
  </si>
  <si>
    <t>CURRENT MONTH/LAST MONTH</t>
  </si>
  <si>
    <t>Growth</t>
  </si>
  <si>
    <t>NEW</t>
  </si>
  <si>
    <t>Overall Centers</t>
  </si>
  <si>
    <t>Sep</t>
  </si>
  <si>
    <t>Virtual</t>
  </si>
  <si>
    <t>North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</si>
  <si>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</si>
  <si>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</si>
  <si>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</si>
  <si>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</si>
  <si>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</si>
  <si>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</si>
  <si>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</si>
  <si>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</si>
  <si>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</si>
  <si>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</si>
  <si>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</si>
  <si>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</si>
  <si>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</si>
  <si>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</si>
  <si>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</si>
  <si>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</si>
  <si>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</si>
  <si>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</si>
  <si>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</si>
  <si>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</si>
  <si>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</si>
  <si>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</si>
  <si>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</si>
  <si>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</si>
  <si>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</si>
  <si>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</si>
  <si>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</si>
  <si>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</si>
  <si>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</si>
  <si>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</si>
  <si>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</si>
  <si>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</si>
  <si>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</si>
  <si>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</si>
  <si>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</si>
  <si>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</si>
  <si>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</si>
  <si>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</si>
  <si>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</si>
  <si>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</si>
  <si>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</si>
  <si>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</si>
  <si>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</si>
  <si>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</si>
  <si>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</si>
  <si>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</si>
  <si>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</si>
  <si>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</si>
  <si>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</si>
  <si>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</si>
  <si>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</si>
  <si>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</si>
  <si>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</si>
  <si>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</si>
  <si>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</si>
  <si>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</si>
  <si>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</si>
  <si>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</si>
  <si>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</si>
  <si>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</si>
  <si>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</si>
  <si>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</si>
  <si>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</si>
  <si>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</si>
  <si>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</si>
  <si>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</si>
  <si>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</si>
  <si>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</si>
  <si>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</si>
  <si>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</si>
  <si>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</si>
  <si>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</si>
  <si>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</si>
  <si>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</si>
  <si>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</si>
  <si>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</si>
  <si>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</si>
  <si>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</si>
  <si>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</si>
  <si>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</si>
  <si>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</si>
  <si>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</si>
  <si>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</si>
  <si>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</si>
  <si>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</si>
  <si>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</si>
  <si>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</si>
  <si>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</si>
  <si>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</si>
  <si>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</si>
  <si>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</si>
  <si>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</si>
  <si>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</si>
  <si>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</si>
  <si>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</si>
  <si>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</si>
  <si>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</si>
  <si>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</si>
  <si>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</si>
  <si>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</si>
  <si>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</si>
  <si>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</si>
  <si>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</si>
  <si>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</si>
  <si>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</si>
  <si>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</si>
  <si>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</si>
  <si>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</si>
  <si>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</si>
  <si>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</si>
  <si>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</si>
  <si>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</si>
  <si>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</si>
  <si>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</si>
  <si>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</si>
  <si>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New Pt</t>
  </si>
  <si>
    <t>Total Work Day</t>
  </si>
  <si>
    <t>Center</t>
  </si>
  <si>
    <t>Patient Visit Center</t>
  </si>
  <si>
    <t>FTD</t>
  </si>
  <si>
    <t>ONGOING</t>
  </si>
  <si>
    <t>MTD
ACHIEVEMENT</t>
  </si>
  <si>
    <t>LMTD
ACHIEVEMENT</t>
  </si>
  <si>
    <t>PROJECTED CLOSER</t>
  </si>
  <si>
    <t>DIFFERENCE</t>
  </si>
  <si>
    <t>PROJECTED
CLOSER</t>
  </si>
  <si>
    <t>Ahmedabad Center</t>
  </si>
  <si>
    <t>Bangalore Center</t>
  </si>
  <si>
    <t>Chandigarh Center</t>
  </si>
  <si>
    <t>Chennai Center</t>
  </si>
  <si>
    <t>Delhi-New friends colony Center</t>
  </si>
  <si>
    <t>Delhi-Pitampura Center</t>
  </si>
  <si>
    <t>Delhi-South extension Center</t>
  </si>
  <si>
    <t>Hyderabad Center</t>
  </si>
  <si>
    <t>Indore Center</t>
  </si>
  <si>
    <t>Kolkata Center</t>
  </si>
  <si>
    <t>Lucknow Center</t>
  </si>
  <si>
    <t>Mumbai Center</t>
  </si>
  <si>
    <t>Patna Center</t>
  </si>
  <si>
    <t>Raipur Center</t>
  </si>
  <si>
    <t>JAIPUR Center</t>
  </si>
  <si>
    <t>MUMBAI PAREL Center</t>
  </si>
  <si>
    <t>LUDHIANA Center</t>
  </si>
  <si>
    <t>DEHRADUN Center</t>
  </si>
  <si>
    <t>Virtual Center</t>
  </si>
  <si>
    <t>SRI SRI Ayurveda Hospital Bangaluru</t>
  </si>
  <si>
    <t>Cancer Healer Hospital</t>
  </si>
  <si>
    <t>Varanashi Center</t>
  </si>
  <si>
    <t>Surat Center</t>
  </si>
  <si>
    <t>RANCHI</t>
  </si>
  <si>
    <t>Ranchi Center</t>
  </si>
  <si>
    <t>Region</t>
  </si>
  <si>
    <t>2025</t>
  </si>
  <si>
    <t>2024</t>
  </si>
  <si>
    <t>Nov</t>
  </si>
  <si>
    <t>Dec</t>
  </si>
  <si>
    <t>GUWAHATI</t>
  </si>
  <si>
    <t>Guwahati Center</t>
  </si>
  <si>
    <t>CURRENT MONTH vs. LAST MONTH</t>
  </si>
  <si>
    <t>5M</t>
  </si>
  <si>
    <t>Thane - Mumbai Center</t>
  </si>
  <si>
    <t>#DIV/0!</t>
  </si>
  <si>
    <t>Old</t>
  </si>
  <si>
    <t>VADODARA</t>
  </si>
  <si>
    <t>Vadodara Center</t>
  </si>
  <si>
    <t>Column136</t>
  </si>
  <si>
    <t>Column137</t>
  </si>
  <si>
    <t>4M</t>
  </si>
  <si>
    <t>Jan</t>
  </si>
  <si>
    <t>Feb</t>
  </si>
  <si>
    <t>Mar</t>
  </si>
  <si>
    <t>2026</t>
  </si>
  <si>
    <t>Column138</t>
  </si>
  <si>
    <t>Column139</t>
  </si>
  <si>
    <t>Column140</t>
  </si>
  <si>
    <t>Column141</t>
  </si>
  <si>
    <t>JEEVAN AMRIT</t>
  </si>
  <si>
    <t>JEEVAN SHAKTI</t>
  </si>
  <si>
    <t>Column116</t>
  </si>
  <si>
    <t>Column117</t>
  </si>
  <si>
    <t>Column118</t>
  </si>
  <si>
    <t>2025-26</t>
  </si>
  <si>
    <t>NASHIK</t>
  </si>
  <si>
    <t>Nashik Center</t>
  </si>
  <si>
    <t>DELHI-CHH</t>
  </si>
  <si>
    <t>DELHI-NFC</t>
  </si>
  <si>
    <t>DELHI-SOUTH EX</t>
  </si>
  <si>
    <t>MUMBAI-JUHU</t>
  </si>
  <si>
    <t>MUMBAI-PAREL</t>
  </si>
  <si>
    <t>MUMBAI-THANE</t>
  </si>
  <si>
    <t>Jeewan Shakti</t>
  </si>
  <si>
    <t>SRI SRI</t>
  </si>
  <si>
    <t>Jeewan Amrit</t>
  </si>
  <si>
    <t>Central</t>
  </si>
  <si>
    <t>.</t>
  </si>
  <si>
    <t>Last Year Sales</t>
  </si>
  <si>
    <t>Q1 Total</t>
  </si>
  <si>
    <t>ORGANIC LIFE</t>
  </si>
  <si>
    <t>New 25-26</t>
  </si>
  <si>
    <t>Current Month Tracker</t>
  </si>
  <si>
    <t>GOLY- REVENUE</t>
  </si>
  <si>
    <t>APR</t>
  </si>
  <si>
    <t>2026-27</t>
  </si>
  <si>
    <t>Last Year</t>
  </si>
  <si>
    <t>GOLY
NEW PATIENT</t>
  </si>
  <si>
    <t>SALES TRACKER- Apr 26</t>
  </si>
  <si>
    <t>Avg MNT%</t>
  </si>
  <si>
    <t>NEW PATIENT TRACKER YTD</t>
  </si>
  <si>
    <t>South Region</t>
  </si>
  <si>
    <t>West Region</t>
  </si>
  <si>
    <t>Central Region</t>
  </si>
  <si>
    <t>East Region</t>
  </si>
  <si>
    <t>North Region</t>
  </si>
  <si>
    <t>SALE FTD 05-Apr</t>
  </si>
  <si>
    <t>ORGANIC LIFE SALES- YTD (2026-27)</t>
  </si>
  <si>
    <t>CHC- GRAND TOTAL</t>
  </si>
  <si>
    <t>CANCER HEALER CENTER SALES- YTD (2026-27)</t>
  </si>
  <si>
    <t>OL- GRAND TOTAL</t>
  </si>
  <si>
    <t>Level 1</t>
  </si>
  <si>
    <t>Level 2</t>
  </si>
  <si>
    <t>Level 3</t>
  </si>
  <si>
    <t>Level 4</t>
  </si>
  <si>
    <t>Level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</si>
</sst>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 Light"/>
      <family val="2"/>
      <scheme val="major"/>
    </font>
    <font>
      <b/>
      <sz val="11"/>
      <color theme="1"/>
      <name val="Aptos"/>
      <family val="2"/>
    </font>
    <font>
      <sz val="11"/>
      <color theme="1"/>
      <name val="Aptos"/>
      <family val="2"/>
    </font>
    <font>
      <b/>
      <sz val="12"/>
      <color theme="1"/>
      <name val="Aptos"/>
      <family val="2"/>
    </font>
    <font>
      <sz val="12"/>
      <color theme="1"/>
      <name val="Aptos"/>
      <family val="2"/>
    </font>
    <font>
      <b/>
      <i/>
      <sz val="11"/>
      <color theme="1"/>
      <name val="Aptos"/>
      <family val="2"/>
    </font>
    <font>
      <i/>
      <sz val="11"/>
      <color theme="1"/>
      <name val="Aptos"/>
      <family val="2"/>
    </font>
    <font>
      <b/>
      <i/>
      <sz val="12"/>
      <color theme="1"/>
      <name val="Aptos"/>
      <family val="2"/>
    </font>
    <font>
      <i/>
      <sz val="12"/>
      <color theme="1"/>
      <name val="Aptos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C5D9F1"/>
        <bgColor indexed="64"/>
      </patternFill>
    </fill>
    <fill>
      <patternFill patternType="solid">
        <fgColor rgb="FFFFE59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theme="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4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4" fillId="9" borderId="1" xfId="0" applyFont="1" applyFill="1" applyBorder="1" applyAlignment="1">
      <alignment horizontal="center" vertical="center" wrapText="1"/>
    </xf>
    <xf numFmtId="1" fontId="5" fillId="11" borderId="1" xfId="0" applyNumberFormat="1" applyFont="1" applyFill="1" applyBorder="1" applyAlignment="1">
      <alignment horizontal="center" vertical="center" wrapText="1"/>
    </xf>
    <xf numFmtId="9" fontId="5" fillId="11" borderId="1" xfId="0" applyNumberFormat="1" applyFont="1" applyFill="1" applyBorder="1" applyAlignment="1">
      <alignment horizontal="center" vertical="center" wrapText="1"/>
    </xf>
    <xf numFmtId="1" fontId="5" fillId="12" borderId="1" xfId="0" applyNumberFormat="1" applyFont="1" applyFill="1" applyBorder="1" applyAlignment="1">
      <alignment horizontal="center" vertical="center" wrapText="1"/>
    </xf>
    <xf numFmtId="9" fontId="5" fillId="12" borderId="1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wrapText="1"/>
    </xf>
    <xf numFmtId="9" fontId="11" fillId="17" borderId="1" xfId="2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1" fontId="4" fillId="11" borderId="5" xfId="0" applyNumberFormat="1" applyFont="1" applyFill="1" applyBorder="1" applyAlignment="1">
      <alignment horizontal="center" vertical="center" wrapText="1"/>
    </xf>
    <xf numFmtId="0" fontId="4" fillId="11" borderId="5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9" fontId="5" fillId="11" borderId="6" xfId="0" applyNumberFormat="1" applyFont="1" applyFill="1" applyBorder="1" applyAlignment="1">
      <alignment horizontal="center" vertical="center" wrapText="1"/>
    </xf>
    <xf numFmtId="9" fontId="4" fillId="11" borderId="6" xfId="0" applyNumberFormat="1" applyFont="1" applyFill="1" applyBorder="1" applyAlignment="1">
      <alignment horizontal="center" vertical="center" wrapText="1"/>
    </xf>
    <xf numFmtId="1" fontId="4" fillId="12" borderId="5" xfId="0" applyNumberFormat="1" applyFont="1" applyFill="1" applyBorder="1" applyAlignment="1">
      <alignment horizontal="center" vertical="center" wrapText="1"/>
    </xf>
    <xf numFmtId="9" fontId="5" fillId="12" borderId="6" xfId="0" applyNumberFormat="1" applyFont="1" applyFill="1" applyBorder="1" applyAlignment="1">
      <alignment horizontal="center" vertical="center" wrapText="1"/>
    </xf>
    <xf numFmtId="1" fontId="6" fillId="9" borderId="6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6" fillId="10" borderId="20" xfId="0" applyFont="1" applyFill="1" applyBorder="1" applyAlignment="1">
      <alignment horizontal="center" vertical="center"/>
    </xf>
    <xf numFmtId="0" fontId="4" fillId="17" borderId="5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0" fontId="4" fillId="17" borderId="6" xfId="0" applyFont="1" applyFill="1" applyBorder="1" applyAlignment="1">
      <alignment horizontal="center" vertical="center"/>
    </xf>
    <xf numFmtId="1" fontId="4" fillId="17" borderId="5" xfId="0" applyNumberFormat="1" applyFont="1" applyFill="1" applyBorder="1" applyAlignment="1">
      <alignment horizontal="center" vertical="center" wrapText="1"/>
    </xf>
    <xf numFmtId="9" fontId="5" fillId="17" borderId="1" xfId="0" applyNumberFormat="1" applyFont="1" applyFill="1" applyBorder="1" applyAlignment="1">
      <alignment horizontal="center" vertical="center" wrapText="1"/>
    </xf>
    <xf numFmtId="0" fontId="7" fillId="9" borderId="1" xfId="0" applyFont="1" applyFill="1" applyBorder="1" applyAlignment="1" applyProtection="1">
      <alignment horizontal="center" vertical="center"/>
      <protection hidden="1"/>
    </xf>
    <xf numFmtId="0" fontId="2" fillId="0" borderId="0" xfId="0" applyFont="1"/>
    <xf numFmtId="17" fontId="6" fillId="0" borderId="0" xfId="0" applyNumberFormat="1" applyFont="1" applyAlignment="1" applyProtection="1">
      <alignment horizontal="center" vertical="center"/>
      <protection hidden="1"/>
    </xf>
    <xf numFmtId="9" fontId="6" fillId="0" borderId="0" xfId="0" applyNumberFormat="1" applyFont="1" applyAlignment="1" applyProtection="1">
      <alignment horizontal="center" vertical="center"/>
      <protection hidden="1"/>
    </xf>
    <xf numFmtId="17" fontId="6" fillId="0" borderId="0" xfId="0" applyNumberFormat="1" applyFont="1" applyAlignment="1">
      <alignment horizontal="center" vertical="center"/>
    </xf>
    <xf numFmtId="9" fontId="6" fillId="0" borderId="0" xfId="1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9" fontId="5" fillId="0" borderId="0" xfId="0" applyNumberFormat="1" applyFont="1" applyAlignment="1">
      <alignment horizontal="center" vertical="center" wrapText="1"/>
    </xf>
    <xf numFmtId="1" fontId="4" fillId="8" borderId="25" xfId="0" applyNumberFormat="1" applyFont="1" applyFill="1" applyBorder="1" applyAlignment="1">
      <alignment horizontal="center" vertical="center" wrapText="1"/>
    </xf>
    <xf numFmtId="1" fontId="4" fillId="8" borderId="20" xfId="0" applyNumberFormat="1" applyFont="1" applyFill="1" applyBorder="1" applyAlignment="1">
      <alignment horizontal="center" vertical="center" wrapText="1"/>
    </xf>
    <xf numFmtId="0" fontId="10" fillId="18" borderId="1" xfId="0" applyFont="1" applyFill="1" applyBorder="1" applyAlignment="1">
      <alignment horizontal="center" vertical="center"/>
    </xf>
    <xf numFmtId="1" fontId="10" fillId="17" borderId="1" xfId="0" applyNumberFormat="1" applyFont="1" applyFill="1" applyBorder="1" applyAlignment="1">
      <alignment horizontal="center" vertical="center"/>
    </xf>
    <xf numFmtId="1" fontId="8" fillId="17" borderId="40" xfId="0" applyNumberFormat="1" applyFont="1" applyFill="1" applyBorder="1" applyAlignment="1">
      <alignment horizontal="center" vertical="center" wrapText="1"/>
    </xf>
    <xf numFmtId="1" fontId="4" fillId="8" borderId="23" xfId="0" applyNumberFormat="1" applyFont="1" applyFill="1" applyBorder="1" applyAlignment="1">
      <alignment horizontal="center" vertical="center" wrapText="1"/>
    </xf>
    <xf numFmtId="1" fontId="5" fillId="8" borderId="23" xfId="0" applyNumberFormat="1" applyFont="1" applyFill="1" applyBorder="1" applyAlignment="1">
      <alignment horizontal="center" vertical="center" wrapText="1"/>
    </xf>
    <xf numFmtId="1" fontId="6" fillId="9" borderId="1" xfId="1" applyNumberFormat="1" applyFont="1" applyFill="1" applyBorder="1" applyAlignment="1" applyProtection="1">
      <alignment horizontal="center" vertical="center"/>
      <protection hidden="1"/>
    </xf>
    <xf numFmtId="9" fontId="0" fillId="0" borderId="0" xfId="0" applyNumberFormat="1"/>
    <xf numFmtId="0" fontId="7" fillId="10" borderId="1" xfId="0" applyFont="1" applyFill="1" applyBorder="1" applyAlignment="1" applyProtection="1">
      <alignment horizontal="center" vertical="center"/>
      <protection hidden="1"/>
    </xf>
    <xf numFmtId="1" fontId="7" fillId="10" borderId="1" xfId="1" applyNumberFormat="1" applyFont="1" applyFill="1" applyBorder="1" applyAlignment="1" applyProtection="1">
      <alignment horizontal="center" vertical="center"/>
      <protection hidden="1"/>
    </xf>
    <xf numFmtId="1" fontId="6" fillId="10" borderId="1" xfId="1" applyNumberFormat="1" applyFont="1" applyFill="1" applyBorder="1" applyAlignment="1" applyProtection="1">
      <alignment horizontal="center" vertical="center"/>
      <protection hidden="1"/>
    </xf>
    <xf numFmtId="1" fontId="5" fillId="16" borderId="1" xfId="0" applyNumberFormat="1" applyFont="1" applyFill="1" applyBorder="1" applyAlignment="1">
      <alignment horizontal="center" vertical="center" wrapText="1"/>
    </xf>
    <xf numFmtId="0" fontId="4" fillId="9" borderId="12" xfId="0" applyFont="1" applyFill="1" applyBorder="1" applyAlignment="1">
      <alignment vertical="center"/>
    </xf>
    <xf numFmtId="1" fontId="5" fillId="16" borderId="14" xfId="0" applyNumberFormat="1" applyFont="1" applyFill="1" applyBorder="1" applyAlignment="1">
      <alignment horizontal="center" vertical="center" wrapText="1"/>
    </xf>
    <xf numFmtId="15" fontId="4" fillId="9" borderId="20" xfId="0" applyNumberFormat="1" applyFont="1" applyFill="1" applyBorder="1" applyAlignment="1">
      <alignment horizontal="center" vertical="center" wrapText="1"/>
    </xf>
    <xf numFmtId="0" fontId="4" fillId="9" borderId="8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6" fillId="17" borderId="1" xfId="0" applyFont="1" applyFill="1" applyBorder="1" applyAlignment="1" applyProtection="1">
      <alignment horizontal="center" vertical="center"/>
      <protection hidden="1"/>
    </xf>
    <xf numFmtId="0" fontId="6" fillId="10" borderId="1" xfId="0" applyFont="1" applyFill="1" applyBorder="1" applyAlignment="1" applyProtection="1">
      <alignment horizontal="center" vertical="center"/>
      <protection hidden="1"/>
    </xf>
    <xf numFmtId="0" fontId="6" fillId="9" borderId="1" xfId="0" applyFont="1" applyFill="1" applyBorder="1" applyAlignment="1" applyProtection="1">
      <alignment horizontal="center" vertical="center"/>
      <protection hidden="1"/>
    </xf>
    <xf numFmtId="0" fontId="7" fillId="17" borderId="1" xfId="0" applyFont="1" applyFill="1" applyBorder="1" applyAlignment="1" applyProtection="1">
      <alignment horizontal="center" vertical="center"/>
      <protection hidden="1"/>
    </xf>
    <xf numFmtId="0" fontId="6" fillId="2" borderId="1" xfId="0" applyFont="1" applyFill="1" applyBorder="1" applyAlignment="1" applyProtection="1">
      <alignment horizontal="center" vertical="center"/>
      <protection hidden="1"/>
    </xf>
    <xf numFmtId="49" fontId="6" fillId="0" borderId="0" xfId="0" applyNumberFormat="1" applyFont="1" applyAlignment="1" applyProtection="1">
      <alignment horizontal="center" vertical="center"/>
      <protection hidden="1"/>
    </xf>
    <xf numFmtId="49" fontId="6" fillId="0" borderId="0" xfId="0" applyNumberFormat="1" applyFont="1" applyAlignment="1" applyProtection="1">
      <alignment horizontal="center" vertical="center" wrapText="1"/>
      <protection hidden="1"/>
    </xf>
    <xf numFmtId="49" fontId="0" fillId="0" borderId="0" xfId="0" applyNumberFormat="1"/>
    <xf numFmtId="1" fontId="4" fillId="12" borderId="1" xfId="0" applyNumberFormat="1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15" fontId="4" fillId="3" borderId="1" xfId="0" applyNumberFormat="1" applyFont="1" applyFill="1" applyBorder="1" applyAlignment="1">
      <alignment horizontal="center" vertical="center" wrapText="1"/>
    </xf>
    <xf numFmtId="0" fontId="4" fillId="10" borderId="1" xfId="0" applyFont="1" applyFill="1" applyBorder="1" applyAlignment="1">
      <alignment vertical="center"/>
    </xf>
    <xf numFmtId="0" fontId="5" fillId="16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/>
    </xf>
    <xf numFmtId="1" fontId="4" fillId="13" borderId="1" xfId="0" applyNumberFormat="1" applyFont="1" applyFill="1" applyBorder="1" applyAlignment="1">
      <alignment horizontal="center" vertical="center" wrapText="1"/>
    </xf>
    <xf numFmtId="49" fontId="6" fillId="20" borderId="1" xfId="0" applyNumberFormat="1" applyFont="1" applyFill="1" applyBorder="1" applyAlignment="1" applyProtection="1">
      <alignment horizontal="center" vertical="center" wrapText="1"/>
      <protection hidden="1"/>
    </xf>
    <xf numFmtId="17" fontId="6" fillId="20" borderId="1" xfId="0" applyNumberFormat="1" applyFont="1" applyFill="1" applyBorder="1" applyAlignment="1" applyProtection="1">
      <alignment horizontal="center" vertical="center"/>
      <protection hidden="1"/>
    </xf>
    <xf numFmtId="9" fontId="6" fillId="9" borderId="1" xfId="0" applyNumberFormat="1" applyFont="1" applyFill="1" applyBorder="1" applyAlignment="1" applyProtection="1">
      <alignment horizontal="center" vertical="center"/>
      <protection hidden="1"/>
    </xf>
    <xf numFmtId="1" fontId="4" fillId="11" borderId="6" xfId="0" applyNumberFormat="1" applyFont="1" applyFill="1" applyBorder="1" applyAlignment="1">
      <alignment horizontal="center" vertical="center" wrapText="1"/>
    </xf>
    <xf numFmtId="1" fontId="5" fillId="11" borderId="5" xfId="0" applyNumberFormat="1" applyFont="1" applyFill="1" applyBorder="1" applyAlignment="1">
      <alignment horizontal="center" vertical="center" wrapText="1"/>
    </xf>
    <xf numFmtId="17" fontId="6" fillId="7" borderId="1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49" fontId="6" fillId="10" borderId="1" xfId="0" applyNumberFormat="1" applyFont="1" applyFill="1" applyBorder="1" applyAlignment="1">
      <alignment horizontal="center" vertical="center"/>
    </xf>
    <xf numFmtId="164" fontId="6" fillId="19" borderId="1" xfId="1" applyFont="1" applyFill="1" applyBorder="1" applyAlignment="1">
      <alignment horizontal="center" vertical="center" wrapText="1"/>
    </xf>
    <xf numFmtId="1" fontId="7" fillId="9" borderId="1" xfId="0" applyNumberFormat="1" applyFont="1" applyFill="1" applyBorder="1" applyAlignment="1">
      <alignment horizontal="center" vertical="center"/>
    </xf>
    <xf numFmtId="1" fontId="6" fillId="9" borderId="1" xfId="0" applyNumberFormat="1" applyFont="1" applyFill="1" applyBorder="1" applyAlignment="1">
      <alignment horizontal="center" vertical="center"/>
    </xf>
    <xf numFmtId="2" fontId="6" fillId="9" borderId="8" xfId="0" applyNumberFormat="1" applyFont="1" applyFill="1" applyBorder="1" applyAlignment="1">
      <alignment horizontal="center" vertical="center"/>
    </xf>
    <xf numFmtId="2" fontId="6" fillId="9" borderId="9" xfId="0" applyNumberFormat="1" applyFont="1" applyFill="1" applyBorder="1" applyAlignment="1">
      <alignment horizontal="center" vertical="center"/>
    </xf>
    <xf numFmtId="0" fontId="4" fillId="9" borderId="7" xfId="0" applyFont="1" applyFill="1" applyBorder="1" applyAlignment="1">
      <alignment vertical="center"/>
    </xf>
    <xf numFmtId="49" fontId="6" fillId="20" borderId="1" xfId="0" applyNumberFormat="1" applyFont="1" applyFill="1" applyBorder="1" applyAlignment="1" applyProtection="1">
      <alignment horizontal="centerContinuous" vertical="center"/>
      <protection hidden="1"/>
    </xf>
    <xf numFmtId="0" fontId="6" fillId="2" borderId="1" xfId="0" applyFont="1" applyFill="1" applyBorder="1" applyAlignment="1" applyProtection="1">
      <alignment horizontal="left" vertical="center"/>
      <protection hidden="1"/>
    </xf>
    <xf numFmtId="0" fontId="6" fillId="9" borderId="1" xfId="0" applyFont="1" applyFill="1" applyBorder="1" applyAlignment="1" applyProtection="1">
      <alignment horizontal="left" vertical="center"/>
      <protection hidden="1"/>
    </xf>
    <xf numFmtId="0" fontId="13" fillId="9" borderId="1" xfId="0" applyFont="1" applyFill="1" applyBorder="1" applyAlignment="1">
      <alignment horizontal="left" vertical="center"/>
    </xf>
    <xf numFmtId="0" fontId="6" fillId="9" borderId="1" xfId="0" applyFont="1" applyFill="1" applyBorder="1" applyAlignment="1">
      <alignment horizontal="left"/>
    </xf>
    <xf numFmtId="0" fontId="6" fillId="7" borderId="1" xfId="0" applyFont="1" applyFill="1" applyBorder="1" applyAlignment="1">
      <alignment horizontal="right" vertical="center"/>
    </xf>
    <xf numFmtId="0" fontId="6" fillId="7" borderId="1" xfId="0" applyFont="1" applyFill="1" applyBorder="1" applyAlignment="1">
      <alignment horizontal="left" vertical="center"/>
    </xf>
    <xf numFmtId="1" fontId="6" fillId="17" borderId="1" xfId="1" applyNumberFormat="1" applyFont="1" applyFill="1" applyBorder="1" applyAlignment="1" applyProtection="1">
      <alignment horizontal="center" vertical="center"/>
      <protection hidden="1"/>
    </xf>
    <xf numFmtId="17" fontId="6" fillId="7" borderId="1" xfId="0" applyNumberFormat="1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15" fontId="6" fillId="8" borderId="20" xfId="0" applyNumberFormat="1" applyFont="1" applyFill="1" applyBorder="1" applyAlignment="1">
      <alignment horizontal="center" vertical="center"/>
    </xf>
    <xf numFmtId="0" fontId="10" fillId="18" borderId="6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left" vertical="center"/>
    </xf>
    <xf numFmtId="2" fontId="11" fillId="17" borderId="6" xfId="0" applyNumberFormat="1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left" vertical="center"/>
    </xf>
    <xf numFmtId="1" fontId="6" fillId="9" borderId="8" xfId="0" applyNumberFormat="1" applyFont="1" applyFill="1" applyBorder="1" applyAlignment="1">
      <alignment horizontal="center" vertical="center"/>
    </xf>
    <xf numFmtId="0" fontId="11" fillId="17" borderId="8" xfId="0" applyFont="1" applyFill="1" applyBorder="1" applyAlignment="1">
      <alignment horizontal="center" vertical="center"/>
    </xf>
    <xf numFmtId="1" fontId="10" fillId="17" borderId="8" xfId="0" applyNumberFormat="1" applyFont="1" applyFill="1" applyBorder="1" applyAlignment="1">
      <alignment horizontal="center" vertical="center"/>
    </xf>
    <xf numFmtId="2" fontId="11" fillId="17" borderId="9" xfId="0" applyNumberFormat="1" applyFont="1" applyFill="1" applyBorder="1" applyAlignment="1">
      <alignment horizontal="center" vertical="center"/>
    </xf>
    <xf numFmtId="49" fontId="6" fillId="20" borderId="0" xfId="0" applyNumberFormat="1" applyFont="1" applyFill="1" applyAlignment="1" applyProtection="1">
      <alignment horizontal="centerContinuous" vertical="center"/>
      <protection hidden="1"/>
    </xf>
    <xf numFmtId="49" fontId="6" fillId="0" borderId="0" xfId="0" applyNumberFormat="1" applyFont="1" applyAlignment="1" applyProtection="1">
      <alignment horizontal="centerContinuous" vertical="center"/>
      <protection hidden="1"/>
    </xf>
    <xf numFmtId="0" fontId="4" fillId="10" borderId="23" xfId="0" applyFont="1" applyFill="1" applyBorder="1" applyAlignment="1">
      <alignment vertical="center"/>
    </xf>
    <xf numFmtId="0" fontId="7" fillId="21" borderId="0" xfId="0" applyFont="1" applyFill="1" applyAlignment="1">
      <alignment horizontal="center" vertical="center"/>
    </xf>
    <xf numFmtId="0" fontId="6" fillId="21" borderId="0" xfId="0" applyFont="1" applyFill="1" applyAlignment="1">
      <alignment vertical="center"/>
    </xf>
    <xf numFmtId="1" fontId="7" fillId="21" borderId="0" xfId="0" applyNumberFormat="1" applyFont="1" applyFill="1" applyAlignment="1">
      <alignment horizontal="center" vertical="center" wrapText="1"/>
    </xf>
    <xf numFmtId="1" fontId="6" fillId="21" borderId="0" xfId="0" applyNumberFormat="1" applyFont="1" applyFill="1" applyAlignment="1">
      <alignment horizontal="center" vertical="center"/>
    </xf>
    <xf numFmtId="1" fontId="5" fillId="17" borderId="1" xfId="0" applyNumberFormat="1" applyFont="1" applyFill="1" applyBorder="1" applyAlignment="1">
      <alignment horizontal="center" vertical="center"/>
    </xf>
    <xf numFmtId="1" fontId="4" fillId="16" borderId="14" xfId="0" applyNumberFormat="1" applyFont="1" applyFill="1" applyBorder="1" applyAlignment="1">
      <alignment horizontal="center" vertical="center" wrapText="1"/>
    </xf>
    <xf numFmtId="1" fontId="5" fillId="12" borderId="5" xfId="0" applyNumberFormat="1" applyFont="1" applyFill="1" applyBorder="1" applyAlignment="1">
      <alignment horizontal="center" vertical="center" wrapText="1"/>
    </xf>
    <xf numFmtId="0" fontId="6" fillId="17" borderId="1" xfId="0" applyFont="1" applyFill="1" applyBorder="1" applyAlignment="1">
      <alignment horizontal="center" vertical="center" wrapText="1"/>
    </xf>
    <xf numFmtId="15" fontId="6" fillId="8" borderId="6" xfId="0" applyNumberFormat="1" applyFont="1" applyFill="1" applyBorder="1" applyAlignment="1">
      <alignment horizontal="center" vertical="center" wrapText="1"/>
    </xf>
    <xf numFmtId="0" fontId="6" fillId="7" borderId="5" xfId="0" applyFont="1" applyFill="1" applyBorder="1" applyAlignment="1">
      <alignment horizontal="center" wrapText="1"/>
    </xf>
    <xf numFmtId="0" fontId="6" fillId="7" borderId="5" xfId="0" applyFont="1" applyFill="1" applyBorder="1" applyAlignment="1">
      <alignment vertical="center"/>
    </xf>
    <xf numFmtId="0" fontId="6" fillId="7" borderId="7" xfId="0" applyFont="1" applyFill="1" applyBorder="1" applyAlignment="1">
      <alignment vertical="center"/>
    </xf>
    <xf numFmtId="15" fontId="0" fillId="0" borderId="0" xfId="0" applyNumberFormat="1"/>
    <xf numFmtId="9" fontId="4" fillId="17" borderId="6" xfId="0" applyNumberFormat="1" applyFont="1" applyFill="1" applyBorder="1" applyAlignment="1">
      <alignment horizontal="center" vertical="center" wrapText="1"/>
    </xf>
    <xf numFmtId="0" fontId="4" fillId="11" borderId="4" xfId="0" applyFont="1" applyFill="1" applyBorder="1" applyAlignment="1">
      <alignment horizontal="center" vertical="center"/>
    </xf>
    <xf numFmtId="1" fontId="4" fillId="7" borderId="43" xfId="0" applyNumberFormat="1" applyFont="1" applyFill="1" applyBorder="1" applyAlignment="1">
      <alignment horizontal="center" vertical="center" wrapText="1"/>
    </xf>
    <xf numFmtId="1" fontId="4" fillId="11" borderId="4" xfId="0" applyNumberFormat="1" applyFont="1" applyFill="1" applyBorder="1" applyAlignment="1">
      <alignment horizontal="center" vertical="center" wrapText="1"/>
    </xf>
    <xf numFmtId="0" fontId="6" fillId="17" borderId="1" xfId="0" quotePrefix="1" applyFont="1" applyFill="1" applyBorder="1" applyAlignment="1">
      <alignment horizontal="center" vertical="center"/>
    </xf>
    <xf numFmtId="49" fontId="6" fillId="10" borderId="1" xfId="0" quotePrefix="1" applyNumberFormat="1" applyFont="1" applyFill="1" applyBorder="1" applyAlignment="1">
      <alignment horizontal="center" vertical="center"/>
    </xf>
    <xf numFmtId="1" fontId="4" fillId="12" borderId="6" xfId="0" applyNumberFormat="1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center"/>
    </xf>
    <xf numFmtId="0" fontId="7" fillId="10" borderId="1" xfId="0" applyFont="1" applyFill="1" applyBorder="1" applyAlignment="1">
      <alignment horizontal="center" vertical="center"/>
    </xf>
    <xf numFmtId="0" fontId="6" fillId="10" borderId="24" xfId="0" applyFont="1" applyFill="1" applyBorder="1" applyAlignment="1">
      <alignment horizontal="center" vertical="center"/>
    </xf>
    <xf numFmtId="0" fontId="6" fillId="10" borderId="24" xfId="0" applyFont="1" applyFill="1" applyBorder="1" applyAlignment="1">
      <alignment horizontal="left" vertical="center"/>
    </xf>
    <xf numFmtId="0" fontId="6" fillId="7" borderId="21" xfId="0" applyFont="1" applyFill="1" applyBorder="1" applyAlignment="1">
      <alignment horizontal="center" vertical="center" wrapText="1"/>
    </xf>
    <xf numFmtId="1" fontId="6" fillId="7" borderId="6" xfId="1" applyNumberFormat="1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center" vertical="center" wrapText="1"/>
    </xf>
    <xf numFmtId="1" fontId="4" fillId="12" borderId="12" xfId="0" applyNumberFormat="1" applyFont="1" applyFill="1" applyBorder="1" applyAlignment="1">
      <alignment horizontal="center" vertical="center" wrapText="1"/>
    </xf>
    <xf numFmtId="0" fontId="4" fillId="9" borderId="36" xfId="0" applyFont="1" applyFill="1" applyBorder="1" applyAlignment="1">
      <alignment horizontal="center" vertical="center" wrapText="1"/>
    </xf>
    <xf numFmtId="1" fontId="4" fillId="16" borderId="44" xfId="0" applyNumberFormat="1" applyFont="1" applyFill="1" applyBorder="1" applyAlignment="1">
      <alignment horizontal="center" vertical="center" wrapText="1"/>
    </xf>
    <xf numFmtId="0" fontId="4" fillId="9" borderId="5" xfId="0" applyFont="1" applyFill="1" applyBorder="1" applyAlignment="1">
      <alignment horizontal="center" vertical="center" wrapText="1"/>
    </xf>
    <xf numFmtId="49" fontId="6" fillId="20" borderId="1" xfId="0" applyNumberFormat="1" applyFont="1" applyFill="1" applyBorder="1" applyAlignment="1" applyProtection="1">
      <alignment horizontal="center" vertical="center"/>
      <protection hidden="1"/>
    </xf>
    <xf numFmtId="0" fontId="4" fillId="11" borderId="43" xfId="0" applyFont="1" applyFill="1" applyBorder="1" applyAlignment="1">
      <alignment horizontal="center" vertical="center" wrapText="1"/>
    </xf>
    <xf numFmtId="1" fontId="4" fillId="10" borderId="1" xfId="0" applyNumberFormat="1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1" fontId="5" fillId="10" borderId="1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/>
    </xf>
    <xf numFmtId="1" fontId="4" fillId="10" borderId="1" xfId="0" applyNumberFormat="1" applyFont="1" applyFill="1" applyBorder="1" applyAlignment="1">
      <alignment horizontal="center" vertical="center" wrapText="1"/>
    </xf>
    <xf numFmtId="1" fontId="4" fillId="8" borderId="2" xfId="0" applyNumberFormat="1" applyFont="1" applyFill="1" applyBorder="1" applyAlignment="1">
      <alignment horizontal="center" vertical="center" wrapText="1"/>
    </xf>
    <xf numFmtId="1" fontId="8" fillId="17" borderId="39" xfId="0" applyNumberFormat="1" applyFont="1" applyFill="1" applyBorder="1" applyAlignment="1">
      <alignment horizontal="center" vertical="center" wrapText="1"/>
    </xf>
    <xf numFmtId="1" fontId="4" fillId="8" borderId="15" xfId="0" applyNumberFormat="1" applyFont="1" applyFill="1" applyBorder="1" applyAlignment="1">
      <alignment horizontal="center" vertical="center" wrapText="1"/>
    </xf>
    <xf numFmtId="1" fontId="8" fillId="8" borderId="3" xfId="0" applyNumberFormat="1" applyFont="1" applyFill="1" applyBorder="1" applyAlignment="1">
      <alignment horizontal="center" vertical="center" wrapText="1"/>
    </xf>
    <xf numFmtId="1" fontId="4" fillId="11" borderId="5" xfId="0" applyNumberFormat="1" applyFont="1" applyFill="1" applyBorder="1" applyAlignment="1">
      <alignment horizontal="center" vertical="center"/>
    </xf>
    <xf numFmtId="1" fontId="4" fillId="11" borderId="1" xfId="0" applyNumberFormat="1" applyFont="1" applyFill="1" applyBorder="1" applyAlignment="1">
      <alignment horizontal="center" vertical="center"/>
    </xf>
    <xf numFmtId="1" fontId="4" fillId="11" borderId="4" xfId="0" applyNumberFormat="1" applyFont="1" applyFill="1" applyBorder="1" applyAlignment="1">
      <alignment horizontal="center" vertical="center"/>
    </xf>
    <xf numFmtId="1" fontId="4" fillId="11" borderId="6" xfId="0" applyNumberFormat="1" applyFont="1" applyFill="1" applyBorder="1" applyAlignment="1">
      <alignment horizontal="center" vertical="center"/>
    </xf>
    <xf numFmtId="1" fontId="4" fillId="10" borderId="1" xfId="0" applyNumberFormat="1" applyFont="1" applyFill="1" applyBorder="1" applyAlignment="1">
      <alignment horizontal="left" vertical="center"/>
    </xf>
    <xf numFmtId="1" fontId="9" fillId="8" borderId="32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" fontId="5" fillId="0" borderId="0" xfId="0" applyNumberFormat="1" applyFont="1"/>
    <xf numFmtId="1" fontId="4" fillId="11" borderId="12" xfId="0" applyNumberFormat="1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 wrapText="1"/>
    </xf>
    <xf numFmtId="0" fontId="8" fillId="17" borderId="1" xfId="0" applyFont="1" applyFill="1" applyBorder="1" applyAlignment="1">
      <alignment horizontal="center" vertical="center" wrapText="1"/>
    </xf>
    <xf numFmtId="1" fontId="8" fillId="17" borderId="1" xfId="0" applyNumberFormat="1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9" fontId="5" fillId="12" borderId="1" xfId="0" applyNumberFormat="1" applyFont="1" applyFill="1" applyBorder="1" applyAlignment="1">
      <alignment horizontal="center" vertical="center"/>
    </xf>
    <xf numFmtId="0" fontId="15" fillId="0" borderId="0" xfId="0" applyFont="1"/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4" fillId="14" borderId="31" xfId="0" applyFont="1" applyFill="1" applyBorder="1" applyAlignment="1">
      <alignment vertical="center" wrapText="1"/>
    </xf>
    <xf numFmtId="1" fontId="6" fillId="9" borderId="1" xfId="0" applyNumberFormat="1" applyFont="1" applyFill="1" applyBorder="1" applyAlignment="1" applyProtection="1">
      <alignment horizontal="left" vertical="center"/>
      <protection hidden="1"/>
    </xf>
    <xf numFmtId="17" fontId="10" fillId="17" borderId="1" xfId="0" applyNumberFormat="1" applyFont="1" applyFill="1" applyBorder="1" applyAlignment="1">
      <alignment horizontal="center" vertical="center"/>
    </xf>
    <xf numFmtId="17" fontId="10" fillId="17" borderId="6" xfId="0" applyNumberFormat="1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17" fontId="6" fillId="4" borderId="1" xfId="0" applyNumberFormat="1" applyFont="1" applyFill="1" applyBorder="1" applyAlignment="1">
      <alignment horizontal="center" vertical="center"/>
    </xf>
    <xf numFmtId="1" fontId="4" fillId="10" borderId="5" xfId="0" applyNumberFormat="1" applyFont="1" applyFill="1" applyBorder="1" applyAlignment="1">
      <alignment horizontal="center" vertical="center"/>
    </xf>
    <xf numFmtId="1" fontId="4" fillId="10" borderId="6" xfId="0" applyNumberFormat="1" applyFont="1" applyFill="1" applyBorder="1" applyAlignment="1">
      <alignment horizontal="center" vertical="center"/>
    </xf>
    <xf numFmtId="1" fontId="4" fillId="10" borderId="6" xfId="0" applyNumberFormat="1" applyFont="1" applyFill="1" applyBorder="1" applyAlignment="1">
      <alignment horizontal="left" vertical="center"/>
    </xf>
    <xf numFmtId="1" fontId="4" fillId="10" borderId="7" xfId="0" applyNumberFormat="1" applyFont="1" applyFill="1" applyBorder="1" applyAlignment="1">
      <alignment horizontal="center" vertical="center"/>
    </xf>
    <xf numFmtId="1" fontId="4" fillId="10" borderId="8" xfId="0" applyNumberFormat="1" applyFont="1" applyFill="1" applyBorder="1" applyAlignment="1">
      <alignment horizontal="center" vertical="center"/>
    </xf>
    <xf numFmtId="1" fontId="4" fillId="10" borderId="9" xfId="0" applyNumberFormat="1" applyFont="1" applyFill="1" applyBorder="1" applyAlignment="1">
      <alignment horizontal="left" vertical="center"/>
    </xf>
    <xf numFmtId="0" fontId="4" fillId="10" borderId="25" xfId="0" applyFont="1" applyFill="1" applyBorder="1" applyAlignment="1">
      <alignment vertical="center"/>
    </xf>
    <xf numFmtId="1" fontId="6" fillId="13" borderId="9" xfId="0" applyNumberFormat="1" applyFont="1" applyFill="1" applyBorder="1" applyAlignment="1">
      <alignment horizontal="center" vertical="center"/>
    </xf>
    <xf numFmtId="0" fontId="6" fillId="10" borderId="24" xfId="0" applyFont="1" applyFill="1" applyBorder="1" applyAlignment="1">
      <alignment horizontal="center" vertical="center" wrapText="1"/>
    </xf>
    <xf numFmtId="0" fontId="6" fillId="13" borderId="36" xfId="0" applyFont="1" applyFill="1" applyBorder="1" applyAlignment="1">
      <alignment horizontal="center" vertical="center"/>
    </xf>
    <xf numFmtId="0" fontId="6" fillId="13" borderId="48" xfId="0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20" borderId="7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1" fontId="6" fillId="7" borderId="9" xfId="1" applyNumberFormat="1" applyFont="1" applyFill="1" applyBorder="1" applyAlignment="1">
      <alignment horizontal="center" vertical="center" wrapText="1"/>
    </xf>
    <xf numFmtId="1" fontId="6" fillId="10" borderId="47" xfId="0" applyNumberFormat="1" applyFont="1" applyFill="1" applyBorder="1" applyAlignment="1">
      <alignment horizontal="center" vertical="center"/>
    </xf>
    <xf numFmtId="0" fontId="0" fillId="0" borderId="38" xfId="0" applyBorder="1"/>
    <xf numFmtId="0" fontId="0" fillId="0" borderId="17" xfId="0" applyBorder="1"/>
    <xf numFmtId="0" fontId="0" fillId="0" borderId="49" xfId="0" applyBorder="1"/>
    <xf numFmtId="0" fontId="0" fillId="0" borderId="30" xfId="0" applyBorder="1"/>
    <xf numFmtId="0" fontId="0" fillId="0" borderId="33" xfId="0" applyBorder="1"/>
    <xf numFmtId="1" fontId="4" fillId="0" borderId="0" xfId="0" applyNumberFormat="1" applyFont="1"/>
    <xf numFmtId="1" fontId="2" fillId="0" borderId="0" xfId="0" applyNumberFormat="1" applyFont="1"/>
    <xf numFmtId="15" fontId="4" fillId="10" borderId="20" xfId="0" applyNumberFormat="1" applyFont="1" applyFill="1" applyBorder="1" applyAlignment="1">
      <alignment horizontal="center" vertical="center"/>
    </xf>
    <xf numFmtId="1" fontId="4" fillId="10" borderId="24" xfId="0" applyNumberFormat="1" applyFont="1" applyFill="1" applyBorder="1" applyAlignment="1">
      <alignment horizontal="center" vertical="center"/>
    </xf>
    <xf numFmtId="1" fontId="4" fillId="9" borderId="5" xfId="0" applyNumberFormat="1" applyFont="1" applyFill="1" applyBorder="1" applyAlignment="1">
      <alignment horizontal="center" vertical="center" wrapText="1"/>
    </xf>
    <xf numFmtId="1" fontId="4" fillId="9" borderId="6" xfId="0" applyNumberFormat="1" applyFont="1" applyFill="1" applyBorder="1" applyAlignment="1">
      <alignment horizontal="center" vertical="center" wrapText="1"/>
    </xf>
    <xf numFmtId="1" fontId="4" fillId="9" borderId="7" xfId="0" applyNumberFormat="1" applyFont="1" applyFill="1" applyBorder="1" applyAlignment="1">
      <alignment horizontal="center" vertical="center" wrapText="1"/>
    </xf>
    <xf numFmtId="1" fontId="4" fillId="9" borderId="9" xfId="0" applyNumberFormat="1" applyFont="1" applyFill="1" applyBorder="1" applyAlignment="1">
      <alignment horizontal="center" vertical="center" wrapText="1"/>
    </xf>
    <xf numFmtId="1" fontId="4" fillId="8" borderId="45" xfId="0" applyNumberFormat="1" applyFont="1" applyFill="1" applyBorder="1" applyAlignment="1">
      <alignment horizontal="center" vertical="center" wrapText="1"/>
    </xf>
    <xf numFmtId="1" fontId="4" fillId="11" borderId="7" xfId="0" applyNumberFormat="1" applyFont="1" applyFill="1" applyBorder="1" applyAlignment="1">
      <alignment horizontal="center" vertical="center" wrapText="1"/>
    </xf>
    <xf numFmtId="1" fontId="4" fillId="11" borderId="8" xfId="0" applyNumberFormat="1" applyFont="1" applyFill="1" applyBorder="1" applyAlignment="1">
      <alignment horizontal="center" vertical="center" wrapText="1"/>
    </xf>
    <xf numFmtId="1" fontId="4" fillId="11" borderId="36" xfId="0" applyNumberFormat="1" applyFont="1" applyFill="1" applyBorder="1" applyAlignment="1">
      <alignment horizontal="center" vertical="center" wrapText="1"/>
    </xf>
    <xf numFmtId="1" fontId="4" fillId="11" borderId="9" xfId="0" applyNumberFormat="1" applyFont="1" applyFill="1" applyBorder="1" applyAlignment="1">
      <alignment horizontal="center" vertical="center" wrapText="1"/>
    </xf>
    <xf numFmtId="1" fontId="4" fillId="12" borderId="13" xfId="0" applyNumberFormat="1" applyFont="1" applyFill="1" applyBorder="1" applyAlignment="1">
      <alignment horizontal="center" vertical="center" wrapText="1"/>
    </xf>
    <xf numFmtId="1" fontId="8" fillId="10" borderId="21" xfId="0" applyNumberFormat="1" applyFont="1" applyFill="1" applyBorder="1" applyAlignment="1">
      <alignment horizontal="center" vertical="center"/>
    </xf>
    <xf numFmtId="1" fontId="8" fillId="9" borderId="5" xfId="0" applyNumberFormat="1" applyFont="1" applyFill="1" applyBorder="1" applyAlignment="1">
      <alignment horizontal="center" vertical="center" wrapText="1"/>
    </xf>
    <xf numFmtId="1" fontId="8" fillId="9" borderId="6" xfId="0" applyNumberFormat="1" applyFont="1" applyFill="1" applyBorder="1" applyAlignment="1">
      <alignment horizontal="center" vertical="center" wrapText="1"/>
    </xf>
    <xf numFmtId="1" fontId="8" fillId="9" borderId="7" xfId="0" applyNumberFormat="1" applyFont="1" applyFill="1" applyBorder="1" applyAlignment="1">
      <alignment horizontal="center" vertical="center" wrapText="1"/>
    </xf>
    <xf numFmtId="1" fontId="8" fillId="9" borderId="9" xfId="0" applyNumberFormat="1" applyFont="1" applyFill="1" applyBorder="1" applyAlignment="1">
      <alignment horizontal="center" vertical="center" wrapText="1"/>
    </xf>
    <xf numFmtId="1" fontId="15" fillId="0" borderId="0" xfId="0" applyNumberFormat="1" applyFont="1" applyAlignment="1">
      <alignment horizontal="center" vertical="center"/>
    </xf>
    <xf numFmtId="15" fontId="8" fillId="15" borderId="20" xfId="0" applyNumberFormat="1" applyFont="1" applyFill="1" applyBorder="1" applyAlignment="1">
      <alignment horizontal="center" vertical="center"/>
    </xf>
    <xf numFmtId="14" fontId="9" fillId="15" borderId="24" xfId="0" applyNumberFormat="1" applyFont="1" applyFill="1" applyBorder="1" applyAlignment="1">
      <alignment horizontal="center" vertical="center"/>
    </xf>
    <xf numFmtId="0" fontId="8" fillId="15" borderId="21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 wrapText="1"/>
    </xf>
    <xf numFmtId="1" fontId="4" fillId="8" borderId="6" xfId="0" applyNumberFormat="1" applyFont="1" applyFill="1" applyBorder="1" applyAlignment="1">
      <alignment horizontal="center" vertical="center" wrapText="1"/>
    </xf>
    <xf numFmtId="1" fontId="5" fillId="12" borderId="5" xfId="0" applyNumberFormat="1" applyFont="1" applyFill="1" applyBorder="1" applyAlignment="1">
      <alignment horizontal="center" vertical="center"/>
    </xf>
    <xf numFmtId="1" fontId="5" fillId="8" borderId="6" xfId="0" applyNumberFormat="1" applyFont="1" applyFill="1" applyBorder="1" applyAlignment="1">
      <alignment horizontal="center" vertical="center" wrapText="1"/>
    </xf>
    <xf numFmtId="1" fontId="4" fillId="12" borderId="7" xfId="0" applyNumberFormat="1" applyFont="1" applyFill="1" applyBorder="1" applyAlignment="1">
      <alignment horizontal="center" vertical="center"/>
    </xf>
    <xf numFmtId="1" fontId="8" fillId="17" borderId="8" xfId="0" applyNumberFormat="1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9" fontId="4" fillId="12" borderId="8" xfId="0" applyNumberFormat="1" applyFont="1" applyFill="1" applyBorder="1" applyAlignment="1">
      <alignment horizontal="center" vertical="center"/>
    </xf>
    <xf numFmtId="1" fontId="4" fillId="8" borderId="9" xfId="0" applyNumberFormat="1" applyFont="1" applyFill="1" applyBorder="1" applyAlignment="1">
      <alignment horizontal="center" vertical="center" wrapText="1"/>
    </xf>
    <xf numFmtId="1" fontId="4" fillId="7" borderId="50" xfId="0" applyNumberFormat="1" applyFont="1" applyFill="1" applyBorder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 wrapText="1"/>
    </xf>
    <xf numFmtId="1" fontId="8" fillId="9" borderId="1" xfId="0" applyNumberFormat="1" applyFont="1" applyFill="1" applyBorder="1" applyAlignment="1">
      <alignment horizontal="center" vertical="center" wrapText="1"/>
    </xf>
    <xf numFmtId="15" fontId="4" fillId="10" borderId="18" xfId="0" applyNumberFormat="1" applyFont="1" applyFill="1" applyBorder="1" applyAlignment="1">
      <alignment horizontal="center" vertical="center"/>
    </xf>
    <xf numFmtId="14" fontId="4" fillId="10" borderId="22" xfId="0" applyNumberFormat="1" applyFont="1" applyFill="1" applyBorder="1" applyAlignment="1">
      <alignment horizontal="center" vertical="center"/>
    </xf>
    <xf numFmtId="0" fontId="4" fillId="10" borderId="24" xfId="0" applyFont="1" applyFill="1" applyBorder="1" applyAlignment="1">
      <alignment vertical="center"/>
    </xf>
    <xf numFmtId="0" fontId="8" fillId="9" borderId="5" xfId="0" applyFont="1" applyFill="1" applyBorder="1" applyAlignment="1">
      <alignment horizontal="center" vertical="center" wrapText="1"/>
    </xf>
    <xf numFmtId="0" fontId="8" fillId="9" borderId="6" xfId="0" applyFont="1" applyFill="1" applyBorder="1" applyAlignment="1">
      <alignment horizontal="center" vertical="center" wrapText="1"/>
    </xf>
    <xf numFmtId="9" fontId="8" fillId="9" borderId="6" xfId="0" applyNumberFormat="1" applyFont="1" applyFill="1" applyBorder="1" applyAlignment="1">
      <alignment horizontal="center" vertical="center" wrapText="1"/>
    </xf>
    <xf numFmtId="1" fontId="8" fillId="9" borderId="8" xfId="0" applyNumberFormat="1" applyFont="1" applyFill="1" applyBorder="1" applyAlignment="1">
      <alignment horizontal="center" vertical="center" wrapText="1"/>
    </xf>
    <xf numFmtId="9" fontId="8" fillId="9" borderId="9" xfId="0" applyNumberFormat="1" applyFont="1" applyFill="1" applyBorder="1" applyAlignment="1">
      <alignment horizontal="center" vertical="center" wrapText="1"/>
    </xf>
    <xf numFmtId="1" fontId="4" fillId="17" borderId="7" xfId="0" applyNumberFormat="1" applyFont="1" applyFill="1" applyBorder="1" applyAlignment="1">
      <alignment horizontal="center" vertical="center" wrapText="1"/>
    </xf>
    <xf numFmtId="1" fontId="4" fillId="17" borderId="8" xfId="0" applyNumberFormat="1" applyFont="1" applyFill="1" applyBorder="1" applyAlignment="1">
      <alignment horizontal="center" vertical="center"/>
    </xf>
    <xf numFmtId="9" fontId="4" fillId="17" borderId="8" xfId="0" applyNumberFormat="1" applyFont="1" applyFill="1" applyBorder="1" applyAlignment="1">
      <alignment horizontal="center" vertical="center" wrapText="1"/>
    </xf>
    <xf numFmtId="9" fontId="4" fillId="17" borderId="9" xfId="0" applyNumberFormat="1" applyFont="1" applyFill="1" applyBorder="1" applyAlignment="1">
      <alignment horizontal="center" vertical="center" wrapText="1"/>
    </xf>
    <xf numFmtId="9" fontId="4" fillId="11" borderId="8" xfId="0" applyNumberFormat="1" applyFont="1" applyFill="1" applyBorder="1" applyAlignment="1">
      <alignment horizontal="center" vertical="center" wrapText="1"/>
    </xf>
    <xf numFmtId="9" fontId="4" fillId="11" borderId="9" xfId="0" applyNumberFormat="1" applyFont="1" applyFill="1" applyBorder="1" applyAlignment="1">
      <alignment horizontal="center" vertical="center" wrapText="1"/>
    </xf>
    <xf numFmtId="1" fontId="4" fillId="12" borderId="7" xfId="0" applyNumberFormat="1" applyFont="1" applyFill="1" applyBorder="1" applyAlignment="1">
      <alignment horizontal="center" vertical="center" wrapText="1"/>
    </xf>
    <xf numFmtId="1" fontId="4" fillId="12" borderId="8" xfId="0" applyNumberFormat="1" applyFont="1" applyFill="1" applyBorder="1" applyAlignment="1">
      <alignment horizontal="center" vertical="center" wrapText="1"/>
    </xf>
    <xf numFmtId="9" fontId="4" fillId="12" borderId="8" xfId="0" applyNumberFormat="1" applyFont="1" applyFill="1" applyBorder="1" applyAlignment="1">
      <alignment horizontal="center" vertical="center" wrapText="1"/>
    </xf>
    <xf numFmtId="9" fontId="4" fillId="12" borderId="9" xfId="0" applyNumberFormat="1" applyFont="1" applyFill="1" applyBorder="1" applyAlignment="1">
      <alignment horizontal="center" vertical="center" wrapText="1"/>
    </xf>
    <xf numFmtId="0" fontId="2" fillId="0" borderId="51" xfId="0" applyFont="1" applyBorder="1" applyAlignment="1">
      <alignment wrapText="1"/>
    </xf>
    <xf numFmtId="0" fontId="2" fillId="0" borderId="52" xfId="0" applyFont="1" applyBorder="1" applyAlignment="1">
      <alignment wrapText="1"/>
    </xf>
    <xf numFmtId="1" fontId="8" fillId="16" borderId="1" xfId="0" applyNumberFormat="1" applyFont="1" applyFill="1" applyBorder="1" applyAlignment="1">
      <alignment horizontal="center" vertical="center" wrapText="1"/>
    </xf>
    <xf numFmtId="1" fontId="8" fillId="13" borderId="1" xfId="0" applyNumberFormat="1" applyFont="1" applyFill="1" applyBorder="1" applyAlignment="1">
      <alignment horizontal="center" vertical="center" wrapText="1"/>
    </xf>
    <xf numFmtId="1" fontId="8" fillId="12" borderId="1" xfId="0" applyNumberFormat="1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8" fillId="16" borderId="1" xfId="0" applyFont="1" applyFill="1" applyBorder="1" applyAlignment="1">
      <alignment horizontal="center" vertical="center" wrapText="1"/>
    </xf>
    <xf numFmtId="0" fontId="8" fillId="14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 applyProtection="1">
      <alignment horizontal="center" vertical="center"/>
      <protection hidden="1"/>
    </xf>
    <xf numFmtId="49" fontId="6" fillId="10" borderId="1" xfId="0" applyNumberFormat="1" applyFont="1" applyFill="1" applyBorder="1" applyAlignment="1" applyProtection="1">
      <alignment horizontal="center" vertical="center"/>
      <protection hidden="1"/>
    </xf>
    <xf numFmtId="49" fontId="6" fillId="20" borderId="1" xfId="0" applyNumberFormat="1" applyFont="1" applyFill="1" applyBorder="1" applyAlignment="1" applyProtection="1">
      <alignment horizontal="center" vertical="center" wrapText="1"/>
      <protection hidden="1"/>
    </xf>
    <xf numFmtId="49" fontId="6" fillId="7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 applyProtection="1">
      <alignment horizontal="center" vertical="center"/>
      <protection hidden="1"/>
    </xf>
    <xf numFmtId="49" fontId="6" fillId="10" borderId="1" xfId="0" quotePrefix="1" applyNumberFormat="1" applyFont="1" applyFill="1" applyBorder="1" applyAlignment="1" applyProtection="1">
      <alignment horizontal="center" vertical="center"/>
      <protection hidden="1"/>
    </xf>
    <xf numFmtId="49" fontId="6" fillId="17" borderId="1" xfId="0" quotePrefix="1" applyNumberFormat="1" applyFont="1" applyFill="1" applyBorder="1" applyAlignment="1" applyProtection="1">
      <alignment horizontal="center" vertical="center"/>
      <protection hidden="1"/>
    </xf>
    <xf numFmtId="49" fontId="6" fillId="17" borderId="1" xfId="0" applyNumberFormat="1" applyFont="1" applyFill="1" applyBorder="1" applyAlignment="1" applyProtection="1">
      <alignment horizontal="center" vertical="center"/>
      <protection hidden="1"/>
    </xf>
    <xf numFmtId="49" fontId="6" fillId="20" borderId="4" xfId="0" applyNumberFormat="1" applyFont="1" applyFill="1" applyBorder="1" applyAlignment="1" applyProtection="1">
      <alignment horizontal="center" vertical="center"/>
      <protection hidden="1"/>
    </xf>
    <xf numFmtId="49" fontId="6" fillId="20" borderId="42" xfId="0" applyNumberFormat="1" applyFont="1" applyFill="1" applyBorder="1" applyAlignment="1" applyProtection="1">
      <alignment horizontal="center" vertical="center"/>
      <protection hidden="1"/>
    </xf>
    <xf numFmtId="49" fontId="6" fillId="20" borderId="41" xfId="0" applyNumberFormat="1" applyFont="1" applyFill="1" applyBorder="1" applyAlignment="1" applyProtection="1">
      <alignment horizontal="center" vertical="center"/>
      <protection hidden="1"/>
    </xf>
    <xf numFmtId="49" fontId="6" fillId="20" borderId="1" xfId="0" applyNumberFormat="1" applyFont="1" applyFill="1" applyBorder="1" applyAlignment="1" applyProtection="1">
      <alignment horizontal="center" vertical="center"/>
      <protection hidden="1"/>
    </xf>
    <xf numFmtId="17" fontId="6" fillId="7" borderId="1" xfId="0" applyNumberFormat="1" applyFont="1" applyFill="1" applyBorder="1" applyAlignment="1">
      <alignment horizontal="center" vertical="center"/>
    </xf>
    <xf numFmtId="0" fontId="6" fillId="17" borderId="24" xfId="0" applyFont="1" applyFill="1" applyBorder="1" applyAlignment="1">
      <alignment horizontal="center" vertical="center"/>
    </xf>
    <xf numFmtId="0" fontId="6" fillId="17" borderId="21" xfId="0" applyFont="1" applyFill="1" applyBorder="1" applyAlignment="1">
      <alignment horizontal="center" vertical="center"/>
    </xf>
    <xf numFmtId="0" fontId="6" fillId="10" borderId="15" xfId="0" applyFont="1" applyFill="1" applyBorder="1" applyAlignment="1">
      <alignment horizontal="center" vertical="center"/>
    </xf>
    <xf numFmtId="0" fontId="6" fillId="10" borderId="46" xfId="0" applyFont="1" applyFill="1" applyBorder="1" applyAlignment="1">
      <alignment horizontal="center" vertical="center"/>
    </xf>
    <xf numFmtId="0" fontId="6" fillId="10" borderId="47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6" fillId="22" borderId="10" xfId="0" applyFont="1" applyFill="1" applyBorder="1" applyAlignment="1">
      <alignment horizontal="center" vertical="center"/>
    </xf>
    <xf numFmtId="0" fontId="6" fillId="22" borderId="37" xfId="0" applyFont="1" applyFill="1" applyBorder="1" applyAlignment="1">
      <alignment horizontal="center" vertical="center"/>
    </xf>
    <xf numFmtId="0" fontId="6" fillId="22" borderId="35" xfId="0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24" borderId="37" xfId="0" applyFont="1" applyFill="1" applyBorder="1" applyAlignment="1">
      <alignment horizontal="center" vertical="center"/>
    </xf>
    <xf numFmtId="0" fontId="6" fillId="24" borderId="35" xfId="0" applyFont="1" applyFill="1" applyBorder="1" applyAlignment="1">
      <alignment horizontal="center" vertical="center"/>
    </xf>
    <xf numFmtId="0" fontId="6" fillId="23" borderId="10" xfId="0" applyFont="1" applyFill="1" applyBorder="1" applyAlignment="1">
      <alignment horizontal="center" vertical="center"/>
    </xf>
    <xf numFmtId="0" fontId="6" fillId="23" borderId="37" xfId="0" applyFont="1" applyFill="1" applyBorder="1" applyAlignment="1">
      <alignment horizontal="center" vertical="center"/>
    </xf>
    <xf numFmtId="0" fontId="6" fillId="23" borderId="35" xfId="0" applyFont="1" applyFill="1" applyBorder="1" applyAlignment="1">
      <alignment horizontal="center" vertical="center"/>
    </xf>
    <xf numFmtId="0" fontId="6" fillId="25" borderId="10" xfId="0" applyFont="1" applyFill="1" applyBorder="1" applyAlignment="1">
      <alignment horizontal="center" vertical="center"/>
    </xf>
    <xf numFmtId="0" fontId="6" fillId="25" borderId="37" xfId="0" applyFont="1" applyFill="1" applyBorder="1" applyAlignment="1">
      <alignment horizontal="center" vertical="center"/>
    </xf>
    <xf numFmtId="0" fontId="6" fillId="25" borderId="35" xfId="0" applyFont="1" applyFill="1" applyBorder="1" applyAlignment="1">
      <alignment horizontal="center" vertical="center"/>
    </xf>
    <xf numFmtId="1" fontId="8" fillId="9" borderId="25" xfId="0" applyNumberFormat="1" applyFont="1" applyFill="1" applyBorder="1" applyAlignment="1">
      <alignment horizontal="center" vertical="center"/>
    </xf>
    <xf numFmtId="1" fontId="8" fillId="9" borderId="32" xfId="0" applyNumberFormat="1" applyFont="1" applyFill="1" applyBorder="1" applyAlignment="1">
      <alignment horizontal="center" vertical="center"/>
    </xf>
    <xf numFmtId="1" fontId="4" fillId="17" borderId="2" xfId="0" applyNumberFormat="1" applyFont="1" applyFill="1" applyBorder="1" applyAlignment="1">
      <alignment horizontal="center" vertical="center"/>
    </xf>
    <xf numFmtId="1" fontId="4" fillId="17" borderId="16" xfId="0" applyNumberFormat="1" applyFont="1" applyFill="1" applyBorder="1" applyAlignment="1">
      <alignment horizontal="center" vertical="center"/>
    </xf>
    <xf numFmtId="1" fontId="4" fillId="17" borderId="3" xfId="0" applyNumberFormat="1" applyFont="1" applyFill="1" applyBorder="1" applyAlignment="1">
      <alignment horizontal="center" vertical="center"/>
    </xf>
    <xf numFmtId="1" fontId="4" fillId="15" borderId="18" xfId="0" applyNumberFormat="1" applyFont="1" applyFill="1" applyBorder="1" applyAlignment="1">
      <alignment horizontal="center" vertical="center"/>
    </xf>
    <xf numFmtId="1" fontId="4" fillId="15" borderId="22" xfId="0" applyNumberFormat="1" applyFont="1" applyFill="1" applyBorder="1" applyAlignment="1">
      <alignment horizontal="center" vertical="center"/>
    </xf>
    <xf numFmtId="1" fontId="4" fillId="15" borderId="19" xfId="0" applyNumberFormat="1" applyFont="1" applyFill="1" applyBorder="1" applyAlignment="1">
      <alignment horizontal="center" vertical="center"/>
    </xf>
    <xf numFmtId="1" fontId="4" fillId="9" borderId="20" xfId="0" applyNumberFormat="1" applyFont="1" applyFill="1" applyBorder="1" applyAlignment="1">
      <alignment horizontal="center" vertical="center"/>
    </xf>
    <xf numFmtId="1" fontId="4" fillId="9" borderId="21" xfId="0" applyNumberFormat="1" applyFont="1" applyFill="1" applyBorder="1" applyAlignment="1">
      <alignment horizontal="center" vertical="center"/>
    </xf>
    <xf numFmtId="0" fontId="8" fillId="17" borderId="20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1" xfId="0" applyFont="1" applyFill="1" applyBorder="1" applyAlignment="1">
      <alignment horizontal="center" vertical="center"/>
    </xf>
    <xf numFmtId="0" fontId="8" fillId="15" borderId="31" xfId="0" applyFont="1" applyFill="1" applyBorder="1" applyAlignment="1">
      <alignment horizontal="center" vertical="center"/>
    </xf>
    <xf numFmtId="0" fontId="8" fillId="15" borderId="26" xfId="0" applyFont="1" applyFill="1" applyBorder="1" applyAlignment="1">
      <alignment horizontal="center" vertical="center"/>
    </xf>
    <xf numFmtId="0" fontId="8" fillId="15" borderId="27" xfId="0" applyFont="1" applyFill="1" applyBorder="1" applyAlignment="1">
      <alignment horizontal="center" vertical="center"/>
    </xf>
    <xf numFmtId="0" fontId="8" fillId="15" borderId="28" xfId="0" applyFont="1" applyFill="1" applyBorder="1" applyAlignment="1">
      <alignment horizontal="center" vertical="center"/>
    </xf>
    <xf numFmtId="0" fontId="4" fillId="15" borderId="11" xfId="0" applyFont="1" applyFill="1" applyBorder="1" applyAlignment="1">
      <alignment horizontal="center" vertical="center" wrapText="1"/>
    </xf>
    <xf numFmtId="0" fontId="4" fillId="15" borderId="1" xfId="0" applyFont="1" applyFill="1" applyBorder="1" applyAlignment="1">
      <alignment horizontal="center" vertical="center" wrapText="1"/>
    </xf>
    <xf numFmtId="164" fontId="4" fillId="17" borderId="20" xfId="1" applyFont="1" applyFill="1" applyBorder="1" applyAlignment="1">
      <alignment horizontal="center" vertical="center"/>
    </xf>
    <xf numFmtId="164" fontId="4" fillId="17" borderId="24" xfId="1" applyFont="1" applyFill="1" applyBorder="1" applyAlignment="1">
      <alignment horizontal="center" vertical="center"/>
    </xf>
    <xf numFmtId="164" fontId="4" fillId="17" borderId="21" xfId="1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4" fillId="11" borderId="24" xfId="0" applyFont="1" applyFill="1" applyBorder="1" applyAlignment="1">
      <alignment horizontal="center" vertical="center"/>
    </xf>
    <xf numFmtId="0" fontId="4" fillId="11" borderId="21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  <xf numFmtId="0" fontId="4" fillId="9" borderId="34" xfId="0" applyFont="1" applyFill="1" applyBorder="1" applyAlignment="1">
      <alignment horizontal="center" vertical="center" wrapText="1"/>
    </xf>
    <xf numFmtId="0" fontId="4" fillId="9" borderId="29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center" vertical="center" wrapText="1"/>
    </xf>
    <xf numFmtId="15" fontId="4" fillId="9" borderId="23" xfId="0" applyNumberFormat="1" applyFont="1" applyFill="1" applyBorder="1" applyAlignment="1">
      <alignment horizontal="right" vertical="center" wrapText="1"/>
    </xf>
    <xf numFmtId="15" fontId="4" fillId="9" borderId="12" xfId="0" applyNumberFormat="1" applyFont="1" applyFill="1" applyBorder="1" applyAlignment="1">
      <alignment horizontal="right" vertical="center" wrapText="1"/>
    </xf>
    <xf numFmtId="0" fontId="4" fillId="15" borderId="20" xfId="0" applyFont="1" applyFill="1" applyBorder="1" applyAlignment="1">
      <alignment horizontal="center" vertical="center" wrapText="1"/>
    </xf>
    <xf numFmtId="0" fontId="4" fillId="15" borderId="24" xfId="0" applyFont="1" applyFill="1" applyBorder="1" applyAlignment="1">
      <alignment horizontal="center" vertical="center" wrapText="1"/>
    </xf>
    <xf numFmtId="0" fontId="4" fillId="15" borderId="21" xfId="0" applyFont="1" applyFill="1" applyBorder="1" applyAlignment="1">
      <alignment horizontal="center" vertical="center" wrapText="1"/>
    </xf>
    <xf numFmtId="0" fontId="4" fillId="9" borderId="24" xfId="0" applyFont="1" applyFill="1" applyBorder="1" applyAlignment="1">
      <alignment horizontal="center" vertical="center" wrapText="1"/>
    </xf>
    <xf numFmtId="0" fontId="4" fillId="9" borderId="5" xfId="0" applyFont="1" applyFill="1" applyBorder="1" applyAlignment="1">
      <alignment horizontal="center" vertical="center" wrapText="1"/>
    </xf>
    <xf numFmtId="0" fontId="4" fillId="14" borderId="2" xfId="0" applyFont="1" applyFill="1" applyBorder="1" applyAlignment="1">
      <alignment horizontal="center" vertical="center" wrapText="1"/>
    </xf>
    <xf numFmtId="0" fontId="4" fillId="14" borderId="16" xfId="0" applyFont="1" applyFill="1" applyBorder="1" applyAlignment="1">
      <alignment horizontal="center" vertical="center" wrapText="1"/>
    </xf>
    <xf numFmtId="0" fontId="4" fillId="1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</cellXfs>
  <cellStyles count="4">
    <cellStyle name="Comma" xfId="1" builtinId="3"/>
    <cellStyle name="Comma 2" xfId="3" xr:uid="{61761DBC-E588-466C-9354-5BE09DA8296A}"/>
    <cellStyle name="Normal" xfId="0" builtinId="0"/>
    <cellStyle name="Percent" xfId="2" builtinId="5"/>
  </cellStyles>
  <dxfs count="64">
    <dxf>
      <numFmt numFmtId="0" formatCode="General"/>
    </dxf>
    <dxf>
      <numFmt numFmtId="0" formatCode="General"/>
    </dxf>
    <dxf>
      <numFmt numFmtId="0" formatCode="General"/>
    </dxf>
    <dxf>
      <font>
        <color theme="5"/>
      </font>
      <fill>
        <patternFill>
          <bgColor rgb="FFC6EFCE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color theme="5"/>
      </font>
      <fill>
        <patternFill>
          <bgColor rgb="FFC6EFCE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theme="2" tint="-9.9948118533890809E-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b val="0"/>
        <i val="0"/>
        <strike val="0"/>
        <color theme="2" tint="-9.9948118533890809E-2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theme="2" tint="-9.9948118533890809E-2"/>
      </font>
    </dxf>
  </dxfs>
  <tableStyles count="0" defaultTableStyle="TableStyleMedium2" defaultPivotStyle="PivotStyleLight16"/>
  <colors>
    <mruColors>
      <color rgb="FFFD9B9D"/>
      <color rgb="FFEC56C8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17</xdr:row>
      <xdr:rowOff>53340</xdr:rowOff>
    </xdr:from>
    <xdr:to>
      <xdr:col>0</xdr:col>
      <xdr:colOff>137160</xdr:colOff>
      <xdr:row>17</xdr:row>
      <xdr:rowOff>160020</xdr:rowOff>
    </xdr:to>
    <xdr:sp macro="[0]!Module1.deck" textlink="">
      <xdr:nvSpPr>
        <xdr:cNvPr id="2" name="Oval 1">
          <a:extLst>
            <a:ext uri="{FF2B5EF4-FFF2-40B4-BE49-F238E27FC236}">
              <a16:creationId xmlns:a16="http://schemas.microsoft.com/office/drawing/2014/main" id="{BF6C5C58-F7C1-27B6-C6F2-DC5034B95F41}"/>
            </a:ext>
          </a:extLst>
        </xdr:cNvPr>
        <xdr:cNvSpPr/>
      </xdr:nvSpPr>
      <xdr:spPr>
        <a:xfrm>
          <a:off x="68580" y="3749040"/>
          <a:ext cx="68580" cy="106680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B19F6BE-4AC8-4651-8286-EEF4A728D6C5}" autoFormatId="16" applyNumberFormats="0" applyBorderFormats="0" applyFontFormats="0" applyPatternFormats="0" applyAlignmentFormats="0" applyWidthHeightFormats="0">
  <queryTableRefresh nextId="132">
    <queryTableFields count="124">
      <queryTableField id="1" name="Column1" tableColumnId="116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  <queryTableField id="53" name="Column53" tableColumnId="53"/>
      <queryTableField id="54" name="Column54" tableColumnId="54"/>
      <queryTableField id="55" name="Column55" tableColumnId="55"/>
      <queryTableField id="56" name="Column56" tableColumnId="56"/>
      <queryTableField id="57" name="Column57" tableColumnId="57"/>
      <queryTableField id="58" name="Column58" tableColumnId="58"/>
      <queryTableField id="59" name="Column59" tableColumnId="59"/>
      <queryTableField id="60" name="Column60" tableColumnId="60"/>
      <queryTableField id="61" name="Column61" tableColumnId="61"/>
      <queryTableField id="62" name="Column62" tableColumnId="62"/>
      <queryTableField id="63" name="Column63" tableColumnId="63"/>
      <queryTableField id="64" name="Column64" tableColumnId="64"/>
      <queryTableField id="65" name="Column65" tableColumnId="65"/>
      <queryTableField id="66" name="Column66" tableColumnId="66"/>
      <queryTableField id="67" name="Column67" tableColumnId="67"/>
      <queryTableField id="68" name="Column68" tableColumnId="68"/>
      <queryTableField id="69" name="Column69" tableColumnId="69"/>
      <queryTableField id="70" name="Column70" tableColumnId="70"/>
      <queryTableField id="71" name="Column71" tableColumnId="71"/>
      <queryTableField id="72" name="Column72" tableColumnId="72"/>
      <queryTableField id="73" name="Column73" tableColumnId="73"/>
      <queryTableField id="74" name="Column74" tableColumnId="74"/>
      <queryTableField id="75" name="Column75" tableColumnId="75"/>
      <queryTableField id="76" name="Column76" tableColumnId="76"/>
      <queryTableField id="77" name="Column77" tableColumnId="77"/>
      <queryTableField id="78" name="Column78" tableColumnId="78"/>
      <queryTableField id="79" name="Column79" tableColumnId="79"/>
      <queryTableField id="80" name="Column80" tableColumnId="80"/>
      <queryTableField id="81" name="Column81" tableColumnId="81"/>
      <queryTableField id="82" name="Column82" tableColumnId="82"/>
      <queryTableField id="83" name="Column83" tableColumnId="83"/>
      <queryTableField id="84" name="Column84" tableColumnId="84"/>
      <queryTableField id="85" name="Column85" tableColumnId="85"/>
      <queryTableField id="86" name="Column86" tableColumnId="86"/>
      <queryTableField id="87" name="Column87" tableColumnId="87"/>
      <queryTableField id="88" name="Column88" tableColumnId="88"/>
      <queryTableField id="89" name="Column89" tableColumnId="89"/>
      <queryTableField id="90" name="Column90" tableColumnId="90"/>
      <queryTableField id="91" name="Column91" tableColumnId="91"/>
      <queryTableField id="92" name="Column92" tableColumnId="92"/>
      <queryTableField id="93" name="Column93" tableColumnId="93"/>
      <queryTableField id="94" name="Column94" tableColumnId="94"/>
      <queryTableField id="95" name="Column95" tableColumnId="95"/>
      <queryTableField id="96" name="Column96" tableColumnId="96"/>
      <queryTableField id="97" name="Column97" tableColumnId="97"/>
      <queryTableField id="98" name="Column98" tableColumnId="98"/>
      <queryTableField id="99" name="Column99" tableColumnId="99"/>
      <queryTableField id="100" name="Column100" tableColumnId="100"/>
      <queryTableField id="101" name="Column101" tableColumnId="101"/>
      <queryTableField id="102" name="Column102" tableColumnId="102"/>
      <queryTableField id="103" name="Column103" tableColumnId="103"/>
      <queryTableField id="104" name="Column104" tableColumnId="104"/>
      <queryTableField id="105" name="Column105" tableColumnId="105"/>
      <queryTableField id="106" name="Column106" tableColumnId="106"/>
      <queryTableField id="107" name="Column107" tableColumnId="107"/>
      <queryTableField id="108" name="Column108" tableColumnId="108"/>
      <queryTableField id="109" name="Column109" tableColumnId="109"/>
      <queryTableField id="110" name="Column110" tableColumnId="110"/>
      <queryTableField id="111" name="Column111" tableColumnId="111"/>
      <queryTableField id="112" name="Column112" tableColumnId="112"/>
      <queryTableField id="113" name="Column113" tableColumnId="113"/>
      <queryTableField id="114" name="Column114" tableColumnId="114"/>
      <queryTableField id="115" name="Column115" tableColumnId="115"/>
      <queryTableField id="126" name="Column116" tableColumnId="122"/>
      <queryTableField id="127" name="Column117" tableColumnId="123"/>
      <queryTableField id="128" name="Column118" tableColumnId="124"/>
      <queryTableField id="120" name="Column136" tableColumnId="1"/>
      <queryTableField id="121" name="Column137" tableColumnId="117"/>
      <queryTableField id="122" name="Column138" tableColumnId="118"/>
      <queryTableField id="123" name="Column139" tableColumnId="119"/>
      <queryTableField id="124" name="Column140" tableColumnId="120"/>
      <queryTableField id="125" name="Column141" tableColumnId="1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66822F-9874-4F38-A175-3B1263230888}" name="Deck" displayName="Deck" ref="A1:DT34" tableType="queryTable" totalsRowShown="0">
  <autoFilter ref="A1:DT34" xr:uid="{F466822F-9874-4F38-A175-3B1263230888}"/>
  <tableColumns count="124">
    <tableColumn id="116" xr3:uid="{2B0E86CC-ED5B-41D2-9C33-03882D0CA3BF}" uniqueName="116" name="Column1" queryTableFieldId="1" dataDxfId="2"/>
    <tableColumn id="2" xr3:uid="{D35B9495-D469-436B-BD7A-20E85189EB90}" uniqueName="2" name="Column2" queryTableFieldId="2"/>
    <tableColumn id="3" xr3:uid="{327E0B5C-751F-490B-8DEC-08ECE18BCDCA}" uniqueName="3" name="Column3" queryTableFieldId="3"/>
    <tableColumn id="4" xr3:uid="{524C14F6-C41A-4F8D-BB3E-AE75472BDD36}" uniqueName="4" name="Column4" queryTableFieldId="4"/>
    <tableColumn id="5" xr3:uid="{8884CAA2-3023-4984-AB17-4501C62EF8EF}" uniqueName="5" name="Column5" queryTableFieldId="5"/>
    <tableColumn id="6" xr3:uid="{FE18A6B7-98A7-4572-9FAD-B2375AD3BFE2}" uniqueName="6" name="Column6" queryTableFieldId="6"/>
    <tableColumn id="7" xr3:uid="{D2A4B005-A1BE-4BA8-8013-D5F835E9F786}" uniqueName="7" name="Column7" queryTableFieldId="7"/>
    <tableColumn id="8" xr3:uid="{2225311B-29D9-4130-B5C1-9E8C36E14074}" uniqueName="8" name="Column8" queryTableFieldId="8"/>
    <tableColumn id="9" xr3:uid="{1782C8A8-EDF4-4355-841C-52E0BFAFBBDB}" uniqueName="9" name="Column9" queryTableFieldId="9"/>
    <tableColumn id="10" xr3:uid="{DB017037-D146-4EDB-8D4E-5639BD4C9AD0}" uniqueName="10" name="Column10" queryTableFieldId="10"/>
    <tableColumn id="11" xr3:uid="{D691811F-8177-4D4E-9D94-E01013C9BA95}" uniqueName="11" name="Column11" queryTableFieldId="11"/>
    <tableColumn id="12" xr3:uid="{58105A01-B2F6-4D3F-980D-97B5FCD0A6E3}" uniqueName="12" name="Column12" queryTableFieldId="12"/>
    <tableColumn id="13" xr3:uid="{1450AA3C-55BB-4FBA-BE8A-331A472F9816}" uniqueName="13" name="Column13" queryTableFieldId="13"/>
    <tableColumn id="14" xr3:uid="{0020639A-47B6-40B6-BA98-D69917EEE6D9}" uniqueName="14" name="Column14" queryTableFieldId="14"/>
    <tableColumn id="15" xr3:uid="{30798FE3-3910-4A82-9ABE-890DE2C33C0E}" uniqueName="15" name="Column15" queryTableFieldId="15"/>
    <tableColumn id="16" xr3:uid="{B50FA79F-584F-4191-8966-F50CB5FACB7B}" uniqueName="16" name="Column16" queryTableFieldId="16"/>
    <tableColumn id="17" xr3:uid="{6D2FB366-C6B5-4D71-A56C-494C6020B5CB}" uniqueName="17" name="Column17" queryTableFieldId="17"/>
    <tableColumn id="18" xr3:uid="{8BF24DF2-EB38-4A5A-96FD-58EED88A2CB7}" uniqueName="18" name="Column18" queryTableFieldId="18"/>
    <tableColumn id="19" xr3:uid="{88CD3E5A-E70F-4D99-8F57-47E5FEAA5D84}" uniqueName="19" name="Column19" queryTableFieldId="19"/>
    <tableColumn id="20" xr3:uid="{1453F984-7CE8-4178-A173-F8820C10769F}" uniqueName="20" name="Column20" queryTableFieldId="20"/>
    <tableColumn id="21" xr3:uid="{35BA3C54-8676-437C-9BB6-BFC05D9DB133}" uniqueName="21" name="Column21" queryTableFieldId="21"/>
    <tableColumn id="22" xr3:uid="{C6AD8761-941F-4E1E-8935-F43B89B3CA1C}" uniqueName="22" name="Column22" queryTableFieldId="22"/>
    <tableColumn id="23" xr3:uid="{AE5775C0-1AAD-4E6E-865A-E3A5D49A92A9}" uniqueName="23" name="Column23" queryTableFieldId="23"/>
    <tableColumn id="24" xr3:uid="{6E08CF09-D695-4ABA-A9F7-C9B9C3F022EC}" uniqueName="24" name="Column24" queryTableFieldId="24"/>
    <tableColumn id="25" xr3:uid="{C3E30875-165E-4BDC-9DF4-6C98CC87EFFC}" uniqueName="25" name="Column25" queryTableFieldId="25" dataDxfId="1"/>
    <tableColumn id="26" xr3:uid="{D7BC9950-A96F-43D7-9B51-621DDAC428EC}" uniqueName="26" name="Column26" queryTableFieldId="26"/>
    <tableColumn id="27" xr3:uid="{DA18BE3D-33D0-477B-859F-EFE07C26E60E}" uniqueName="27" name="Column27" queryTableFieldId="27"/>
    <tableColumn id="28" xr3:uid="{2705E1EC-8A0E-4FF9-8510-405688A9FBB7}" uniqueName="28" name="Column28" queryTableFieldId="28"/>
    <tableColumn id="29" xr3:uid="{FCC6B644-498F-4934-8AD9-2CE9277E817C}" uniqueName="29" name="Column29" queryTableFieldId="29"/>
    <tableColumn id="30" xr3:uid="{5FE57A52-8F90-4B26-96A1-8C2472C89AA5}" uniqueName="30" name="Column30" queryTableFieldId="30"/>
    <tableColumn id="31" xr3:uid="{86CC6406-8DF8-419D-B13E-583806478815}" uniqueName="31" name="Column31" queryTableFieldId="31"/>
    <tableColumn id="32" xr3:uid="{FEDE6DED-9A3F-4BE8-89AE-F6CA3CFCA320}" uniqueName="32" name="Column32" queryTableFieldId="32"/>
    <tableColumn id="33" xr3:uid="{8008072F-78BC-4F44-968E-FB2283AA7295}" uniqueName="33" name="Column33" queryTableFieldId="33"/>
    <tableColumn id="34" xr3:uid="{D105A890-C25C-4B6B-9F8F-9267455A0361}" uniqueName="34" name="Column34" queryTableFieldId="34"/>
    <tableColumn id="35" xr3:uid="{FBAD6C4A-317D-4D94-BD57-C05869F37FE1}" uniqueName="35" name="Column35" queryTableFieldId="35" dataDxfId="0"/>
    <tableColumn id="36" xr3:uid="{1747C7C6-0CED-41EB-BF9B-18AB50451A32}" uniqueName="36" name="Column36" queryTableFieldId="36"/>
    <tableColumn id="37" xr3:uid="{F154463F-4571-4CF6-8500-C19BD538F91D}" uniqueName="37" name="Column37" queryTableFieldId="37"/>
    <tableColumn id="38" xr3:uid="{9B3335F6-7B2E-43D3-89E8-43D0B459D04C}" uniqueName="38" name="Column38" queryTableFieldId="38"/>
    <tableColumn id="39" xr3:uid="{520F1FAD-12DA-4E26-A60C-61FFE25B0BF6}" uniqueName="39" name="Column39" queryTableFieldId="39"/>
    <tableColumn id="40" xr3:uid="{AF474633-8B4D-4FF5-8D9A-3E9787D0096E}" uniqueName="40" name="Column40" queryTableFieldId="40"/>
    <tableColumn id="41" xr3:uid="{DA027AC2-C0F7-4FF4-BC01-2A7E6A66AD67}" uniqueName="41" name="Column41" queryTableFieldId="41"/>
    <tableColumn id="42" xr3:uid="{ADFC1C02-C5D3-4095-AAF2-5795FB3D3D94}" uniqueName="42" name="Column42" queryTableFieldId="42"/>
    <tableColumn id="43" xr3:uid="{B00C1A61-AA90-4F70-B5F6-934B040F57AC}" uniqueName="43" name="Column43" queryTableFieldId="43"/>
    <tableColumn id="44" xr3:uid="{D13FDD45-087E-4108-AD89-353721D39BC2}" uniqueName="44" name="Column44" queryTableFieldId="44"/>
    <tableColumn id="45" xr3:uid="{E4F9B716-FB85-4391-8E80-E967DF384FDB}" uniqueName="45" name="Column45" queryTableFieldId="45"/>
    <tableColumn id="46" xr3:uid="{43CB270C-41B1-45CC-A70D-24CA8884A072}" uniqueName="46" name="Column46" queryTableFieldId="46"/>
    <tableColumn id="47" xr3:uid="{045317DC-A2A6-4B40-A7F2-92F8551D9F04}" uniqueName="47" name="Column47" queryTableFieldId="47"/>
    <tableColumn id="48" xr3:uid="{A7FE57EA-339E-42A5-8C6C-211F891538E0}" uniqueName="48" name="Column48" queryTableFieldId="48"/>
    <tableColumn id="49" xr3:uid="{5E4B2EB7-E15D-4A51-86F2-DCFF1F6F255B}" uniqueName="49" name="Column49" queryTableFieldId="49"/>
    <tableColumn id="50" xr3:uid="{931AE2D2-61B2-4EA6-A93C-68E756E4B34A}" uniqueName="50" name="Column50" queryTableFieldId="50"/>
    <tableColumn id="51" xr3:uid="{2DEFE667-333A-45AC-9482-92A854EE6EE0}" uniqueName="51" name="Column51" queryTableFieldId="51"/>
    <tableColumn id="52" xr3:uid="{464147A7-19C0-441A-B2B0-F4B5CED04D04}" uniqueName="52" name="Column52" queryTableFieldId="52"/>
    <tableColumn id="53" xr3:uid="{97ABF215-F3F8-4538-9318-7C3CA78B1B9E}" uniqueName="53" name="Column53" queryTableFieldId="53"/>
    <tableColumn id="54" xr3:uid="{0122ADB7-4845-44DF-879D-2E800BB9F064}" uniqueName="54" name="Column54" queryTableFieldId="54"/>
    <tableColumn id="55" xr3:uid="{9B7FFBDF-D180-4CE2-B824-888FF353D615}" uniqueName="55" name="Column55" queryTableFieldId="55"/>
    <tableColumn id="56" xr3:uid="{E2FB779F-FE69-4E9D-BC8C-866EB286BC98}" uniqueName="56" name="Column56" queryTableFieldId="56"/>
    <tableColumn id="57" xr3:uid="{89491A73-036A-430D-9440-D317B2E1281D}" uniqueName="57" name="Column57" queryTableFieldId="57"/>
    <tableColumn id="58" xr3:uid="{81801607-6D2F-46F9-AA85-3F398237ACCB}" uniqueName="58" name="Column58" queryTableFieldId="58"/>
    <tableColumn id="59" xr3:uid="{FD61F24B-46FB-40F7-9AD1-B6DEF0188371}" uniqueName="59" name="Column59" queryTableFieldId="59"/>
    <tableColumn id="60" xr3:uid="{3B37FFE4-757F-41C5-B107-F0ED1F72639D}" uniqueName="60" name="Column60" queryTableFieldId="60"/>
    <tableColumn id="61" xr3:uid="{4DEA44C9-585C-43D8-82B8-33F777E7C25D}" uniqueName="61" name="Column61" queryTableFieldId="61"/>
    <tableColumn id="62" xr3:uid="{643B6606-D8CD-4D17-B297-62EA03C59D80}" uniqueName="62" name="Column62" queryTableFieldId="62"/>
    <tableColumn id="63" xr3:uid="{81A51D15-0881-4B93-A6A0-F9F4AA2DB4C9}" uniqueName="63" name="Column63" queryTableFieldId="63"/>
    <tableColumn id="64" xr3:uid="{6518CBC4-3EE5-4342-B94B-B6128B14826C}" uniqueName="64" name="Column64" queryTableFieldId="64"/>
    <tableColumn id="65" xr3:uid="{B2BFCE22-2B70-4CAC-9D66-AA15FBC32AFF}" uniqueName="65" name="Column65" queryTableFieldId="65"/>
    <tableColumn id="66" xr3:uid="{75824CDB-E1FA-4C66-AE98-5DD9893DE44F}" uniqueName="66" name="Column66" queryTableFieldId="66"/>
    <tableColumn id="67" xr3:uid="{5B1077DA-E3CD-432F-952B-B9AF5E4A3733}" uniqueName="67" name="Column67" queryTableFieldId="67"/>
    <tableColumn id="68" xr3:uid="{66518C9D-158D-4F9C-B4EA-F5C8DCF66924}" uniqueName="68" name="Column68" queryTableFieldId="68"/>
    <tableColumn id="69" xr3:uid="{2F760FEC-5FB7-483F-936E-E63AA9CD61CF}" uniqueName="69" name="Column69" queryTableFieldId="69"/>
    <tableColumn id="70" xr3:uid="{41235758-279C-4ED4-94C6-A6ECC888104B}" uniqueName="70" name="Column70" queryTableFieldId="70"/>
    <tableColumn id="71" xr3:uid="{9A9614D0-7AE3-4EE6-8DEB-1B8D67F92CAA}" uniqueName="71" name="Column71" queryTableFieldId="71"/>
    <tableColumn id="72" xr3:uid="{34E43BD7-11C3-405C-A05C-5B722A00C5A4}" uniqueName="72" name="Column72" queryTableFieldId="72"/>
    <tableColumn id="73" xr3:uid="{DA87827A-4814-4126-9C77-5AACF373736C}" uniqueName="73" name="Column73" queryTableFieldId="73"/>
    <tableColumn id="74" xr3:uid="{A814D5A5-76C7-4638-A516-D23C11FCEBB9}" uniqueName="74" name="Column74" queryTableFieldId="74"/>
    <tableColumn id="75" xr3:uid="{61669D7E-B06A-4707-BAC7-38EAC0062BCB}" uniqueName="75" name="Column75" queryTableFieldId="75"/>
    <tableColumn id="76" xr3:uid="{01711A10-6B97-4823-9B95-F922D1DA2E39}" uniqueName="76" name="Column76" queryTableFieldId="76"/>
    <tableColumn id="77" xr3:uid="{97BDABC7-E9D6-4753-A0F0-375BE821B48C}" uniqueName="77" name="Column77" queryTableFieldId="77"/>
    <tableColumn id="78" xr3:uid="{3BE1A046-3371-4B08-B9EE-00A0FF1A8F62}" uniqueName="78" name="Column78" queryTableFieldId="78"/>
    <tableColumn id="79" xr3:uid="{00FFBA78-737B-493A-A135-79F02FEFF834}" uniqueName="79" name="Column79" queryTableFieldId="79"/>
    <tableColumn id="80" xr3:uid="{26898CF9-955C-4399-82F4-B5D46CF7306C}" uniqueName="80" name="Column80" queryTableFieldId="80"/>
    <tableColumn id="81" xr3:uid="{81CE03A1-5226-4846-BA86-633BD3BBAD17}" uniqueName="81" name="Column81" queryTableFieldId="81"/>
    <tableColumn id="82" xr3:uid="{6F057F99-FEF9-4DAC-A42F-27E5082ECD03}" uniqueName="82" name="Column82" queryTableFieldId="82"/>
    <tableColumn id="83" xr3:uid="{C1CD2F64-9BFC-4AE1-8CD8-346888175D11}" uniqueName="83" name="Column83" queryTableFieldId="83"/>
    <tableColumn id="84" xr3:uid="{6C380E6D-2675-4BA1-924B-DBDF35D194A0}" uniqueName="84" name="Column84" queryTableFieldId="84"/>
    <tableColumn id="85" xr3:uid="{0302757D-C543-4D34-B61A-A28AF3F9751A}" uniqueName="85" name="Column85" queryTableFieldId="85"/>
    <tableColumn id="86" xr3:uid="{6DA4BD33-C394-4CAE-9298-6B16081A9903}" uniqueName="86" name="Column86" queryTableFieldId="86"/>
    <tableColumn id="87" xr3:uid="{1FA20BE6-04E6-4AC3-ADD5-C2CB393BD5DE}" uniqueName="87" name="Column87" queryTableFieldId="87"/>
    <tableColumn id="88" xr3:uid="{C6CCF0AB-F558-48F4-BB78-DFEC8BB8C3FF}" uniqueName="88" name="Column88" queryTableFieldId="88"/>
    <tableColumn id="89" xr3:uid="{DC3A1F6E-F530-4447-8409-8B1375A555D0}" uniqueName="89" name="Column89" queryTableFieldId="89"/>
    <tableColumn id="90" xr3:uid="{C95D94A7-93DB-4705-B70F-B96C0FD9C7F9}" uniqueName="90" name="Column90" queryTableFieldId="90"/>
    <tableColumn id="91" xr3:uid="{7EC324F6-0963-4A0C-9488-44708758190C}" uniqueName="91" name="Column91" queryTableFieldId="91"/>
    <tableColumn id="92" xr3:uid="{A0853B6F-5654-46E2-83D9-84AC16A9BAB2}" uniqueName="92" name="Column92" queryTableFieldId="92"/>
    <tableColumn id="93" xr3:uid="{4C7790C9-8CF6-4BFF-9FCD-C737056C257C}" uniqueName="93" name="Column93" queryTableFieldId="93"/>
    <tableColumn id="94" xr3:uid="{4B012F67-5C31-4C38-8B15-0CC293A3C170}" uniqueName="94" name="Column94" queryTableFieldId="94"/>
    <tableColumn id="95" xr3:uid="{455297F9-EDA6-45AE-ACC7-0B6AF556777C}" uniqueName="95" name="Column95" queryTableFieldId="95"/>
    <tableColumn id="96" xr3:uid="{C4F0BBF5-40B4-4866-AA61-7067F2862F6A}" uniqueName="96" name="Column96" queryTableFieldId="96"/>
    <tableColumn id="97" xr3:uid="{F7ED4DE2-3A50-40F6-B2F1-0CCBB8ED3C01}" uniqueName="97" name="Column97" queryTableFieldId="97"/>
    <tableColumn id="98" xr3:uid="{0FAEC8FC-390E-404C-BA36-51C48214C85E}" uniqueName="98" name="Column98" queryTableFieldId="98"/>
    <tableColumn id="99" xr3:uid="{1376701A-4625-4295-AD7E-A9C1C1050CF3}" uniqueName="99" name="Column99" queryTableFieldId="99"/>
    <tableColumn id="100" xr3:uid="{7E2909A1-505D-4D36-901D-089004ACDA6D}" uniqueName="100" name="Column100" queryTableFieldId="100"/>
    <tableColumn id="101" xr3:uid="{6A58A4B1-91E7-48FB-AAFC-90583EFAC0C9}" uniqueName="101" name="Column101" queryTableFieldId="101"/>
    <tableColumn id="102" xr3:uid="{8A569136-1CBC-4368-B3EB-DA44A7845C4C}" uniqueName="102" name="Column102" queryTableFieldId="102"/>
    <tableColumn id="103" xr3:uid="{0169EF14-25C2-4888-9B65-027A13A621D7}" uniqueName="103" name="Column103" queryTableFieldId="103"/>
    <tableColumn id="104" xr3:uid="{692F2173-0383-4E2F-8C14-0565D75667BD}" uniqueName="104" name="Column104" queryTableFieldId="104"/>
    <tableColumn id="105" xr3:uid="{02F1A25D-05AD-40B0-8492-3360A5E6FD00}" uniqueName="105" name="Column105" queryTableFieldId="105"/>
    <tableColumn id="106" xr3:uid="{0A897B8E-2879-408C-B71F-8D3205DBB709}" uniqueName="106" name="Column106" queryTableFieldId="106"/>
    <tableColumn id="107" xr3:uid="{EDA02797-2A0B-4C41-AB16-C1DA899253FA}" uniqueName="107" name="Column107" queryTableFieldId="107"/>
    <tableColumn id="108" xr3:uid="{AA2CFFE5-0126-41E6-84DE-C499688C730C}" uniqueName="108" name="Column108" queryTableFieldId="108"/>
    <tableColumn id="109" xr3:uid="{564CF0D7-B3F1-4DF4-9D27-F1060EA94415}" uniqueName="109" name="Column109" queryTableFieldId="109"/>
    <tableColumn id="110" xr3:uid="{8E0DB9C1-067C-4176-BDA4-534326D70FC9}" uniqueName="110" name="Column110" queryTableFieldId="110"/>
    <tableColumn id="111" xr3:uid="{887EFFE7-0114-4C99-B7E2-9767587645FC}" uniqueName="111" name="Column111" queryTableFieldId="111"/>
    <tableColumn id="112" xr3:uid="{2A43C25F-39C7-43B2-9771-5E23FDB40442}" uniqueName="112" name="Column112" queryTableFieldId="112"/>
    <tableColumn id="113" xr3:uid="{1CB35BC0-6F75-4DDF-8B01-BDEB55C443D0}" uniqueName="113" name="Column113" queryTableFieldId="113"/>
    <tableColumn id="114" xr3:uid="{208DF504-6DBD-43E3-8B30-DDFC5F6F8634}" uniqueName="114" name="Column114" queryTableFieldId="114"/>
    <tableColumn id="115" xr3:uid="{54D7EA4C-BA8B-4030-9CD9-84D981B5EA90}" uniqueName="115" name="Column115" queryTableFieldId="115"/>
    <tableColumn id="122" xr3:uid="{3EDBFF5C-086B-4770-BEFE-16B166AB4EDE}" uniqueName="122" name="Column116" queryTableFieldId="126"/>
    <tableColumn id="123" xr3:uid="{ECFDC209-8E3B-407B-B199-770F4C81666C}" uniqueName="123" name="Column117" queryTableFieldId="127"/>
    <tableColumn id="124" xr3:uid="{BF6BD1DD-EC9B-4F3B-A0E5-CB30CC600149}" uniqueName="124" name="Column118" queryTableFieldId="128"/>
    <tableColumn id="1" xr3:uid="{117EACA1-1449-49B1-BA5B-9786AB53C2E3}" uniqueName="1" name="Column136" queryTableFieldId="120"/>
    <tableColumn id="117" xr3:uid="{8AB41E96-4403-4129-80C5-502F5C98263F}" uniqueName="117" name="Column137" queryTableFieldId="121"/>
    <tableColumn id="118" xr3:uid="{5312DE96-3557-409E-B992-5F37F2CBE6B4}" uniqueName="118" name="Column138" queryTableFieldId="122"/>
    <tableColumn id="119" xr3:uid="{A3F9365C-3458-4AB0-9535-571A9F88B888}" uniqueName="119" name="Column139" queryTableFieldId="123"/>
    <tableColumn id="120" xr3:uid="{816C5918-58A7-4F8F-B6D3-CAD2BD182F5F}" uniqueName="120" name="Column140" queryTableFieldId="124"/>
    <tableColumn id="121" xr3:uid="{A3478D84-8857-4651-A09C-413C12F20F65}" uniqueName="121" name="Column141" queryTableFieldId="12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27572-E2E1-4F1C-94FF-D30CED8D5DED}">
  <sheetPr codeName="Sheet9"/>
  <dimension ref="A1:DD32"/>
  <sheetViews>
    <sheetView zoomScale="90" zoomScaleNormal="90" workbookViewId="0">
      <pane xSplit="1" ySplit="3" topLeftCell="B12" activePane="bottomRight" state="frozen"/>
      <selection sqref="A1:O1"/>
      <selection pane="topRight" sqref="A1:O1"/>
      <selection pane="bottomLeft" sqref="A1:O1"/>
      <selection pane="bottomRight" activeCell="D32" sqref="D32"/>
    </sheetView>
  </sheetViews>
  <sheetFormatPr defaultRowHeight="14.4" x14ac:dyDescent="0.3"/>
  <cols>
    <col min="1" max="1" width="21" customWidth="1"/>
    <col min="2" max="3" width="6.5546875" bestFit="1" customWidth="1"/>
    <col min="4" max="4" width="6.77734375" bestFit="1" customWidth="1"/>
    <col min="5" max="5" width="4.6640625" bestFit="1" customWidth="1"/>
    <col min="6" max="6" width="5.44140625" bestFit="1" customWidth="1"/>
    <col min="7" max="7" width="6" customWidth="1"/>
    <col min="8" max="8" width="8.33203125" customWidth="1"/>
    <col min="9" max="9" width="1.44140625" customWidth="1"/>
    <col min="10" max="15" width="5.5546875" hidden="1" customWidth="1"/>
    <col min="16" max="16" width="8.33203125" hidden="1" customWidth="1"/>
    <col min="17" max="17" width="1.44140625" hidden="1" customWidth="1"/>
    <col min="18" max="18" width="5.5546875" hidden="1" customWidth="1"/>
    <col min="19" max="19" width="5.44140625" hidden="1" customWidth="1"/>
    <col min="20" max="20" width="6" hidden="1" customWidth="1"/>
    <col min="21" max="21" width="5.5546875" hidden="1" customWidth="1"/>
    <col min="22" max="22" width="5.44140625" hidden="1" customWidth="1"/>
    <col min="23" max="23" width="6" hidden="1" customWidth="1"/>
    <col min="24" max="24" width="8.33203125" hidden="1" customWidth="1"/>
    <col min="25" max="25" width="1.44140625" hidden="1" customWidth="1"/>
    <col min="26" max="26" width="4.6640625" hidden="1" customWidth="1"/>
    <col min="27" max="27" width="5.44140625" hidden="1" customWidth="1"/>
    <col min="28" max="28" width="6" hidden="1" customWidth="1"/>
    <col min="29" max="30" width="5.5546875" hidden="1" customWidth="1"/>
    <col min="31" max="31" width="6" hidden="1" customWidth="1"/>
    <col min="32" max="32" width="8.33203125" hidden="1" customWidth="1"/>
    <col min="33" max="33" width="1.44140625" hidden="1" customWidth="1"/>
    <col min="34" max="35" width="5.5546875" hidden="1" customWidth="1"/>
    <col min="36" max="36" width="6" hidden="1" customWidth="1"/>
    <col min="37" max="38" width="5.5546875" hidden="1" customWidth="1"/>
    <col min="39" max="39" width="6" hidden="1" customWidth="1"/>
    <col min="40" max="40" width="8.33203125" hidden="1" customWidth="1"/>
    <col min="41" max="41" width="1.44140625" hidden="1" customWidth="1"/>
    <col min="42" max="43" width="5.5546875" hidden="1" customWidth="1"/>
    <col min="44" max="44" width="6" hidden="1" customWidth="1"/>
    <col min="45" max="46" width="5.5546875" hidden="1" customWidth="1"/>
    <col min="47" max="47" width="6" hidden="1" customWidth="1"/>
    <col min="48" max="48" width="8.33203125" hidden="1" customWidth="1"/>
    <col min="49" max="49" width="1.44140625" hidden="1" customWidth="1"/>
    <col min="50" max="51" width="5.5546875" hidden="1" customWidth="1"/>
    <col min="52" max="52" width="6" hidden="1" customWidth="1"/>
    <col min="53" max="54" width="5.5546875" hidden="1" customWidth="1"/>
    <col min="55" max="55" width="6" hidden="1" customWidth="1"/>
    <col min="56" max="56" width="8.33203125" hidden="1" customWidth="1"/>
    <col min="57" max="57" width="1.44140625" hidden="1" customWidth="1"/>
    <col min="58" max="59" width="5.5546875" hidden="1" customWidth="1"/>
    <col min="60" max="60" width="6" hidden="1" customWidth="1"/>
    <col min="61" max="62" width="5.5546875" hidden="1" customWidth="1"/>
    <col min="63" max="63" width="6" hidden="1" customWidth="1"/>
    <col min="64" max="64" width="8.33203125" hidden="1" customWidth="1"/>
    <col min="65" max="65" width="1.44140625" hidden="1" customWidth="1"/>
    <col min="66" max="67" width="5.5546875" hidden="1" customWidth="1"/>
    <col min="68" max="68" width="6" hidden="1" customWidth="1"/>
    <col min="69" max="70" width="5.5546875" hidden="1" customWidth="1"/>
    <col min="71" max="71" width="6" hidden="1" customWidth="1"/>
    <col min="72" max="72" width="8.33203125" hidden="1" customWidth="1"/>
    <col min="73" max="73" width="1.44140625" hidden="1" customWidth="1"/>
    <col min="74" max="75" width="5.5546875" hidden="1" customWidth="1"/>
    <col min="76" max="76" width="6" hidden="1" customWidth="1"/>
    <col min="77" max="78" width="5.5546875" hidden="1" customWidth="1"/>
    <col min="79" max="79" width="6" hidden="1" customWidth="1"/>
    <col min="80" max="80" width="8.33203125" hidden="1" customWidth="1"/>
    <col min="81" max="81" width="1.44140625" hidden="1" customWidth="1"/>
    <col min="82" max="83" width="5.5546875" hidden="1" customWidth="1"/>
    <col min="84" max="84" width="6" hidden="1" customWidth="1"/>
    <col min="85" max="86" width="5.5546875" hidden="1" customWidth="1"/>
    <col min="87" max="87" width="6" hidden="1" customWidth="1"/>
    <col min="88" max="88" width="8.33203125" hidden="1" customWidth="1"/>
    <col min="89" max="89" width="1.44140625" hidden="1" customWidth="1"/>
    <col min="90" max="91" width="5.5546875" hidden="1" customWidth="1"/>
    <col min="92" max="92" width="6" hidden="1" customWidth="1"/>
    <col min="93" max="94" width="5.5546875" hidden="1" customWidth="1"/>
    <col min="95" max="95" width="6" hidden="1" customWidth="1"/>
    <col min="96" max="96" width="8.33203125" hidden="1" customWidth="1"/>
    <col min="97" max="97" width="1.44140625" hidden="1" customWidth="1"/>
    <col min="98" max="99" width="5.88671875" hidden="1" customWidth="1"/>
    <col min="100" max="100" width="6" hidden="1" customWidth="1"/>
    <col min="101" max="102" width="5.88671875" hidden="1" customWidth="1"/>
    <col min="103" max="103" width="6" hidden="1" customWidth="1"/>
    <col min="104" max="104" width="8.33203125" hidden="1" customWidth="1"/>
    <col min="105" max="105" width="0" hidden="1" customWidth="1"/>
    <col min="106" max="107" width="5.88671875" customWidth="1"/>
    <col min="108" max="108" width="7.109375" bestFit="1" customWidth="1"/>
  </cols>
  <sheetData>
    <row r="1" spans="1:108" s="71" customFormat="1" ht="16.2" customHeight="1" x14ac:dyDescent="0.3">
      <c r="A1" s="272" t="s">
        <v>321</v>
      </c>
      <c r="B1" s="278" t="s">
        <v>104</v>
      </c>
      <c r="C1" s="279"/>
      <c r="D1" s="279"/>
      <c r="E1" s="279"/>
      <c r="F1" s="279"/>
      <c r="G1" s="279"/>
      <c r="H1" s="280"/>
      <c r="I1" s="69"/>
      <c r="J1" s="281" t="s">
        <v>286</v>
      </c>
      <c r="K1" s="281"/>
      <c r="L1" s="281"/>
      <c r="M1" s="281"/>
      <c r="N1" s="281"/>
      <c r="O1" s="281"/>
      <c r="P1" s="281"/>
      <c r="Q1" s="69"/>
      <c r="R1" s="281" t="s">
        <v>285</v>
      </c>
      <c r="S1" s="281"/>
      <c r="T1" s="281"/>
      <c r="U1" s="281"/>
      <c r="V1" s="281"/>
      <c r="W1" s="281"/>
      <c r="X1" s="281"/>
      <c r="Y1" s="69"/>
      <c r="Z1" s="281" t="s">
        <v>272</v>
      </c>
      <c r="AA1" s="281"/>
      <c r="AB1" s="281"/>
      <c r="AC1" s="281"/>
      <c r="AD1" s="281"/>
      <c r="AE1" s="281"/>
      <c r="AF1" s="281"/>
      <c r="AG1" s="69"/>
      <c r="AH1" s="281" t="s">
        <v>271</v>
      </c>
      <c r="AI1" s="281"/>
      <c r="AJ1" s="281"/>
      <c r="AK1" s="281"/>
      <c r="AL1" s="281"/>
      <c r="AM1" s="281"/>
      <c r="AN1" s="281"/>
      <c r="AO1"/>
      <c r="AP1" s="281" t="s">
        <v>63</v>
      </c>
      <c r="AQ1" s="281"/>
      <c r="AR1" s="281"/>
      <c r="AS1" s="281"/>
      <c r="AT1" s="281"/>
      <c r="AU1" s="281"/>
      <c r="AV1" s="281"/>
      <c r="AW1" s="69"/>
      <c r="AX1" s="94" t="s">
        <v>114</v>
      </c>
      <c r="AY1" s="94"/>
      <c r="AZ1" s="94"/>
      <c r="BA1" s="94"/>
      <c r="BB1" s="94"/>
      <c r="BC1" s="94"/>
      <c r="BD1" s="94"/>
      <c r="BE1" s="115"/>
      <c r="BF1" s="94" t="s">
        <v>61</v>
      </c>
      <c r="BG1" s="94"/>
      <c r="BH1" s="94"/>
      <c r="BI1" s="94"/>
      <c r="BJ1" s="94"/>
      <c r="BK1" s="94"/>
      <c r="BL1" s="94"/>
      <c r="BM1" s="115"/>
      <c r="BN1" s="114" t="s">
        <v>103</v>
      </c>
      <c r="BO1" s="114"/>
      <c r="BP1" s="114"/>
      <c r="BQ1" s="114"/>
      <c r="BR1" s="114"/>
      <c r="BS1" s="114"/>
      <c r="BT1" s="114"/>
      <c r="BU1" s="69"/>
      <c r="BV1" s="94" t="s">
        <v>102</v>
      </c>
      <c r="BW1" s="94"/>
      <c r="BX1" s="94"/>
      <c r="BY1" s="94"/>
      <c r="BZ1" s="94"/>
      <c r="CA1" s="94"/>
      <c r="CB1" s="94"/>
      <c r="CC1" s="69"/>
      <c r="CD1" s="94" t="s">
        <v>92</v>
      </c>
      <c r="CE1" s="94"/>
      <c r="CF1" s="94"/>
      <c r="CG1" s="94"/>
      <c r="CH1" s="94"/>
      <c r="CI1" s="94"/>
      <c r="CJ1" s="94"/>
      <c r="CK1" s="69"/>
      <c r="CL1" s="94" t="s">
        <v>104</v>
      </c>
      <c r="CM1" s="94"/>
      <c r="CN1" s="94"/>
      <c r="CO1" s="94"/>
      <c r="CP1" s="94"/>
      <c r="CQ1" s="94"/>
      <c r="CR1" s="94"/>
      <c r="CS1" s="70"/>
      <c r="CT1" s="94" t="s">
        <v>41</v>
      </c>
      <c r="CU1" s="94"/>
      <c r="CV1" s="94"/>
      <c r="CW1" s="94"/>
      <c r="CX1" s="94"/>
      <c r="CY1" s="94"/>
      <c r="CZ1" s="94"/>
      <c r="DB1" s="273" t="s">
        <v>320</v>
      </c>
      <c r="DC1" s="273"/>
      <c r="DD1" s="273"/>
    </row>
    <row r="2" spans="1:108" s="71" customFormat="1" ht="14.4" customHeight="1" x14ac:dyDescent="0.3">
      <c r="A2" s="272"/>
      <c r="B2" s="276" t="s">
        <v>288</v>
      </c>
      <c r="C2" s="277"/>
      <c r="D2" s="277"/>
      <c r="E2" s="275" t="s">
        <v>269</v>
      </c>
      <c r="F2" s="271"/>
      <c r="G2" s="271"/>
      <c r="H2" s="80" t="s">
        <v>111</v>
      </c>
      <c r="I2" s="70"/>
      <c r="J2" s="270" t="s">
        <v>288</v>
      </c>
      <c r="K2" s="270"/>
      <c r="L2" s="270"/>
      <c r="M2" s="275" t="s">
        <v>269</v>
      </c>
      <c r="N2" s="271"/>
      <c r="O2" s="271"/>
      <c r="P2" s="148" t="s">
        <v>111</v>
      </c>
      <c r="Q2" s="70"/>
      <c r="R2" s="270" t="s">
        <v>288</v>
      </c>
      <c r="S2" s="270"/>
      <c r="T2" s="270"/>
      <c r="U2" s="275" t="s">
        <v>269</v>
      </c>
      <c r="V2" s="271"/>
      <c r="W2" s="271"/>
      <c r="X2" s="80" t="s">
        <v>111</v>
      </c>
      <c r="Y2" s="70"/>
      <c r="Z2" s="270">
        <v>2025</v>
      </c>
      <c r="AA2" s="270"/>
      <c r="AB2" s="270"/>
      <c r="AC2" s="275">
        <v>2024</v>
      </c>
      <c r="AD2" s="271"/>
      <c r="AE2" s="271"/>
      <c r="AF2" s="80" t="s">
        <v>111</v>
      </c>
      <c r="AG2" s="70"/>
      <c r="AH2" s="270">
        <v>2025</v>
      </c>
      <c r="AI2" s="270"/>
      <c r="AJ2" s="270"/>
      <c r="AK2" s="275">
        <v>2024</v>
      </c>
      <c r="AL2" s="271"/>
      <c r="AM2" s="271"/>
      <c r="AN2" s="80" t="s">
        <v>111</v>
      </c>
      <c r="AO2"/>
      <c r="AP2" s="270">
        <v>2025</v>
      </c>
      <c r="AQ2" s="270"/>
      <c r="AR2" s="270"/>
      <c r="AS2" s="271">
        <v>2024</v>
      </c>
      <c r="AT2" s="271"/>
      <c r="AU2" s="271"/>
      <c r="AV2" s="80" t="s">
        <v>111</v>
      </c>
      <c r="AW2" s="70"/>
      <c r="AX2" s="270">
        <v>2025</v>
      </c>
      <c r="AY2" s="270"/>
      <c r="AZ2" s="270"/>
      <c r="BA2" s="271">
        <v>2024</v>
      </c>
      <c r="BB2" s="271"/>
      <c r="BC2" s="271"/>
      <c r="BD2" s="80" t="s">
        <v>111</v>
      </c>
      <c r="BE2" s="70"/>
      <c r="BF2" s="270">
        <v>2025</v>
      </c>
      <c r="BG2" s="270"/>
      <c r="BH2" s="270"/>
      <c r="BI2" s="271">
        <v>2024</v>
      </c>
      <c r="BJ2" s="271"/>
      <c r="BK2" s="271"/>
      <c r="BL2" s="80" t="s">
        <v>111</v>
      </c>
      <c r="BM2" s="70"/>
      <c r="BN2" s="270">
        <v>2025</v>
      </c>
      <c r="BO2" s="270"/>
      <c r="BP2" s="270"/>
      <c r="BQ2" s="271">
        <v>2024</v>
      </c>
      <c r="BR2" s="271"/>
      <c r="BS2" s="271"/>
      <c r="BT2" s="80" t="s">
        <v>111</v>
      </c>
      <c r="BU2" s="70"/>
      <c r="BV2" s="270">
        <v>2025</v>
      </c>
      <c r="BW2" s="270"/>
      <c r="BX2" s="270"/>
      <c r="BY2" s="271">
        <v>2024</v>
      </c>
      <c r="BZ2" s="271"/>
      <c r="CA2" s="271"/>
      <c r="CB2" s="80" t="s">
        <v>111</v>
      </c>
      <c r="CC2" s="70"/>
      <c r="CD2" s="270">
        <v>2025</v>
      </c>
      <c r="CE2" s="270"/>
      <c r="CF2" s="270"/>
      <c r="CG2" s="271">
        <v>2024</v>
      </c>
      <c r="CH2" s="271"/>
      <c r="CI2" s="271"/>
      <c r="CJ2" s="80" t="s">
        <v>111</v>
      </c>
      <c r="CK2" s="70"/>
      <c r="CL2" s="270">
        <v>2025</v>
      </c>
      <c r="CM2" s="270"/>
      <c r="CN2" s="270"/>
      <c r="CO2" s="271">
        <v>2024</v>
      </c>
      <c r="CP2" s="271"/>
      <c r="CQ2" s="271"/>
      <c r="CR2" s="80" t="s">
        <v>111</v>
      </c>
      <c r="CS2" s="70"/>
      <c r="CT2" s="270" t="s">
        <v>319</v>
      </c>
      <c r="CU2" s="270"/>
      <c r="CV2" s="270"/>
      <c r="CW2" s="274" t="s">
        <v>298</v>
      </c>
      <c r="CX2" s="271"/>
      <c r="CY2" s="271"/>
      <c r="CZ2" s="80" t="s">
        <v>111</v>
      </c>
      <c r="DB2" s="273" t="s">
        <v>95</v>
      </c>
      <c r="DC2" s="273"/>
      <c r="DD2" s="273"/>
    </row>
    <row r="3" spans="1:108" ht="15.6" x14ac:dyDescent="0.3">
      <c r="A3" s="95" t="s">
        <v>85</v>
      </c>
      <c r="B3" s="64" t="s">
        <v>15</v>
      </c>
      <c r="C3" s="64" t="s">
        <v>16</v>
      </c>
      <c r="D3" s="64" t="s">
        <v>33</v>
      </c>
      <c r="E3" s="65" t="s">
        <v>15</v>
      </c>
      <c r="F3" s="65" t="s">
        <v>16</v>
      </c>
      <c r="G3" s="65" t="s">
        <v>33</v>
      </c>
      <c r="H3" s="81" t="s">
        <v>97</v>
      </c>
      <c r="I3" s="37"/>
      <c r="J3" s="66" t="s">
        <v>15</v>
      </c>
      <c r="K3" s="66" t="s">
        <v>16</v>
      </c>
      <c r="L3" s="66" t="s">
        <v>33</v>
      </c>
      <c r="M3" s="65" t="s">
        <v>15</v>
      </c>
      <c r="N3" s="65" t="s">
        <v>16</v>
      </c>
      <c r="O3" s="65" t="s">
        <v>33</v>
      </c>
      <c r="P3" s="81" t="s">
        <v>97</v>
      </c>
      <c r="Q3" s="37"/>
      <c r="R3" s="66" t="s">
        <v>15</v>
      </c>
      <c r="S3" s="66" t="s">
        <v>16</v>
      </c>
      <c r="T3" s="66" t="s">
        <v>33</v>
      </c>
      <c r="U3" s="65" t="s">
        <v>15</v>
      </c>
      <c r="V3" s="65" t="s">
        <v>16</v>
      </c>
      <c r="W3" s="65" t="s">
        <v>33</v>
      </c>
      <c r="X3" s="81" t="s">
        <v>97</v>
      </c>
      <c r="Y3" s="37"/>
      <c r="Z3" s="66" t="s">
        <v>15</v>
      </c>
      <c r="AA3" s="66" t="s">
        <v>16</v>
      </c>
      <c r="AB3" s="66" t="s">
        <v>33</v>
      </c>
      <c r="AC3" s="65" t="s">
        <v>15</v>
      </c>
      <c r="AD3" s="65" t="s">
        <v>16</v>
      </c>
      <c r="AE3" s="65" t="s">
        <v>33</v>
      </c>
      <c r="AF3" s="81" t="s">
        <v>97</v>
      </c>
      <c r="AG3" s="37"/>
      <c r="AH3" s="66" t="s">
        <v>15</v>
      </c>
      <c r="AI3" s="66" t="s">
        <v>16</v>
      </c>
      <c r="AJ3" s="66" t="s">
        <v>33</v>
      </c>
      <c r="AK3" s="65" t="s">
        <v>15</v>
      </c>
      <c r="AL3" s="65" t="s">
        <v>16</v>
      </c>
      <c r="AM3" s="65" t="s">
        <v>33</v>
      </c>
      <c r="AN3" s="81" t="s">
        <v>97</v>
      </c>
      <c r="AP3" s="66" t="s">
        <v>15</v>
      </c>
      <c r="AQ3" s="66" t="s">
        <v>16</v>
      </c>
      <c r="AR3" s="66" t="s">
        <v>33</v>
      </c>
      <c r="AS3" s="65" t="s">
        <v>15</v>
      </c>
      <c r="AT3" s="65" t="s">
        <v>16</v>
      </c>
      <c r="AU3" s="65" t="s">
        <v>33</v>
      </c>
      <c r="AV3" s="81" t="s">
        <v>97</v>
      </c>
      <c r="AW3" s="37"/>
      <c r="AX3" s="66" t="s">
        <v>15</v>
      </c>
      <c r="AY3" s="66" t="s">
        <v>16</v>
      </c>
      <c r="AZ3" s="66" t="s">
        <v>33</v>
      </c>
      <c r="BA3" s="65" t="s">
        <v>15</v>
      </c>
      <c r="BB3" s="65" t="s">
        <v>16</v>
      </c>
      <c r="BC3" s="65" t="s">
        <v>33</v>
      </c>
      <c r="BD3" s="81" t="s">
        <v>97</v>
      </c>
      <c r="BE3" s="37"/>
      <c r="BF3" s="66" t="s">
        <v>15</v>
      </c>
      <c r="BG3" s="66" t="s">
        <v>16</v>
      </c>
      <c r="BH3" s="66" t="s">
        <v>33</v>
      </c>
      <c r="BI3" s="65" t="s">
        <v>15</v>
      </c>
      <c r="BJ3" s="65" t="s">
        <v>16</v>
      </c>
      <c r="BK3" s="65" t="s">
        <v>33</v>
      </c>
      <c r="BL3" s="81" t="s">
        <v>97</v>
      </c>
      <c r="BM3" s="37"/>
      <c r="BN3" s="66" t="s">
        <v>15</v>
      </c>
      <c r="BO3" s="66" t="s">
        <v>16</v>
      </c>
      <c r="BP3" s="66" t="s">
        <v>33</v>
      </c>
      <c r="BQ3" s="65" t="s">
        <v>15</v>
      </c>
      <c r="BR3" s="65" t="s">
        <v>16</v>
      </c>
      <c r="BS3" s="65" t="s">
        <v>33</v>
      </c>
      <c r="BT3" s="81" t="s">
        <v>97</v>
      </c>
      <c r="BU3" s="37"/>
      <c r="BV3" s="66" t="s">
        <v>15</v>
      </c>
      <c r="BW3" s="66" t="s">
        <v>16</v>
      </c>
      <c r="BX3" s="66" t="s">
        <v>33</v>
      </c>
      <c r="BY3" s="65" t="s">
        <v>15</v>
      </c>
      <c r="BZ3" s="65" t="s">
        <v>16</v>
      </c>
      <c r="CA3" s="65" t="s">
        <v>33</v>
      </c>
      <c r="CB3" s="81" t="s">
        <v>97</v>
      </c>
      <c r="CC3" s="37"/>
      <c r="CD3" s="66" t="s">
        <v>15</v>
      </c>
      <c r="CE3" s="66" t="s">
        <v>16</v>
      </c>
      <c r="CF3" s="66" t="s">
        <v>33</v>
      </c>
      <c r="CG3" s="65" t="s">
        <v>15</v>
      </c>
      <c r="CH3" s="65" t="s">
        <v>16</v>
      </c>
      <c r="CI3" s="65" t="s">
        <v>33</v>
      </c>
      <c r="CJ3" s="81" t="s">
        <v>97</v>
      </c>
      <c r="CK3" s="37"/>
      <c r="CL3" s="66" t="s">
        <v>15</v>
      </c>
      <c r="CM3" s="66" t="s">
        <v>16</v>
      </c>
      <c r="CN3" s="66" t="s">
        <v>33</v>
      </c>
      <c r="CO3" s="65" t="s">
        <v>15</v>
      </c>
      <c r="CP3" s="65" t="s">
        <v>16</v>
      </c>
      <c r="CQ3" s="65" t="s">
        <v>33</v>
      </c>
      <c r="CR3" s="81" t="s">
        <v>97</v>
      </c>
      <c r="CS3" s="37"/>
      <c r="CT3" s="66" t="s">
        <v>15</v>
      </c>
      <c r="CU3" s="66" t="s">
        <v>16</v>
      </c>
      <c r="CV3" s="66" t="s">
        <v>33</v>
      </c>
      <c r="CW3" s="65" t="s">
        <v>15</v>
      </c>
      <c r="CX3" s="65" t="s">
        <v>16</v>
      </c>
      <c r="CY3" s="65" t="s">
        <v>33</v>
      </c>
      <c r="CZ3" s="81" t="s">
        <v>97</v>
      </c>
      <c r="DB3" s="68" t="s">
        <v>15</v>
      </c>
      <c r="DC3" s="68" t="s">
        <v>16</v>
      </c>
      <c r="DD3" s="68" t="s">
        <v>33</v>
      </c>
    </row>
    <row r="4" spans="1:108" ht="18" customHeight="1" x14ac:dyDescent="0.3">
      <c r="A4" s="96" t="s">
        <v>0</v>
      </c>
      <c r="B4" s="67">
        <f>VLOOKUP(A4,'MT- MNT TRACKER'!C:N,7,0)</f>
        <v>0</v>
      </c>
      <c r="C4" s="67">
        <f>VLOOKUP(A4,'MT- MNT TRACKER'!C:N,9,0)</f>
        <v>0</v>
      </c>
      <c r="D4" s="64">
        <f>B4+C4</f>
        <v>0</v>
      </c>
      <c r="E4" s="55">
        <v>29</v>
      </c>
      <c r="F4" s="55">
        <v>36</v>
      </c>
      <c r="G4" s="65">
        <f>E4+F4</f>
        <v>65</v>
      </c>
      <c r="H4" s="82">
        <f>(D4-G4)/G4</f>
        <v>-1</v>
      </c>
      <c r="I4" s="38"/>
      <c r="J4" s="66"/>
      <c r="K4" s="66"/>
      <c r="L4" s="66"/>
      <c r="M4" s="55"/>
      <c r="N4" s="55"/>
      <c r="O4" s="65"/>
      <c r="P4" s="82"/>
      <c r="Q4" s="38"/>
      <c r="R4" s="66"/>
      <c r="S4" s="66"/>
      <c r="T4" s="66"/>
      <c r="U4" s="55"/>
      <c r="V4" s="55"/>
      <c r="W4" s="65"/>
      <c r="X4" s="82"/>
      <c r="Y4" s="38"/>
      <c r="Z4" s="66"/>
      <c r="AA4" s="66"/>
      <c r="AB4" s="66"/>
      <c r="AC4" s="55"/>
      <c r="AD4" s="55"/>
      <c r="AE4" s="65"/>
      <c r="AF4" s="82"/>
      <c r="AG4" s="38"/>
      <c r="AH4" s="66"/>
      <c r="AI4" s="66"/>
      <c r="AJ4" s="66"/>
      <c r="AK4" s="55"/>
      <c r="AL4" s="55"/>
      <c r="AM4" s="65"/>
      <c r="AN4" s="82"/>
      <c r="AP4" s="66"/>
      <c r="AQ4" s="66"/>
      <c r="AR4" s="66"/>
      <c r="AS4" s="65"/>
      <c r="AT4" s="65"/>
      <c r="AU4" s="65"/>
      <c r="AV4" s="82"/>
      <c r="AW4" s="38"/>
      <c r="AX4" s="66"/>
      <c r="AY4" s="66"/>
      <c r="AZ4" s="66"/>
      <c r="BA4" s="55"/>
      <c r="BB4" s="55"/>
      <c r="BC4" s="65"/>
      <c r="BD4" s="82"/>
      <c r="BE4" s="38"/>
      <c r="BF4" s="35"/>
      <c r="BG4" s="35"/>
      <c r="BH4" s="66"/>
      <c r="BI4" s="55"/>
      <c r="BJ4" s="55"/>
      <c r="BK4" s="65"/>
      <c r="BL4" s="82"/>
      <c r="BM4" s="38"/>
      <c r="BN4" s="35"/>
      <c r="BO4" s="35"/>
      <c r="BP4" s="66"/>
      <c r="BQ4" s="55"/>
      <c r="BR4" s="55"/>
      <c r="BS4" s="65"/>
      <c r="BT4" s="82"/>
      <c r="BU4" s="38"/>
      <c r="BV4" s="35"/>
      <c r="BW4" s="35"/>
      <c r="BX4" s="66"/>
      <c r="BY4" s="55"/>
      <c r="BZ4" s="55"/>
      <c r="CA4" s="65"/>
      <c r="CB4" s="82"/>
      <c r="CC4" s="38"/>
      <c r="CD4" s="66"/>
      <c r="CE4" s="66"/>
      <c r="CF4" s="66"/>
      <c r="CG4" s="55"/>
      <c r="CH4" s="55"/>
      <c r="CI4" s="65"/>
      <c r="CJ4" s="82"/>
      <c r="CK4" s="38"/>
      <c r="CL4" s="35"/>
      <c r="CM4" s="35"/>
      <c r="CN4" s="66"/>
      <c r="CO4" s="55"/>
      <c r="CP4" s="55"/>
      <c r="CQ4" s="65"/>
      <c r="CR4" s="82"/>
      <c r="CS4" s="38"/>
      <c r="CT4" s="35">
        <f>CL4+CD4+BV4+BN4+BF4+AX4+AP4+AH4+Z4+R4+J4+B4</f>
        <v>0</v>
      </c>
      <c r="CU4" s="35">
        <f>CM4+CE4+BW4+BO4+BG4+AY4+AQ4+AI4+AA4+S4+K4+C4</f>
        <v>0</v>
      </c>
      <c r="CV4" s="66">
        <f>CT4+CU4</f>
        <v>0</v>
      </c>
      <c r="CW4" s="55">
        <f>CO4+CG4+BY4+BQ4+BI4+BA4+AS4+AK4+AC4+U4+M4+E4</f>
        <v>29</v>
      </c>
      <c r="CX4" s="55">
        <f>CP4+CH4+BZ4+BR4+BJ4+BB4+AT4+AL4+AD4+V4+N4+F4</f>
        <v>36</v>
      </c>
      <c r="CY4" s="65">
        <f>CW4+CX4</f>
        <v>65</v>
      </c>
      <c r="CZ4" s="82">
        <f t="shared" ref="CZ4" si="0">(CV4-CY4)/CY4</f>
        <v>-1</v>
      </c>
      <c r="DB4" s="53">
        <v>328</v>
      </c>
      <c r="DC4" s="53">
        <v>364</v>
      </c>
      <c r="DD4" s="53">
        <f>DB4+DC4</f>
        <v>692</v>
      </c>
    </row>
    <row r="5" spans="1:108" ht="18" customHeight="1" x14ac:dyDescent="0.3">
      <c r="A5" s="96" t="s">
        <v>1</v>
      </c>
      <c r="B5" s="67">
        <f>VLOOKUP(A5,'MT- MNT TRACKER'!C:N,7,0)</f>
        <v>0</v>
      </c>
      <c r="C5" s="67">
        <f>VLOOKUP(A5,'MT- MNT TRACKER'!C:N,9,0)</f>
        <v>1</v>
      </c>
      <c r="D5" s="64">
        <f t="shared" ref="D5:D31" si="1">B5+C5</f>
        <v>1</v>
      </c>
      <c r="E5" s="55">
        <v>14</v>
      </c>
      <c r="F5" s="55">
        <v>11</v>
      </c>
      <c r="G5" s="65">
        <f t="shared" ref="G5:G31" si="2">E5+F5</f>
        <v>25</v>
      </c>
      <c r="H5" s="82">
        <f t="shared" ref="H5:H32" si="3">(D5-G5)/G5</f>
        <v>-0.96</v>
      </c>
      <c r="I5" s="38"/>
      <c r="J5" s="66"/>
      <c r="K5" s="66"/>
      <c r="L5" s="66"/>
      <c r="M5" s="55"/>
      <c r="N5" s="55"/>
      <c r="O5" s="65"/>
      <c r="P5" s="82"/>
      <c r="Q5" s="38"/>
      <c r="R5" s="66"/>
      <c r="S5" s="66"/>
      <c r="T5" s="66"/>
      <c r="U5" s="55"/>
      <c r="V5" s="55"/>
      <c r="W5" s="65"/>
      <c r="X5" s="82"/>
      <c r="Y5" s="38"/>
      <c r="Z5" s="66"/>
      <c r="AA5" s="66"/>
      <c r="AB5" s="66"/>
      <c r="AC5" s="55"/>
      <c r="AD5" s="55"/>
      <c r="AE5" s="65"/>
      <c r="AF5" s="82"/>
      <c r="AG5" s="38"/>
      <c r="AH5" s="66"/>
      <c r="AI5" s="66"/>
      <c r="AJ5" s="66"/>
      <c r="AK5" s="55"/>
      <c r="AL5" s="55"/>
      <c r="AM5" s="65"/>
      <c r="AN5" s="82"/>
      <c r="AP5" s="66"/>
      <c r="AQ5" s="66"/>
      <c r="AR5" s="66"/>
      <c r="AS5" s="65"/>
      <c r="AT5" s="65"/>
      <c r="AU5" s="65"/>
      <c r="AV5" s="82"/>
      <c r="AW5" s="38"/>
      <c r="AX5" s="66"/>
      <c r="AY5" s="66"/>
      <c r="AZ5" s="66"/>
      <c r="BA5" s="55"/>
      <c r="BB5" s="55"/>
      <c r="BC5" s="65"/>
      <c r="BD5" s="82"/>
      <c r="BE5" s="38"/>
      <c r="BF5" s="35"/>
      <c r="BG5" s="35"/>
      <c r="BH5" s="66"/>
      <c r="BI5" s="55"/>
      <c r="BJ5" s="55"/>
      <c r="BK5" s="65"/>
      <c r="BL5" s="82"/>
      <c r="BM5" s="38"/>
      <c r="BN5" s="35"/>
      <c r="BO5" s="35"/>
      <c r="BP5" s="66"/>
      <c r="BQ5" s="55"/>
      <c r="BR5" s="55"/>
      <c r="BS5" s="65"/>
      <c r="BT5" s="82"/>
      <c r="BU5" s="38"/>
      <c r="BV5" s="35"/>
      <c r="BW5" s="35"/>
      <c r="BX5" s="66"/>
      <c r="BY5" s="55"/>
      <c r="BZ5" s="55"/>
      <c r="CA5" s="65"/>
      <c r="CB5" s="82"/>
      <c r="CC5" s="38"/>
      <c r="CD5" s="66"/>
      <c r="CE5" s="66"/>
      <c r="CF5" s="66"/>
      <c r="CG5" s="55"/>
      <c r="CH5" s="55"/>
      <c r="CI5" s="65"/>
      <c r="CJ5" s="82"/>
      <c r="CK5" s="38"/>
      <c r="CL5" s="35"/>
      <c r="CM5" s="35"/>
      <c r="CN5" s="66"/>
      <c r="CO5" s="55"/>
      <c r="CP5" s="55"/>
      <c r="CQ5" s="65"/>
      <c r="CR5" s="82"/>
      <c r="CS5" s="38"/>
      <c r="CT5" s="35">
        <f t="shared" ref="CT5:CT32" si="4">CL5+CD5+BV5+BN5+BF5+AX5+AP5+AH5+Z5+R5+J5+B5</f>
        <v>0</v>
      </c>
      <c r="CU5" s="35">
        <f t="shared" ref="CU5:CU32" si="5">CM5+CE5+BW5+BO5+BG5+AY5+AQ5+AI5+AA5+S5+K5+C5</f>
        <v>1</v>
      </c>
      <c r="CV5" s="66">
        <f t="shared" ref="CV5:CV32" si="6">CT5+CU5</f>
        <v>1</v>
      </c>
      <c r="CW5" s="55">
        <f t="shared" ref="CW5:CW32" si="7">CO5+CG5+BY5+BQ5+BI5+BA5+AS5+AK5+AC5+U5+M5+E5</f>
        <v>14</v>
      </c>
      <c r="CX5" s="55">
        <f t="shared" ref="CX5:CX32" si="8">CP5+CH5+BZ5+BR5+BJ5+BB5+AT5+AL5+AD5+V5+N5+F5</f>
        <v>11</v>
      </c>
      <c r="CY5" s="65">
        <f t="shared" ref="CY5:CY32" si="9">CW5+CX5</f>
        <v>25</v>
      </c>
      <c r="CZ5" s="82">
        <f t="shared" ref="CZ5:CZ32" si="10">(CV5-CY5)/CY5</f>
        <v>-0.96</v>
      </c>
      <c r="DB5" s="53">
        <v>177</v>
      </c>
      <c r="DC5" s="53">
        <v>197</v>
      </c>
      <c r="DD5" s="53">
        <f t="shared" ref="DD5:DD31" si="11">DB5+DC5</f>
        <v>374</v>
      </c>
    </row>
    <row r="6" spans="1:108" ht="18" customHeight="1" x14ac:dyDescent="0.3">
      <c r="A6" s="96" t="s">
        <v>2</v>
      </c>
      <c r="B6" s="67">
        <f>VLOOKUP(A6,'MT- MNT TRACKER'!C:N,7,0)</f>
        <v>0</v>
      </c>
      <c r="C6" s="67">
        <f>VLOOKUP(A6,'MT- MNT TRACKER'!C:N,9,0)</f>
        <v>4</v>
      </c>
      <c r="D6" s="64">
        <f t="shared" si="1"/>
        <v>4</v>
      </c>
      <c r="E6" s="55">
        <v>9</v>
      </c>
      <c r="F6" s="55">
        <v>6</v>
      </c>
      <c r="G6" s="65">
        <f t="shared" si="2"/>
        <v>15</v>
      </c>
      <c r="H6" s="82">
        <f t="shared" si="3"/>
        <v>-0.73333333333333328</v>
      </c>
      <c r="I6" s="38"/>
      <c r="J6" s="66"/>
      <c r="K6" s="66"/>
      <c r="L6" s="66"/>
      <c r="M6" s="55"/>
      <c r="N6" s="55"/>
      <c r="O6" s="65"/>
      <c r="P6" s="82"/>
      <c r="Q6" s="38"/>
      <c r="R6" s="66"/>
      <c r="S6" s="66"/>
      <c r="T6" s="66"/>
      <c r="U6" s="55"/>
      <c r="V6" s="55"/>
      <c r="W6" s="65"/>
      <c r="X6" s="82"/>
      <c r="Y6" s="38"/>
      <c r="Z6" s="66"/>
      <c r="AA6" s="66"/>
      <c r="AB6" s="66"/>
      <c r="AC6" s="55"/>
      <c r="AD6" s="55"/>
      <c r="AE6" s="65"/>
      <c r="AF6" s="82"/>
      <c r="AG6" s="38"/>
      <c r="AH6" s="66"/>
      <c r="AI6" s="66"/>
      <c r="AJ6" s="66"/>
      <c r="AK6" s="55"/>
      <c r="AL6" s="55"/>
      <c r="AM6" s="65"/>
      <c r="AN6" s="82"/>
      <c r="AP6" s="66"/>
      <c r="AQ6" s="66"/>
      <c r="AR6" s="66"/>
      <c r="AS6" s="65"/>
      <c r="AT6" s="65"/>
      <c r="AU6" s="65"/>
      <c r="AV6" s="82"/>
      <c r="AW6" s="38"/>
      <c r="AX6" s="66"/>
      <c r="AY6" s="66"/>
      <c r="AZ6" s="66"/>
      <c r="BA6" s="55"/>
      <c r="BB6" s="55"/>
      <c r="BC6" s="65"/>
      <c r="BD6" s="82"/>
      <c r="BE6" s="38"/>
      <c r="BF6" s="35"/>
      <c r="BG6" s="35"/>
      <c r="BH6" s="66"/>
      <c r="BI6" s="55"/>
      <c r="BJ6" s="55"/>
      <c r="BK6" s="65"/>
      <c r="BL6" s="82"/>
      <c r="BM6" s="38"/>
      <c r="BN6" s="35"/>
      <c r="BO6" s="35"/>
      <c r="BP6" s="66"/>
      <c r="BQ6" s="55"/>
      <c r="BR6" s="55"/>
      <c r="BS6" s="65"/>
      <c r="BT6" s="82"/>
      <c r="BU6" s="38"/>
      <c r="BV6" s="35"/>
      <c r="BW6" s="35"/>
      <c r="BX6" s="66"/>
      <c r="BY6" s="55"/>
      <c r="BZ6" s="55"/>
      <c r="CA6" s="65"/>
      <c r="CB6" s="82"/>
      <c r="CC6" s="38"/>
      <c r="CD6" s="66"/>
      <c r="CE6" s="66"/>
      <c r="CF6" s="66"/>
      <c r="CG6" s="55"/>
      <c r="CH6" s="55"/>
      <c r="CI6" s="65"/>
      <c r="CJ6" s="82"/>
      <c r="CK6" s="38"/>
      <c r="CL6" s="35"/>
      <c r="CM6" s="35"/>
      <c r="CN6" s="66"/>
      <c r="CO6" s="55"/>
      <c r="CP6" s="55"/>
      <c r="CQ6" s="65"/>
      <c r="CR6" s="82"/>
      <c r="CS6" s="38"/>
      <c r="CT6" s="35">
        <f t="shared" si="4"/>
        <v>0</v>
      </c>
      <c r="CU6" s="35">
        <f t="shared" si="5"/>
        <v>4</v>
      </c>
      <c r="CV6" s="66">
        <f t="shared" si="6"/>
        <v>4</v>
      </c>
      <c r="CW6" s="55">
        <f t="shared" si="7"/>
        <v>9</v>
      </c>
      <c r="CX6" s="55">
        <f t="shared" si="8"/>
        <v>6</v>
      </c>
      <c r="CY6" s="65">
        <f t="shared" si="9"/>
        <v>15</v>
      </c>
      <c r="CZ6" s="82">
        <f t="shared" si="10"/>
        <v>-0.73333333333333328</v>
      </c>
      <c r="DB6" s="53">
        <v>199</v>
      </c>
      <c r="DC6" s="53">
        <v>165</v>
      </c>
      <c r="DD6" s="53">
        <f t="shared" si="11"/>
        <v>364</v>
      </c>
    </row>
    <row r="7" spans="1:108" ht="18" customHeight="1" x14ac:dyDescent="0.3">
      <c r="A7" s="96" t="s">
        <v>3</v>
      </c>
      <c r="B7" s="67">
        <f>VLOOKUP(A7,'MT- MNT TRACKER'!C:N,7,0)</f>
        <v>0</v>
      </c>
      <c r="C7" s="67">
        <f>VLOOKUP(A7,'MT- MNT TRACKER'!C:N,9,0)</f>
        <v>2</v>
      </c>
      <c r="D7" s="64">
        <f t="shared" si="1"/>
        <v>2</v>
      </c>
      <c r="E7" s="55">
        <v>8</v>
      </c>
      <c r="F7" s="55">
        <v>9</v>
      </c>
      <c r="G7" s="65">
        <f t="shared" si="2"/>
        <v>17</v>
      </c>
      <c r="H7" s="82">
        <f t="shared" si="3"/>
        <v>-0.88235294117647056</v>
      </c>
      <c r="I7" s="38"/>
      <c r="J7" s="66"/>
      <c r="K7" s="66"/>
      <c r="L7" s="66"/>
      <c r="M7" s="55"/>
      <c r="N7" s="55"/>
      <c r="O7" s="65"/>
      <c r="P7" s="82"/>
      <c r="Q7" s="38"/>
      <c r="R7" s="66"/>
      <c r="S7" s="66"/>
      <c r="T7" s="66"/>
      <c r="U7" s="55"/>
      <c r="V7" s="55"/>
      <c r="W7" s="65"/>
      <c r="X7" s="82"/>
      <c r="Y7" s="38"/>
      <c r="Z7" s="66"/>
      <c r="AA7" s="66"/>
      <c r="AB7" s="66"/>
      <c r="AC7" s="55"/>
      <c r="AD7" s="55"/>
      <c r="AE7" s="65"/>
      <c r="AF7" s="82"/>
      <c r="AG7" s="38"/>
      <c r="AH7" s="66"/>
      <c r="AI7" s="66"/>
      <c r="AJ7" s="66"/>
      <c r="AK7" s="55"/>
      <c r="AL7" s="55"/>
      <c r="AM7" s="65"/>
      <c r="AN7" s="82"/>
      <c r="AP7" s="66"/>
      <c r="AQ7" s="66"/>
      <c r="AR7" s="66"/>
      <c r="AS7" s="65"/>
      <c r="AT7" s="65"/>
      <c r="AU7" s="65"/>
      <c r="AV7" s="82"/>
      <c r="AW7" s="38"/>
      <c r="AX7" s="66"/>
      <c r="AY7" s="66"/>
      <c r="AZ7" s="66"/>
      <c r="BA7" s="55"/>
      <c r="BB7" s="55"/>
      <c r="BC7" s="65"/>
      <c r="BD7" s="82"/>
      <c r="BE7" s="38"/>
      <c r="BF7" s="35"/>
      <c r="BG7" s="35"/>
      <c r="BH7" s="66"/>
      <c r="BI7" s="55"/>
      <c r="BJ7" s="55"/>
      <c r="BK7" s="65"/>
      <c r="BL7" s="82"/>
      <c r="BM7" s="38"/>
      <c r="BN7" s="35"/>
      <c r="BO7" s="35"/>
      <c r="BP7" s="66"/>
      <c r="BQ7" s="55"/>
      <c r="BR7" s="55"/>
      <c r="BS7" s="65"/>
      <c r="BT7" s="82"/>
      <c r="BU7" s="38"/>
      <c r="BV7" s="35"/>
      <c r="BW7" s="35"/>
      <c r="BX7" s="66"/>
      <c r="BY7" s="55"/>
      <c r="BZ7" s="55"/>
      <c r="CA7" s="65"/>
      <c r="CB7" s="82"/>
      <c r="CC7" s="38"/>
      <c r="CD7" s="66"/>
      <c r="CE7" s="66"/>
      <c r="CF7" s="66"/>
      <c r="CG7" s="55"/>
      <c r="CH7" s="55"/>
      <c r="CI7" s="65"/>
      <c r="CJ7" s="82"/>
      <c r="CK7" s="38"/>
      <c r="CL7" s="35"/>
      <c r="CM7" s="35"/>
      <c r="CN7" s="66"/>
      <c r="CO7" s="55"/>
      <c r="CP7" s="55"/>
      <c r="CQ7" s="65"/>
      <c r="CR7" s="82"/>
      <c r="CS7" s="38"/>
      <c r="CT7" s="35">
        <f t="shared" si="4"/>
        <v>0</v>
      </c>
      <c r="CU7" s="35">
        <f t="shared" si="5"/>
        <v>2</v>
      </c>
      <c r="CV7" s="66">
        <f t="shared" si="6"/>
        <v>2</v>
      </c>
      <c r="CW7" s="55">
        <f t="shared" si="7"/>
        <v>8</v>
      </c>
      <c r="CX7" s="55">
        <f t="shared" si="8"/>
        <v>9</v>
      </c>
      <c r="CY7" s="65">
        <f t="shared" si="9"/>
        <v>17</v>
      </c>
      <c r="CZ7" s="82">
        <f t="shared" si="10"/>
        <v>-0.88235294117647056</v>
      </c>
      <c r="DB7" s="53">
        <v>96</v>
      </c>
      <c r="DC7" s="53">
        <v>116</v>
      </c>
      <c r="DD7" s="53">
        <f t="shared" si="11"/>
        <v>212</v>
      </c>
    </row>
    <row r="8" spans="1:108" ht="18" customHeight="1" x14ac:dyDescent="0.3">
      <c r="A8" s="97" t="s">
        <v>46</v>
      </c>
      <c r="B8" s="67">
        <f>VLOOKUP(A8,'MT- MNT TRACKER'!C:N,7,0)</f>
        <v>0</v>
      </c>
      <c r="C8" s="67">
        <f>VLOOKUP(A8,'MT- MNT TRACKER'!C:N,9,0)</f>
        <v>1</v>
      </c>
      <c r="D8" s="64">
        <f t="shared" si="1"/>
        <v>1</v>
      </c>
      <c r="E8" s="55">
        <v>15</v>
      </c>
      <c r="F8" s="55">
        <v>8</v>
      </c>
      <c r="G8" s="65">
        <f t="shared" si="2"/>
        <v>23</v>
      </c>
      <c r="H8" s="82">
        <f t="shared" si="3"/>
        <v>-0.95652173913043481</v>
      </c>
      <c r="I8" s="38"/>
      <c r="J8" s="66"/>
      <c r="K8" s="66"/>
      <c r="L8" s="66"/>
      <c r="M8" s="55"/>
      <c r="N8" s="55"/>
      <c r="O8" s="65"/>
      <c r="P8" s="82"/>
      <c r="Q8" s="38"/>
      <c r="R8" s="66"/>
      <c r="S8" s="66"/>
      <c r="T8" s="66"/>
      <c r="U8" s="55"/>
      <c r="V8" s="55"/>
      <c r="W8" s="65"/>
      <c r="X8" s="82"/>
      <c r="Y8" s="38"/>
      <c r="Z8" s="66"/>
      <c r="AA8" s="66"/>
      <c r="AB8" s="66"/>
      <c r="AC8" s="55"/>
      <c r="AD8" s="55"/>
      <c r="AE8" s="65"/>
      <c r="AF8" s="82"/>
      <c r="AG8" s="38"/>
      <c r="AH8" s="66"/>
      <c r="AI8" s="66"/>
      <c r="AJ8" s="66"/>
      <c r="AK8" s="55"/>
      <c r="AL8" s="55"/>
      <c r="AM8" s="65"/>
      <c r="AN8" s="82"/>
      <c r="AP8" s="66"/>
      <c r="AQ8" s="66"/>
      <c r="AR8" s="66"/>
      <c r="AS8" s="65"/>
      <c r="AT8" s="65"/>
      <c r="AU8" s="65"/>
      <c r="AV8" s="82"/>
      <c r="AW8" s="38"/>
      <c r="AX8" s="66"/>
      <c r="AY8" s="66"/>
      <c r="AZ8" s="66"/>
      <c r="BA8" s="55"/>
      <c r="BB8" s="55"/>
      <c r="BC8" s="65"/>
      <c r="BD8" s="82"/>
      <c r="BE8" s="38"/>
      <c r="BF8" s="35"/>
      <c r="BG8" s="35"/>
      <c r="BH8" s="66"/>
      <c r="BI8" s="55"/>
      <c r="BJ8" s="55"/>
      <c r="BK8" s="65"/>
      <c r="BL8" s="82"/>
      <c r="BM8" s="38"/>
      <c r="BN8" s="35"/>
      <c r="BO8" s="35"/>
      <c r="BP8" s="66"/>
      <c r="BQ8" s="55"/>
      <c r="BR8" s="55"/>
      <c r="BS8" s="65"/>
      <c r="BT8" s="82"/>
      <c r="BU8" s="38"/>
      <c r="BV8" s="35"/>
      <c r="BW8" s="35"/>
      <c r="BX8" s="66"/>
      <c r="BY8" s="55"/>
      <c r="BZ8" s="55"/>
      <c r="CA8" s="65"/>
      <c r="CB8" s="82"/>
      <c r="CC8" s="38"/>
      <c r="CD8" s="66"/>
      <c r="CE8" s="66"/>
      <c r="CF8" s="66"/>
      <c r="CG8" s="55"/>
      <c r="CH8" s="55"/>
      <c r="CI8" s="65"/>
      <c r="CJ8" s="82"/>
      <c r="CK8" s="38"/>
      <c r="CL8" s="35"/>
      <c r="CM8" s="35"/>
      <c r="CN8" s="66"/>
      <c r="CO8" s="55"/>
      <c r="CP8" s="55"/>
      <c r="CQ8" s="65"/>
      <c r="CR8" s="82"/>
      <c r="CS8" s="38"/>
      <c r="CT8" s="35">
        <f t="shared" si="4"/>
        <v>0</v>
      </c>
      <c r="CU8" s="35">
        <f t="shared" si="5"/>
        <v>1</v>
      </c>
      <c r="CV8" s="66">
        <f t="shared" si="6"/>
        <v>1</v>
      </c>
      <c r="CW8" s="55">
        <f t="shared" si="7"/>
        <v>15</v>
      </c>
      <c r="CX8" s="55">
        <f t="shared" si="8"/>
        <v>8</v>
      </c>
      <c r="CY8" s="65">
        <f t="shared" si="9"/>
        <v>23</v>
      </c>
      <c r="CZ8" s="82">
        <f t="shared" si="10"/>
        <v>-0.95652173913043481</v>
      </c>
      <c r="DB8" s="53">
        <v>167</v>
      </c>
      <c r="DC8" s="53">
        <v>76</v>
      </c>
      <c r="DD8" s="53">
        <f t="shared" si="11"/>
        <v>243</v>
      </c>
    </row>
    <row r="9" spans="1:108" ht="18" customHeight="1" x14ac:dyDescent="0.3">
      <c r="A9" s="97" t="s">
        <v>301</v>
      </c>
      <c r="B9" s="67">
        <f>VLOOKUP(A9,'MT- MNT TRACKER'!C:N,7,0)</f>
        <v>0</v>
      </c>
      <c r="C9" s="67">
        <f>VLOOKUP(A9,'MT- MNT TRACKER'!C:N,9,0)</f>
        <v>0</v>
      </c>
      <c r="D9" s="64">
        <f t="shared" si="1"/>
        <v>0</v>
      </c>
      <c r="E9" s="55">
        <v>0</v>
      </c>
      <c r="F9" s="55">
        <v>0</v>
      </c>
      <c r="G9" s="65">
        <f t="shared" si="2"/>
        <v>0</v>
      </c>
      <c r="H9" s="82" t="e">
        <f t="shared" si="3"/>
        <v>#DIV/0!</v>
      </c>
      <c r="I9" s="38"/>
      <c r="J9" s="66"/>
      <c r="K9" s="66"/>
      <c r="L9" s="66"/>
      <c r="M9" s="55"/>
      <c r="N9" s="55"/>
      <c r="O9" s="65"/>
      <c r="P9" s="82"/>
      <c r="Q9" s="38"/>
      <c r="R9" s="66"/>
      <c r="S9" s="66"/>
      <c r="T9" s="66"/>
      <c r="U9" s="55"/>
      <c r="V9" s="55"/>
      <c r="W9" s="65"/>
      <c r="X9" s="82"/>
      <c r="Y9" s="38"/>
      <c r="Z9" s="66"/>
      <c r="AA9" s="66"/>
      <c r="AB9" s="66"/>
      <c r="AC9" s="55"/>
      <c r="AD9" s="55"/>
      <c r="AE9" s="65"/>
      <c r="AF9" s="82"/>
      <c r="AG9" s="38"/>
      <c r="AH9" s="66"/>
      <c r="AI9" s="66"/>
      <c r="AJ9" s="66"/>
      <c r="AK9" s="55"/>
      <c r="AL9" s="55"/>
      <c r="AM9" s="65"/>
      <c r="AN9" s="82"/>
      <c r="AP9" s="66"/>
      <c r="AQ9" s="66"/>
      <c r="AR9" s="66"/>
      <c r="AS9" s="65"/>
      <c r="AT9" s="65"/>
      <c r="AU9" s="65"/>
      <c r="AV9" s="82"/>
      <c r="AW9" s="38"/>
      <c r="AX9" s="66"/>
      <c r="AY9" s="66"/>
      <c r="AZ9" s="66"/>
      <c r="BA9" s="55"/>
      <c r="BB9" s="55"/>
      <c r="BC9" s="65"/>
      <c r="BD9" s="82"/>
      <c r="BE9" s="38"/>
      <c r="BF9" s="35"/>
      <c r="BG9" s="35"/>
      <c r="BH9" s="66"/>
      <c r="BI9" s="55"/>
      <c r="BJ9" s="55"/>
      <c r="BK9" s="65"/>
      <c r="BL9" s="82"/>
      <c r="BM9" s="38"/>
      <c r="BN9" s="35"/>
      <c r="BO9" s="35"/>
      <c r="BP9" s="66"/>
      <c r="BQ9" s="55"/>
      <c r="BR9" s="55"/>
      <c r="BS9" s="65"/>
      <c r="BT9" s="82"/>
      <c r="BU9" s="38"/>
      <c r="BV9" s="35"/>
      <c r="BW9" s="35"/>
      <c r="BX9" s="66"/>
      <c r="BY9" s="55"/>
      <c r="BZ9" s="55"/>
      <c r="CA9" s="65"/>
      <c r="CB9" s="82"/>
      <c r="CC9" s="38"/>
      <c r="CD9" s="66"/>
      <c r="CE9" s="66"/>
      <c r="CF9" s="66"/>
      <c r="CG9" s="55"/>
      <c r="CH9" s="55"/>
      <c r="CI9" s="65"/>
      <c r="CJ9" s="82"/>
      <c r="CK9" s="38"/>
      <c r="CL9" s="35"/>
      <c r="CM9" s="35"/>
      <c r="CN9" s="66"/>
      <c r="CO9" s="55"/>
      <c r="CP9" s="55"/>
      <c r="CQ9" s="65"/>
      <c r="CR9" s="82"/>
      <c r="CS9" s="38"/>
      <c r="CT9" s="35">
        <f t="shared" si="4"/>
        <v>0</v>
      </c>
      <c r="CU9" s="35">
        <f t="shared" si="5"/>
        <v>0</v>
      </c>
      <c r="CV9" s="66">
        <f t="shared" si="6"/>
        <v>0</v>
      </c>
      <c r="CW9" s="55">
        <f t="shared" si="7"/>
        <v>0</v>
      </c>
      <c r="CX9" s="55">
        <f t="shared" si="8"/>
        <v>0</v>
      </c>
      <c r="CY9" s="65">
        <f t="shared" si="9"/>
        <v>0</v>
      </c>
      <c r="CZ9" s="82" t="e">
        <f t="shared" si="10"/>
        <v>#DIV/0!</v>
      </c>
      <c r="DB9" s="53">
        <v>48</v>
      </c>
      <c r="DC9" s="53">
        <v>70</v>
      </c>
      <c r="DD9" s="53">
        <f t="shared" si="11"/>
        <v>118</v>
      </c>
    </row>
    <row r="10" spans="1:108" ht="18" customHeight="1" x14ac:dyDescent="0.3">
      <c r="A10" s="97" t="s">
        <v>302</v>
      </c>
      <c r="B10" s="67">
        <f>VLOOKUP(A10,'MT- MNT TRACKER'!C:N,7,0)</f>
        <v>0</v>
      </c>
      <c r="C10" s="67">
        <f>VLOOKUP(A10,'MT- MNT TRACKER'!C:N,9,0)</f>
        <v>1</v>
      </c>
      <c r="D10" s="64">
        <f t="shared" si="1"/>
        <v>1</v>
      </c>
      <c r="E10" s="55">
        <v>27</v>
      </c>
      <c r="F10" s="55">
        <v>31</v>
      </c>
      <c r="G10" s="65">
        <f t="shared" si="2"/>
        <v>58</v>
      </c>
      <c r="H10" s="82">
        <f t="shared" si="3"/>
        <v>-0.98275862068965514</v>
      </c>
      <c r="I10" s="38"/>
      <c r="J10" s="66"/>
      <c r="K10" s="66"/>
      <c r="L10" s="66"/>
      <c r="M10" s="55"/>
      <c r="N10" s="55"/>
      <c r="O10" s="65"/>
      <c r="P10" s="82"/>
      <c r="Q10" s="38"/>
      <c r="R10" s="66"/>
      <c r="S10" s="66"/>
      <c r="T10" s="66"/>
      <c r="U10" s="55"/>
      <c r="V10" s="55"/>
      <c r="W10" s="65"/>
      <c r="X10" s="82"/>
      <c r="Y10" s="38"/>
      <c r="Z10" s="66"/>
      <c r="AA10" s="66"/>
      <c r="AB10" s="66"/>
      <c r="AC10" s="55"/>
      <c r="AD10" s="55"/>
      <c r="AE10" s="65"/>
      <c r="AF10" s="82"/>
      <c r="AG10" s="38"/>
      <c r="AH10" s="66"/>
      <c r="AI10" s="66"/>
      <c r="AJ10" s="66"/>
      <c r="AK10" s="55"/>
      <c r="AL10" s="55"/>
      <c r="AM10" s="65"/>
      <c r="AN10" s="82"/>
      <c r="AP10" s="66"/>
      <c r="AQ10" s="66"/>
      <c r="AR10" s="66"/>
      <c r="AS10" s="65"/>
      <c r="AT10" s="65"/>
      <c r="AU10" s="65"/>
      <c r="AV10" s="82"/>
      <c r="AW10" s="38"/>
      <c r="AX10" s="66"/>
      <c r="AY10" s="66"/>
      <c r="AZ10" s="66"/>
      <c r="BA10" s="55"/>
      <c r="BB10" s="55"/>
      <c r="BC10" s="65"/>
      <c r="BD10" s="82"/>
      <c r="BE10" s="38"/>
      <c r="BF10" s="35"/>
      <c r="BG10" s="35"/>
      <c r="BH10" s="66"/>
      <c r="BI10" s="55"/>
      <c r="BJ10" s="55"/>
      <c r="BK10" s="65"/>
      <c r="BL10" s="82"/>
      <c r="BM10" s="38"/>
      <c r="BN10" s="35"/>
      <c r="BO10" s="35"/>
      <c r="BP10" s="66"/>
      <c r="BQ10" s="55"/>
      <c r="BR10" s="55"/>
      <c r="BS10" s="65"/>
      <c r="BT10" s="82"/>
      <c r="BU10" s="38"/>
      <c r="BV10" s="35"/>
      <c r="BW10" s="35"/>
      <c r="BX10" s="66"/>
      <c r="BY10" s="55"/>
      <c r="BZ10" s="55"/>
      <c r="CA10" s="65"/>
      <c r="CB10" s="82"/>
      <c r="CC10" s="38"/>
      <c r="CD10" s="66"/>
      <c r="CE10" s="66"/>
      <c r="CF10" s="66"/>
      <c r="CG10" s="55"/>
      <c r="CH10" s="55"/>
      <c r="CI10" s="65"/>
      <c r="CJ10" s="82"/>
      <c r="CK10" s="38"/>
      <c r="CL10" s="35"/>
      <c r="CM10" s="35"/>
      <c r="CN10" s="66"/>
      <c r="CO10" s="55"/>
      <c r="CP10" s="55"/>
      <c r="CQ10" s="65"/>
      <c r="CR10" s="82"/>
      <c r="CS10" s="38"/>
      <c r="CT10" s="35">
        <f t="shared" si="4"/>
        <v>0</v>
      </c>
      <c r="CU10" s="35">
        <f t="shared" si="5"/>
        <v>1</v>
      </c>
      <c r="CV10" s="66">
        <f t="shared" si="6"/>
        <v>1</v>
      </c>
      <c r="CW10" s="55">
        <f t="shared" si="7"/>
        <v>27</v>
      </c>
      <c r="CX10" s="55">
        <f t="shared" si="8"/>
        <v>31</v>
      </c>
      <c r="CY10" s="65">
        <f t="shared" si="9"/>
        <v>58</v>
      </c>
      <c r="CZ10" s="82">
        <f t="shared" si="10"/>
        <v>-0.98275862068965514</v>
      </c>
      <c r="DB10" s="53">
        <v>272</v>
      </c>
      <c r="DC10" s="53">
        <v>283</v>
      </c>
      <c r="DD10" s="53">
        <f t="shared" si="11"/>
        <v>555</v>
      </c>
    </row>
    <row r="11" spans="1:108" ht="18" customHeight="1" x14ac:dyDescent="0.3">
      <c r="A11" s="96" t="s">
        <v>4</v>
      </c>
      <c r="B11" s="67">
        <f>VLOOKUP(A11,'MT- MNT TRACKER'!C:N,7,0)</f>
        <v>0</v>
      </c>
      <c r="C11" s="67">
        <f>VLOOKUP(A11,'MT- MNT TRACKER'!C:N,9,0)</f>
        <v>4</v>
      </c>
      <c r="D11" s="64">
        <f t="shared" si="1"/>
        <v>4</v>
      </c>
      <c r="E11" s="55">
        <v>11</v>
      </c>
      <c r="F11" s="55">
        <v>18</v>
      </c>
      <c r="G11" s="65">
        <f t="shared" si="2"/>
        <v>29</v>
      </c>
      <c r="H11" s="82">
        <f t="shared" si="3"/>
        <v>-0.86206896551724133</v>
      </c>
      <c r="I11" s="38"/>
      <c r="J11" s="66"/>
      <c r="K11" s="66"/>
      <c r="L11" s="66"/>
      <c r="M11" s="55"/>
      <c r="N11" s="55"/>
      <c r="O11" s="65"/>
      <c r="P11" s="82"/>
      <c r="Q11" s="38"/>
      <c r="R11" s="66"/>
      <c r="S11" s="66"/>
      <c r="T11" s="66"/>
      <c r="U11" s="55"/>
      <c r="V11" s="55"/>
      <c r="W11" s="65"/>
      <c r="X11" s="82"/>
      <c r="Y11" s="38"/>
      <c r="Z11" s="66"/>
      <c r="AA11" s="66"/>
      <c r="AB11" s="66"/>
      <c r="AC11" s="55"/>
      <c r="AD11" s="55"/>
      <c r="AE11" s="65"/>
      <c r="AF11" s="82"/>
      <c r="AG11" s="38"/>
      <c r="AH11" s="66"/>
      <c r="AI11" s="66"/>
      <c r="AJ11" s="66"/>
      <c r="AK11" s="55"/>
      <c r="AL11" s="55"/>
      <c r="AM11" s="65"/>
      <c r="AN11" s="82"/>
      <c r="AP11" s="66"/>
      <c r="AQ11" s="66"/>
      <c r="AR11" s="66"/>
      <c r="AS11" s="65"/>
      <c r="AT11" s="65"/>
      <c r="AU11" s="65"/>
      <c r="AV11" s="82"/>
      <c r="AW11" s="38"/>
      <c r="AX11" s="66"/>
      <c r="AY11" s="66"/>
      <c r="AZ11" s="66"/>
      <c r="BA11" s="55"/>
      <c r="BB11" s="55"/>
      <c r="BC11" s="65"/>
      <c r="BD11" s="82"/>
      <c r="BE11" s="38"/>
      <c r="BF11" s="35"/>
      <c r="BG11" s="35"/>
      <c r="BH11" s="66"/>
      <c r="BI11" s="55"/>
      <c r="BJ11" s="55"/>
      <c r="BK11" s="65"/>
      <c r="BL11" s="82"/>
      <c r="BM11" s="38"/>
      <c r="BN11" s="35"/>
      <c r="BO11" s="35"/>
      <c r="BP11" s="66"/>
      <c r="BQ11" s="55"/>
      <c r="BR11" s="55"/>
      <c r="BS11" s="65"/>
      <c r="BT11" s="82"/>
      <c r="BU11" s="38"/>
      <c r="BV11" s="35"/>
      <c r="BW11" s="35"/>
      <c r="BX11" s="66"/>
      <c r="BY11" s="55"/>
      <c r="BZ11" s="55"/>
      <c r="CA11" s="65"/>
      <c r="CB11" s="82"/>
      <c r="CC11" s="38"/>
      <c r="CD11" s="66"/>
      <c r="CE11" s="66"/>
      <c r="CF11" s="66"/>
      <c r="CG11" s="55"/>
      <c r="CH11" s="55"/>
      <c r="CI11" s="65"/>
      <c r="CJ11" s="82"/>
      <c r="CK11" s="38"/>
      <c r="CL11" s="35"/>
      <c r="CM11" s="35"/>
      <c r="CN11" s="66"/>
      <c r="CO11" s="55"/>
      <c r="CP11" s="55"/>
      <c r="CQ11" s="65"/>
      <c r="CR11" s="82"/>
      <c r="CS11" s="38"/>
      <c r="CT11" s="35">
        <f t="shared" si="4"/>
        <v>0</v>
      </c>
      <c r="CU11" s="35">
        <f t="shared" si="5"/>
        <v>4</v>
      </c>
      <c r="CV11" s="66">
        <f t="shared" si="6"/>
        <v>4</v>
      </c>
      <c r="CW11" s="55">
        <f t="shared" si="7"/>
        <v>11</v>
      </c>
      <c r="CX11" s="55">
        <f t="shared" si="8"/>
        <v>18</v>
      </c>
      <c r="CY11" s="65">
        <f t="shared" si="9"/>
        <v>29</v>
      </c>
      <c r="CZ11" s="82">
        <f t="shared" si="10"/>
        <v>-0.86206896551724133</v>
      </c>
      <c r="DB11" s="53">
        <v>261</v>
      </c>
      <c r="DC11" s="53">
        <v>306</v>
      </c>
      <c r="DD11" s="53">
        <f t="shared" si="11"/>
        <v>567</v>
      </c>
    </row>
    <row r="12" spans="1:108" ht="18" customHeight="1" x14ac:dyDescent="0.3">
      <c r="A12" s="96" t="s">
        <v>303</v>
      </c>
      <c r="B12" s="67">
        <f>VLOOKUP(A12,'MT- MNT TRACKER'!C:N,7,0)</f>
        <v>0</v>
      </c>
      <c r="C12" s="67">
        <f>VLOOKUP(A12,'MT- MNT TRACKER'!C:N,9,0)</f>
        <v>3</v>
      </c>
      <c r="D12" s="64">
        <f t="shared" si="1"/>
        <v>3</v>
      </c>
      <c r="E12" s="55">
        <v>27</v>
      </c>
      <c r="F12" s="55">
        <v>30</v>
      </c>
      <c r="G12" s="65">
        <f t="shared" si="2"/>
        <v>57</v>
      </c>
      <c r="H12" s="82">
        <f t="shared" si="3"/>
        <v>-0.94736842105263153</v>
      </c>
      <c r="I12" s="38"/>
      <c r="J12" s="66"/>
      <c r="K12" s="66"/>
      <c r="L12" s="66"/>
      <c r="M12" s="55"/>
      <c r="N12" s="55"/>
      <c r="O12" s="65"/>
      <c r="P12" s="82"/>
      <c r="Q12" s="38"/>
      <c r="R12" s="66"/>
      <c r="S12" s="66"/>
      <c r="T12" s="66"/>
      <c r="U12" s="55"/>
      <c r="V12" s="55"/>
      <c r="W12" s="65"/>
      <c r="X12" s="82"/>
      <c r="Y12" s="38"/>
      <c r="Z12" s="66"/>
      <c r="AA12" s="66"/>
      <c r="AB12" s="66"/>
      <c r="AC12" s="55"/>
      <c r="AD12" s="55"/>
      <c r="AE12" s="65"/>
      <c r="AF12" s="82"/>
      <c r="AG12" s="38"/>
      <c r="AH12" s="66"/>
      <c r="AI12" s="66"/>
      <c r="AJ12" s="66"/>
      <c r="AK12" s="55"/>
      <c r="AL12" s="55"/>
      <c r="AM12" s="65"/>
      <c r="AN12" s="82"/>
      <c r="AP12" s="66"/>
      <c r="AQ12" s="66"/>
      <c r="AR12" s="66"/>
      <c r="AS12" s="65"/>
      <c r="AT12" s="65"/>
      <c r="AU12" s="65"/>
      <c r="AV12" s="82"/>
      <c r="AW12" s="38"/>
      <c r="AX12" s="66"/>
      <c r="AY12" s="66"/>
      <c r="AZ12" s="66"/>
      <c r="BA12" s="55"/>
      <c r="BB12" s="55"/>
      <c r="BC12" s="65"/>
      <c r="BD12" s="82"/>
      <c r="BE12" s="38"/>
      <c r="BF12" s="35"/>
      <c r="BG12" s="35"/>
      <c r="BH12" s="66"/>
      <c r="BI12" s="55"/>
      <c r="BJ12" s="55"/>
      <c r="BK12" s="65"/>
      <c r="BL12" s="82"/>
      <c r="BM12" s="38"/>
      <c r="BN12" s="35"/>
      <c r="BO12" s="35"/>
      <c r="BP12" s="66"/>
      <c r="BQ12" s="55"/>
      <c r="BR12" s="55"/>
      <c r="BS12" s="65"/>
      <c r="BT12" s="82"/>
      <c r="BU12" s="38"/>
      <c r="BV12" s="35"/>
      <c r="BW12" s="35"/>
      <c r="BX12" s="66"/>
      <c r="BY12" s="55"/>
      <c r="BZ12" s="55"/>
      <c r="CA12" s="65"/>
      <c r="CB12" s="82"/>
      <c r="CC12" s="38"/>
      <c r="CD12" s="66"/>
      <c r="CE12" s="66"/>
      <c r="CF12" s="66"/>
      <c r="CG12" s="55"/>
      <c r="CH12" s="55"/>
      <c r="CI12" s="65"/>
      <c r="CJ12" s="82"/>
      <c r="CK12" s="38"/>
      <c r="CL12" s="35"/>
      <c r="CM12" s="35"/>
      <c r="CN12" s="66"/>
      <c r="CO12" s="55"/>
      <c r="CP12" s="55"/>
      <c r="CQ12" s="65"/>
      <c r="CR12" s="82"/>
      <c r="CS12" s="38"/>
      <c r="CT12" s="35">
        <f t="shared" si="4"/>
        <v>0</v>
      </c>
      <c r="CU12" s="35">
        <f t="shared" si="5"/>
        <v>3</v>
      </c>
      <c r="CV12" s="66">
        <f t="shared" si="6"/>
        <v>3</v>
      </c>
      <c r="CW12" s="55">
        <f t="shared" si="7"/>
        <v>27</v>
      </c>
      <c r="CX12" s="55">
        <f t="shared" si="8"/>
        <v>30</v>
      </c>
      <c r="CY12" s="65">
        <f t="shared" si="9"/>
        <v>57</v>
      </c>
      <c r="CZ12" s="82">
        <f t="shared" si="10"/>
        <v>-0.94736842105263153</v>
      </c>
      <c r="DB12" s="53">
        <v>319</v>
      </c>
      <c r="DC12" s="53">
        <v>371</v>
      </c>
      <c r="DD12" s="53">
        <f t="shared" si="11"/>
        <v>690</v>
      </c>
    </row>
    <row r="13" spans="1:108" ht="18" customHeight="1" x14ac:dyDescent="0.3">
      <c r="A13" s="96" t="s">
        <v>273</v>
      </c>
      <c r="B13" s="67">
        <f>VLOOKUP(A13,'MT- MNT TRACKER'!C:N,7,0)</f>
        <v>0</v>
      </c>
      <c r="C13" s="67">
        <f>VLOOKUP(A13,'MT- MNT TRACKER'!C:N,9,0)</f>
        <v>1</v>
      </c>
      <c r="D13" s="64">
        <f t="shared" si="1"/>
        <v>1</v>
      </c>
      <c r="E13" s="55">
        <v>0</v>
      </c>
      <c r="F13" s="55">
        <v>0</v>
      </c>
      <c r="G13" s="65">
        <f t="shared" si="2"/>
        <v>0</v>
      </c>
      <c r="H13" s="82" t="e">
        <f t="shared" si="3"/>
        <v>#DIV/0!</v>
      </c>
      <c r="I13" s="38"/>
      <c r="J13" s="66"/>
      <c r="K13" s="66"/>
      <c r="L13" s="66"/>
      <c r="M13" s="55"/>
      <c r="N13" s="55"/>
      <c r="O13" s="65"/>
      <c r="P13" s="82"/>
      <c r="Q13" s="38"/>
      <c r="R13" s="66"/>
      <c r="S13" s="66"/>
      <c r="T13" s="66"/>
      <c r="U13" s="55"/>
      <c r="V13" s="55"/>
      <c r="W13" s="65"/>
      <c r="X13" s="82"/>
      <c r="Y13" s="38"/>
      <c r="Z13" s="66"/>
      <c r="AA13" s="66"/>
      <c r="AB13" s="66"/>
      <c r="AC13" s="55"/>
      <c r="AD13" s="55"/>
      <c r="AE13" s="65"/>
      <c r="AF13" s="82"/>
      <c r="AG13" s="38"/>
      <c r="AH13" s="66"/>
      <c r="AI13" s="66"/>
      <c r="AJ13" s="66"/>
      <c r="AK13" s="55"/>
      <c r="AL13" s="55"/>
      <c r="AM13" s="65"/>
      <c r="AN13" s="82"/>
      <c r="AP13" s="66"/>
      <c r="AQ13" s="66"/>
      <c r="AR13" s="66"/>
      <c r="AS13" s="65"/>
      <c r="AT13" s="65"/>
      <c r="AU13" s="65"/>
      <c r="AV13" s="82"/>
      <c r="AW13" s="38"/>
      <c r="AX13" s="66"/>
      <c r="AY13" s="66"/>
      <c r="AZ13" s="66"/>
      <c r="BA13" s="55"/>
      <c r="BB13" s="55"/>
      <c r="BC13" s="65"/>
      <c r="BD13" s="82"/>
      <c r="BE13" s="38"/>
      <c r="BF13" s="35"/>
      <c r="BG13" s="35"/>
      <c r="BH13" s="66"/>
      <c r="BI13" s="55"/>
      <c r="BJ13" s="55"/>
      <c r="BK13" s="65"/>
      <c r="BL13" s="82"/>
      <c r="BM13" s="38"/>
      <c r="BN13" s="35"/>
      <c r="BO13" s="35"/>
      <c r="BP13" s="66"/>
      <c r="BQ13" s="55"/>
      <c r="BR13" s="55"/>
      <c r="BS13" s="65"/>
      <c r="BT13" s="82"/>
      <c r="BU13" s="38"/>
      <c r="BV13" s="35"/>
      <c r="BW13" s="35"/>
      <c r="BX13" s="66"/>
      <c r="BY13" s="55"/>
      <c r="BZ13" s="55"/>
      <c r="CA13" s="65"/>
      <c r="CB13" s="82"/>
      <c r="CC13" s="38"/>
      <c r="CD13" s="66"/>
      <c r="CE13" s="66"/>
      <c r="CF13" s="66"/>
      <c r="CG13" s="55"/>
      <c r="CH13" s="55"/>
      <c r="CI13" s="65"/>
      <c r="CJ13" s="82"/>
      <c r="CK13" s="38"/>
      <c r="CL13" s="35"/>
      <c r="CM13" s="35"/>
      <c r="CN13" s="66"/>
      <c r="CO13" s="55"/>
      <c r="CP13" s="55"/>
      <c r="CQ13" s="65"/>
      <c r="CR13" s="82"/>
      <c r="CS13" s="38"/>
      <c r="CT13" s="35">
        <f t="shared" si="4"/>
        <v>0</v>
      </c>
      <c r="CU13" s="35">
        <f t="shared" si="5"/>
        <v>1</v>
      </c>
      <c r="CV13" s="66">
        <f t="shared" si="6"/>
        <v>1</v>
      </c>
      <c r="CW13" s="55">
        <f t="shared" si="7"/>
        <v>0</v>
      </c>
      <c r="CX13" s="55">
        <f t="shared" si="8"/>
        <v>0</v>
      </c>
      <c r="CY13" s="65">
        <f t="shared" si="9"/>
        <v>0</v>
      </c>
      <c r="CZ13" s="82" t="e">
        <f t="shared" si="10"/>
        <v>#DIV/0!</v>
      </c>
      <c r="DB13" s="53">
        <v>44</v>
      </c>
      <c r="DC13" s="53">
        <v>28</v>
      </c>
      <c r="DD13" s="53">
        <f t="shared" si="11"/>
        <v>72</v>
      </c>
    </row>
    <row r="14" spans="1:108" ht="18" customHeight="1" x14ac:dyDescent="0.3">
      <c r="A14" s="96" t="s">
        <v>5</v>
      </c>
      <c r="B14" s="67">
        <f>VLOOKUP(A14,'MT- MNT TRACKER'!C:N,7,0)</f>
        <v>0</v>
      </c>
      <c r="C14" s="67">
        <f>VLOOKUP(A14,'MT- MNT TRACKER'!C:N,9,0)</f>
        <v>1</v>
      </c>
      <c r="D14" s="64">
        <f t="shared" si="1"/>
        <v>1</v>
      </c>
      <c r="E14" s="55">
        <v>11</v>
      </c>
      <c r="F14" s="55">
        <v>11</v>
      </c>
      <c r="G14" s="65">
        <f t="shared" si="2"/>
        <v>22</v>
      </c>
      <c r="H14" s="82">
        <f t="shared" si="3"/>
        <v>-0.95454545454545459</v>
      </c>
      <c r="I14" s="38"/>
      <c r="J14" s="66"/>
      <c r="K14" s="66"/>
      <c r="L14" s="66"/>
      <c r="M14" s="55"/>
      <c r="N14" s="55"/>
      <c r="O14" s="65"/>
      <c r="P14" s="82"/>
      <c r="Q14" s="38"/>
      <c r="R14" s="66"/>
      <c r="S14" s="66"/>
      <c r="T14" s="66"/>
      <c r="U14" s="55"/>
      <c r="V14" s="55"/>
      <c r="W14" s="65"/>
      <c r="X14" s="82"/>
      <c r="Y14" s="38"/>
      <c r="Z14" s="66"/>
      <c r="AA14" s="66"/>
      <c r="AB14" s="66"/>
      <c r="AC14" s="55"/>
      <c r="AD14" s="55"/>
      <c r="AE14" s="65"/>
      <c r="AF14" s="82"/>
      <c r="AG14" s="38"/>
      <c r="AH14" s="66"/>
      <c r="AI14" s="66"/>
      <c r="AJ14" s="66"/>
      <c r="AK14" s="55"/>
      <c r="AL14" s="55"/>
      <c r="AM14" s="65"/>
      <c r="AN14" s="82"/>
      <c r="AP14" s="66"/>
      <c r="AQ14" s="66"/>
      <c r="AR14" s="66"/>
      <c r="AS14" s="65"/>
      <c r="AT14" s="65"/>
      <c r="AU14" s="65"/>
      <c r="AV14" s="82"/>
      <c r="AW14" s="38"/>
      <c r="AX14" s="66"/>
      <c r="AY14" s="66"/>
      <c r="AZ14" s="66"/>
      <c r="BA14" s="55"/>
      <c r="BB14" s="55"/>
      <c r="BC14" s="65"/>
      <c r="BD14" s="82"/>
      <c r="BE14" s="38"/>
      <c r="BF14" s="35"/>
      <c r="BG14" s="35"/>
      <c r="BH14" s="66"/>
      <c r="BI14" s="55"/>
      <c r="BJ14" s="55"/>
      <c r="BK14" s="65"/>
      <c r="BL14" s="82"/>
      <c r="BM14" s="38"/>
      <c r="BN14" s="35"/>
      <c r="BO14" s="35"/>
      <c r="BP14" s="66"/>
      <c r="BQ14" s="55"/>
      <c r="BR14" s="55"/>
      <c r="BS14" s="65"/>
      <c r="BT14" s="82"/>
      <c r="BU14" s="38"/>
      <c r="BV14" s="35"/>
      <c r="BW14" s="35"/>
      <c r="BX14" s="66"/>
      <c r="BY14" s="55"/>
      <c r="BZ14" s="55"/>
      <c r="CA14" s="65"/>
      <c r="CB14" s="82"/>
      <c r="CC14" s="38"/>
      <c r="CD14" s="66"/>
      <c r="CE14" s="66"/>
      <c r="CF14" s="66"/>
      <c r="CG14" s="55"/>
      <c r="CH14" s="55"/>
      <c r="CI14" s="65"/>
      <c r="CJ14" s="82"/>
      <c r="CK14" s="38"/>
      <c r="CL14" s="35"/>
      <c r="CM14" s="35"/>
      <c r="CN14" s="66"/>
      <c r="CO14" s="55"/>
      <c r="CP14" s="55"/>
      <c r="CQ14" s="65"/>
      <c r="CR14" s="82"/>
      <c r="CS14" s="38"/>
      <c r="CT14" s="35">
        <f t="shared" si="4"/>
        <v>0</v>
      </c>
      <c r="CU14" s="35">
        <f t="shared" si="5"/>
        <v>1</v>
      </c>
      <c r="CV14" s="66">
        <f t="shared" si="6"/>
        <v>1</v>
      </c>
      <c r="CW14" s="55">
        <f t="shared" si="7"/>
        <v>11</v>
      </c>
      <c r="CX14" s="55">
        <f t="shared" si="8"/>
        <v>11</v>
      </c>
      <c r="CY14" s="65">
        <f t="shared" si="9"/>
        <v>22</v>
      </c>
      <c r="CZ14" s="82">
        <f t="shared" si="10"/>
        <v>-0.95454545454545459</v>
      </c>
      <c r="DB14" s="53">
        <v>210</v>
      </c>
      <c r="DC14" s="53">
        <v>216</v>
      </c>
      <c r="DD14" s="53">
        <f t="shared" si="11"/>
        <v>426</v>
      </c>
    </row>
    <row r="15" spans="1:108" ht="18" customHeight="1" x14ac:dyDescent="0.3">
      <c r="A15" s="96" t="s">
        <v>6</v>
      </c>
      <c r="B15" s="67">
        <f>VLOOKUP(A15,'MT- MNT TRACKER'!C:N,7,0)</f>
        <v>0</v>
      </c>
      <c r="C15" s="67">
        <f>VLOOKUP(A15,'MT- MNT TRACKER'!C:N,9,0)</f>
        <v>2</v>
      </c>
      <c r="D15" s="64">
        <f t="shared" si="1"/>
        <v>2</v>
      </c>
      <c r="E15" s="55">
        <v>15</v>
      </c>
      <c r="F15" s="55">
        <v>14</v>
      </c>
      <c r="G15" s="65">
        <f t="shared" si="2"/>
        <v>29</v>
      </c>
      <c r="H15" s="82">
        <f t="shared" si="3"/>
        <v>-0.93103448275862066</v>
      </c>
      <c r="I15" s="38"/>
      <c r="J15" s="66"/>
      <c r="K15" s="66"/>
      <c r="L15" s="66"/>
      <c r="M15" s="55"/>
      <c r="N15" s="55"/>
      <c r="O15" s="65"/>
      <c r="P15" s="82"/>
      <c r="Q15" s="38"/>
      <c r="R15" s="66"/>
      <c r="S15" s="66"/>
      <c r="T15" s="66"/>
      <c r="U15" s="55"/>
      <c r="V15" s="55"/>
      <c r="W15" s="65"/>
      <c r="X15" s="82"/>
      <c r="Y15" s="38"/>
      <c r="Z15" s="66"/>
      <c r="AA15" s="66"/>
      <c r="AB15" s="66"/>
      <c r="AC15" s="55"/>
      <c r="AD15" s="55"/>
      <c r="AE15" s="65"/>
      <c r="AF15" s="82"/>
      <c r="AG15" s="38"/>
      <c r="AH15" s="66"/>
      <c r="AI15" s="66"/>
      <c r="AJ15" s="66"/>
      <c r="AK15" s="55"/>
      <c r="AL15" s="55"/>
      <c r="AM15" s="65"/>
      <c r="AN15" s="82"/>
      <c r="AP15" s="66"/>
      <c r="AQ15" s="66"/>
      <c r="AR15" s="66"/>
      <c r="AS15" s="65"/>
      <c r="AT15" s="65"/>
      <c r="AU15" s="65"/>
      <c r="AV15" s="82"/>
      <c r="AW15" s="38"/>
      <c r="AX15" s="66"/>
      <c r="AY15" s="66"/>
      <c r="AZ15" s="66"/>
      <c r="BA15" s="55"/>
      <c r="BB15" s="55"/>
      <c r="BC15" s="65"/>
      <c r="BD15" s="82"/>
      <c r="BE15" s="38"/>
      <c r="BF15" s="35"/>
      <c r="BG15" s="35"/>
      <c r="BH15" s="66"/>
      <c r="BI15" s="55"/>
      <c r="BJ15" s="55"/>
      <c r="BK15" s="65"/>
      <c r="BL15" s="82"/>
      <c r="BM15" s="38"/>
      <c r="BN15" s="35"/>
      <c r="BO15" s="35"/>
      <c r="BP15" s="66"/>
      <c r="BQ15" s="55"/>
      <c r="BR15" s="55"/>
      <c r="BS15" s="65"/>
      <c r="BT15" s="82"/>
      <c r="BU15" s="38"/>
      <c r="BV15" s="35"/>
      <c r="BW15" s="35"/>
      <c r="BX15" s="66"/>
      <c r="BY15" s="55"/>
      <c r="BZ15" s="55"/>
      <c r="CA15" s="65"/>
      <c r="CB15" s="82"/>
      <c r="CC15" s="38"/>
      <c r="CD15" s="66"/>
      <c r="CE15" s="66"/>
      <c r="CF15" s="66"/>
      <c r="CG15" s="55"/>
      <c r="CH15" s="55"/>
      <c r="CI15" s="65"/>
      <c r="CJ15" s="82"/>
      <c r="CK15" s="38"/>
      <c r="CL15" s="35"/>
      <c r="CM15" s="35"/>
      <c r="CN15" s="66"/>
      <c r="CO15" s="55"/>
      <c r="CP15" s="55"/>
      <c r="CQ15" s="65"/>
      <c r="CR15" s="82"/>
      <c r="CS15" s="38"/>
      <c r="CT15" s="35">
        <f t="shared" si="4"/>
        <v>0</v>
      </c>
      <c r="CU15" s="35">
        <f t="shared" si="5"/>
        <v>2</v>
      </c>
      <c r="CV15" s="66">
        <f t="shared" si="6"/>
        <v>2</v>
      </c>
      <c r="CW15" s="55">
        <f t="shared" si="7"/>
        <v>15</v>
      </c>
      <c r="CX15" s="55">
        <f t="shared" si="8"/>
        <v>14</v>
      </c>
      <c r="CY15" s="65">
        <f t="shared" si="9"/>
        <v>29</v>
      </c>
      <c r="CZ15" s="82">
        <f t="shared" si="10"/>
        <v>-0.93103448275862066</v>
      </c>
      <c r="DB15" s="53">
        <v>255</v>
      </c>
      <c r="DC15" s="53">
        <v>250</v>
      </c>
      <c r="DD15" s="53">
        <f t="shared" si="11"/>
        <v>505</v>
      </c>
    </row>
    <row r="16" spans="1:108" ht="18" customHeight="1" x14ac:dyDescent="0.3">
      <c r="A16" s="96" t="s">
        <v>44</v>
      </c>
      <c r="B16" s="67">
        <f>VLOOKUP(A16,'MT- MNT TRACKER'!C:N,7,0)</f>
        <v>0</v>
      </c>
      <c r="C16" s="67">
        <f>VLOOKUP(A16,'MT- MNT TRACKER'!C:N,9,0)</f>
        <v>1</v>
      </c>
      <c r="D16" s="64">
        <f t="shared" si="1"/>
        <v>1</v>
      </c>
      <c r="E16" s="55">
        <v>12</v>
      </c>
      <c r="F16" s="55">
        <v>22</v>
      </c>
      <c r="G16" s="65">
        <f t="shared" si="2"/>
        <v>34</v>
      </c>
      <c r="H16" s="82">
        <f t="shared" si="3"/>
        <v>-0.97058823529411764</v>
      </c>
      <c r="I16" s="38"/>
      <c r="J16" s="66"/>
      <c r="K16" s="66"/>
      <c r="L16" s="66"/>
      <c r="M16" s="55"/>
      <c r="N16" s="55"/>
      <c r="O16" s="65"/>
      <c r="P16" s="82"/>
      <c r="Q16" s="38"/>
      <c r="R16" s="66"/>
      <c r="S16" s="66"/>
      <c r="T16" s="66"/>
      <c r="U16" s="55"/>
      <c r="V16" s="55"/>
      <c r="W16" s="65"/>
      <c r="X16" s="82"/>
      <c r="Y16" s="38"/>
      <c r="Z16" s="66"/>
      <c r="AA16" s="66"/>
      <c r="AB16" s="66"/>
      <c r="AC16" s="55"/>
      <c r="AD16" s="55"/>
      <c r="AE16" s="65"/>
      <c r="AF16" s="82"/>
      <c r="AG16" s="38"/>
      <c r="AH16" s="66"/>
      <c r="AI16" s="66"/>
      <c r="AJ16" s="66"/>
      <c r="AK16" s="55"/>
      <c r="AL16" s="55"/>
      <c r="AM16" s="65"/>
      <c r="AN16" s="82"/>
      <c r="AP16" s="66"/>
      <c r="AQ16" s="66"/>
      <c r="AR16" s="66"/>
      <c r="AS16" s="65"/>
      <c r="AT16" s="65"/>
      <c r="AU16" s="65"/>
      <c r="AV16" s="82"/>
      <c r="AW16" s="38"/>
      <c r="AX16" s="66"/>
      <c r="AY16" s="66"/>
      <c r="AZ16" s="66"/>
      <c r="BA16" s="55"/>
      <c r="BB16" s="55"/>
      <c r="BC16" s="65"/>
      <c r="BD16" s="82"/>
      <c r="BE16" s="38"/>
      <c r="BF16" s="35"/>
      <c r="BG16" s="35"/>
      <c r="BH16" s="66"/>
      <c r="BI16" s="55"/>
      <c r="BJ16" s="55"/>
      <c r="BK16" s="65"/>
      <c r="BL16" s="82"/>
      <c r="BM16" s="38"/>
      <c r="BN16" s="35"/>
      <c r="BO16" s="35"/>
      <c r="BP16" s="66"/>
      <c r="BQ16" s="55"/>
      <c r="BR16" s="55"/>
      <c r="BS16" s="65"/>
      <c r="BT16" s="82"/>
      <c r="BU16" s="38"/>
      <c r="BV16" s="35"/>
      <c r="BW16" s="35"/>
      <c r="BX16" s="66"/>
      <c r="BY16" s="55"/>
      <c r="BZ16" s="55"/>
      <c r="CA16" s="65"/>
      <c r="CB16" s="82"/>
      <c r="CC16" s="38"/>
      <c r="CD16" s="66"/>
      <c r="CE16" s="66"/>
      <c r="CF16" s="66"/>
      <c r="CG16" s="55"/>
      <c r="CH16" s="55"/>
      <c r="CI16" s="65"/>
      <c r="CJ16" s="82"/>
      <c r="CK16" s="38"/>
      <c r="CL16" s="35"/>
      <c r="CM16" s="35"/>
      <c r="CN16" s="66"/>
      <c r="CO16" s="55"/>
      <c r="CP16" s="55"/>
      <c r="CQ16" s="65"/>
      <c r="CR16" s="82"/>
      <c r="CS16" s="38"/>
      <c r="CT16" s="35">
        <f t="shared" si="4"/>
        <v>0</v>
      </c>
      <c r="CU16" s="35">
        <f t="shared" si="5"/>
        <v>1</v>
      </c>
      <c r="CV16" s="66">
        <f t="shared" si="6"/>
        <v>1</v>
      </c>
      <c r="CW16" s="55">
        <f t="shared" si="7"/>
        <v>12</v>
      </c>
      <c r="CX16" s="55">
        <f t="shared" si="8"/>
        <v>22</v>
      </c>
      <c r="CY16" s="65">
        <f t="shared" si="9"/>
        <v>34</v>
      </c>
      <c r="CZ16" s="82">
        <f t="shared" si="10"/>
        <v>-0.97058823529411764</v>
      </c>
      <c r="DB16" s="53">
        <v>267</v>
      </c>
      <c r="DC16" s="53">
        <v>284</v>
      </c>
      <c r="DD16" s="53">
        <f t="shared" si="11"/>
        <v>551</v>
      </c>
    </row>
    <row r="17" spans="1:108" ht="18" customHeight="1" x14ac:dyDescent="0.3">
      <c r="A17" s="96" t="s">
        <v>7</v>
      </c>
      <c r="B17" s="67">
        <f>VLOOKUP(A17,'MT- MNT TRACKER'!C:N,7,0)</f>
        <v>0</v>
      </c>
      <c r="C17" s="67">
        <f>VLOOKUP(A17,'MT- MNT TRACKER'!C:N,9,0)</f>
        <v>6</v>
      </c>
      <c r="D17" s="64">
        <f t="shared" si="1"/>
        <v>6</v>
      </c>
      <c r="E17" s="55">
        <v>25</v>
      </c>
      <c r="F17" s="55">
        <v>14</v>
      </c>
      <c r="G17" s="65">
        <f t="shared" si="2"/>
        <v>39</v>
      </c>
      <c r="H17" s="82">
        <f t="shared" si="3"/>
        <v>-0.84615384615384615</v>
      </c>
      <c r="I17" s="38"/>
      <c r="J17" s="66"/>
      <c r="K17" s="66"/>
      <c r="L17" s="66"/>
      <c r="M17" s="55"/>
      <c r="N17" s="55"/>
      <c r="O17" s="65"/>
      <c r="P17" s="82"/>
      <c r="Q17" s="38"/>
      <c r="R17" s="66"/>
      <c r="S17" s="66"/>
      <c r="T17" s="66"/>
      <c r="U17" s="55"/>
      <c r="V17" s="55"/>
      <c r="W17" s="65"/>
      <c r="X17" s="82"/>
      <c r="Y17" s="38"/>
      <c r="Z17" s="66"/>
      <c r="AA17" s="66"/>
      <c r="AB17" s="66"/>
      <c r="AC17" s="55"/>
      <c r="AD17" s="55"/>
      <c r="AE17" s="65"/>
      <c r="AF17" s="82"/>
      <c r="AG17" s="38"/>
      <c r="AH17" s="66"/>
      <c r="AI17" s="66"/>
      <c r="AJ17" s="66"/>
      <c r="AK17" s="55"/>
      <c r="AL17" s="55"/>
      <c r="AM17" s="65"/>
      <c r="AN17" s="82"/>
      <c r="AP17" s="66"/>
      <c r="AQ17" s="66"/>
      <c r="AR17" s="66"/>
      <c r="AS17" s="65"/>
      <c r="AT17" s="65"/>
      <c r="AU17" s="65"/>
      <c r="AV17" s="82"/>
      <c r="AW17" s="38"/>
      <c r="AX17" s="66"/>
      <c r="AY17" s="66"/>
      <c r="AZ17" s="66"/>
      <c r="BA17" s="55"/>
      <c r="BB17" s="55"/>
      <c r="BC17" s="65"/>
      <c r="BD17" s="82"/>
      <c r="BE17" s="38"/>
      <c r="BF17" s="35"/>
      <c r="BG17" s="35"/>
      <c r="BH17" s="66"/>
      <c r="BI17" s="55"/>
      <c r="BJ17" s="55"/>
      <c r="BK17" s="65"/>
      <c r="BL17" s="82"/>
      <c r="BM17" s="38"/>
      <c r="BN17" s="35"/>
      <c r="BO17" s="35"/>
      <c r="BP17" s="66"/>
      <c r="BQ17" s="55"/>
      <c r="BR17" s="55"/>
      <c r="BS17" s="65"/>
      <c r="BT17" s="82"/>
      <c r="BU17" s="38"/>
      <c r="BV17" s="35"/>
      <c r="BW17" s="35"/>
      <c r="BX17" s="66"/>
      <c r="BY17" s="55"/>
      <c r="BZ17" s="55"/>
      <c r="CA17" s="65"/>
      <c r="CB17" s="82"/>
      <c r="CC17" s="38"/>
      <c r="CD17" s="66"/>
      <c r="CE17" s="66"/>
      <c r="CF17" s="66"/>
      <c r="CG17" s="55"/>
      <c r="CH17" s="55"/>
      <c r="CI17" s="65"/>
      <c r="CJ17" s="82"/>
      <c r="CK17" s="38"/>
      <c r="CL17" s="35"/>
      <c r="CM17" s="35"/>
      <c r="CN17" s="66"/>
      <c r="CO17" s="55"/>
      <c r="CP17" s="55"/>
      <c r="CQ17" s="65"/>
      <c r="CR17" s="82"/>
      <c r="CS17" s="38"/>
      <c r="CT17" s="35">
        <f t="shared" si="4"/>
        <v>0</v>
      </c>
      <c r="CU17" s="35">
        <f t="shared" si="5"/>
        <v>6</v>
      </c>
      <c r="CV17" s="66">
        <f t="shared" si="6"/>
        <v>6</v>
      </c>
      <c r="CW17" s="55">
        <f t="shared" si="7"/>
        <v>25</v>
      </c>
      <c r="CX17" s="55">
        <f t="shared" si="8"/>
        <v>14</v>
      </c>
      <c r="CY17" s="65">
        <f t="shared" si="9"/>
        <v>39</v>
      </c>
      <c r="CZ17" s="82">
        <f t="shared" si="10"/>
        <v>-0.84615384615384615</v>
      </c>
      <c r="DB17" s="53">
        <v>356</v>
      </c>
      <c r="DC17" s="53">
        <v>224</v>
      </c>
      <c r="DD17" s="53">
        <f t="shared" si="11"/>
        <v>580</v>
      </c>
    </row>
    <row r="18" spans="1:108" ht="18" customHeight="1" x14ac:dyDescent="0.3">
      <c r="A18" s="96" t="s">
        <v>10</v>
      </c>
      <c r="B18" s="67">
        <f>VLOOKUP(A18,'MT- MNT TRACKER'!C:N,7,0)</f>
        <v>0</v>
      </c>
      <c r="C18" s="67">
        <f>VLOOKUP(A18,'MT- MNT TRACKER'!C:N,9,0)</f>
        <v>5</v>
      </c>
      <c r="D18" s="64">
        <f t="shared" si="1"/>
        <v>5</v>
      </c>
      <c r="E18" s="55">
        <v>24</v>
      </c>
      <c r="F18" s="55">
        <v>31</v>
      </c>
      <c r="G18" s="65">
        <f t="shared" si="2"/>
        <v>55</v>
      </c>
      <c r="H18" s="82">
        <f t="shared" si="3"/>
        <v>-0.90909090909090906</v>
      </c>
      <c r="I18" s="38"/>
      <c r="J18" s="66"/>
      <c r="K18" s="66"/>
      <c r="L18" s="66"/>
      <c r="M18" s="55"/>
      <c r="N18" s="55"/>
      <c r="O18" s="65"/>
      <c r="P18" s="82"/>
      <c r="Q18" s="38"/>
      <c r="R18" s="66"/>
      <c r="S18" s="66"/>
      <c r="T18" s="66"/>
      <c r="U18" s="55"/>
      <c r="V18" s="55"/>
      <c r="W18" s="65"/>
      <c r="X18" s="82"/>
      <c r="Y18" s="38"/>
      <c r="Z18" s="66"/>
      <c r="AA18" s="66"/>
      <c r="AB18" s="66"/>
      <c r="AC18" s="55"/>
      <c r="AD18" s="55"/>
      <c r="AE18" s="65"/>
      <c r="AF18" s="82"/>
      <c r="AG18" s="38"/>
      <c r="AH18" s="66"/>
      <c r="AI18" s="66"/>
      <c r="AJ18" s="66"/>
      <c r="AK18" s="55"/>
      <c r="AL18" s="55"/>
      <c r="AM18" s="65"/>
      <c r="AN18" s="82"/>
      <c r="AP18" s="66"/>
      <c r="AQ18" s="66"/>
      <c r="AR18" s="66"/>
      <c r="AS18" s="65"/>
      <c r="AT18" s="65"/>
      <c r="AU18" s="65"/>
      <c r="AV18" s="82"/>
      <c r="AW18" s="38"/>
      <c r="AX18" s="66"/>
      <c r="AY18" s="66"/>
      <c r="AZ18" s="66"/>
      <c r="BA18" s="55"/>
      <c r="BB18" s="55"/>
      <c r="BC18" s="65"/>
      <c r="BD18" s="82"/>
      <c r="BE18" s="38"/>
      <c r="BF18" s="35"/>
      <c r="BG18" s="35"/>
      <c r="BH18" s="66"/>
      <c r="BI18" s="55"/>
      <c r="BJ18" s="55"/>
      <c r="BK18" s="65"/>
      <c r="BL18" s="82"/>
      <c r="BM18" s="38"/>
      <c r="BN18" s="35"/>
      <c r="BO18" s="35"/>
      <c r="BP18" s="66"/>
      <c r="BQ18" s="55"/>
      <c r="BR18" s="55"/>
      <c r="BS18" s="65"/>
      <c r="BT18" s="82"/>
      <c r="BU18" s="38"/>
      <c r="BV18" s="35"/>
      <c r="BW18" s="35"/>
      <c r="BX18" s="66"/>
      <c r="BY18" s="55"/>
      <c r="BZ18" s="55"/>
      <c r="CA18" s="65"/>
      <c r="CB18" s="82"/>
      <c r="CC18" s="38"/>
      <c r="CD18" s="66"/>
      <c r="CE18" s="66"/>
      <c r="CF18" s="66"/>
      <c r="CG18" s="55"/>
      <c r="CH18" s="55"/>
      <c r="CI18" s="65"/>
      <c r="CJ18" s="82"/>
      <c r="CK18" s="38"/>
      <c r="CL18" s="35"/>
      <c r="CM18" s="35"/>
      <c r="CN18" s="66"/>
      <c r="CO18" s="55"/>
      <c r="CP18" s="55"/>
      <c r="CQ18" s="65"/>
      <c r="CR18" s="82"/>
      <c r="CS18" s="38"/>
      <c r="CT18" s="35">
        <f t="shared" si="4"/>
        <v>0</v>
      </c>
      <c r="CU18" s="35">
        <f t="shared" si="5"/>
        <v>5</v>
      </c>
      <c r="CV18" s="66">
        <f t="shared" si="6"/>
        <v>5</v>
      </c>
      <c r="CW18" s="55">
        <f t="shared" si="7"/>
        <v>24</v>
      </c>
      <c r="CX18" s="55">
        <f t="shared" si="8"/>
        <v>31</v>
      </c>
      <c r="CY18" s="65">
        <f t="shared" si="9"/>
        <v>55</v>
      </c>
      <c r="CZ18" s="82">
        <f t="shared" si="10"/>
        <v>-0.90909090909090906</v>
      </c>
      <c r="DB18" s="53">
        <v>379</v>
      </c>
      <c r="DC18" s="53">
        <v>389</v>
      </c>
      <c r="DD18" s="53">
        <f t="shared" si="11"/>
        <v>768</v>
      </c>
    </row>
    <row r="19" spans="1:108" ht="18" customHeight="1" x14ac:dyDescent="0.3">
      <c r="A19" s="98" t="s">
        <v>45</v>
      </c>
      <c r="B19" s="67">
        <f>VLOOKUP(A19,'MT- MNT TRACKER'!C:N,7,0)</f>
        <v>0</v>
      </c>
      <c r="C19" s="67">
        <f>VLOOKUP(A19,'MT- MNT TRACKER'!C:N,9,0)</f>
        <v>2</v>
      </c>
      <c r="D19" s="64">
        <f t="shared" si="1"/>
        <v>2</v>
      </c>
      <c r="E19" s="55">
        <v>9</v>
      </c>
      <c r="F19" s="55">
        <v>10</v>
      </c>
      <c r="G19" s="65">
        <f t="shared" si="2"/>
        <v>19</v>
      </c>
      <c r="H19" s="82">
        <f t="shared" si="3"/>
        <v>-0.89473684210526316</v>
      </c>
      <c r="I19" s="38"/>
      <c r="J19" s="66"/>
      <c r="K19" s="66"/>
      <c r="L19" s="66"/>
      <c r="M19" s="55"/>
      <c r="N19" s="55"/>
      <c r="O19" s="65"/>
      <c r="P19" s="82"/>
      <c r="Q19" s="38"/>
      <c r="R19" s="66"/>
      <c r="S19" s="66"/>
      <c r="T19" s="66"/>
      <c r="U19" s="55"/>
      <c r="V19" s="55"/>
      <c r="W19" s="65"/>
      <c r="X19" s="82"/>
      <c r="Y19" s="38"/>
      <c r="Z19" s="66"/>
      <c r="AA19" s="66"/>
      <c r="AB19" s="66"/>
      <c r="AC19" s="55"/>
      <c r="AD19" s="55"/>
      <c r="AE19" s="65"/>
      <c r="AF19" s="82"/>
      <c r="AG19" s="38"/>
      <c r="AH19" s="66"/>
      <c r="AI19" s="66"/>
      <c r="AJ19" s="66"/>
      <c r="AK19" s="55"/>
      <c r="AL19" s="55"/>
      <c r="AM19" s="65"/>
      <c r="AN19" s="82"/>
      <c r="AP19" s="66"/>
      <c r="AQ19" s="66"/>
      <c r="AR19" s="66"/>
      <c r="AS19" s="65"/>
      <c r="AT19" s="65"/>
      <c r="AU19" s="65"/>
      <c r="AV19" s="82"/>
      <c r="AW19" s="38"/>
      <c r="AX19" s="66"/>
      <c r="AY19" s="66"/>
      <c r="AZ19" s="66"/>
      <c r="BA19" s="55"/>
      <c r="BB19" s="55"/>
      <c r="BC19" s="65"/>
      <c r="BD19" s="82"/>
      <c r="BE19" s="38"/>
      <c r="BF19" s="35"/>
      <c r="BG19" s="35"/>
      <c r="BH19" s="66"/>
      <c r="BI19" s="55"/>
      <c r="BJ19" s="55"/>
      <c r="BK19" s="65"/>
      <c r="BL19" s="82"/>
      <c r="BM19" s="38"/>
      <c r="BN19" s="35"/>
      <c r="BO19" s="35"/>
      <c r="BP19" s="66"/>
      <c r="BQ19" s="55"/>
      <c r="BR19" s="55"/>
      <c r="BS19" s="65"/>
      <c r="BT19" s="82"/>
      <c r="BU19" s="38"/>
      <c r="BV19" s="35"/>
      <c r="BW19" s="35"/>
      <c r="BX19" s="66"/>
      <c r="BY19" s="55"/>
      <c r="BZ19" s="55"/>
      <c r="CA19" s="65"/>
      <c r="CB19" s="82"/>
      <c r="CC19" s="38"/>
      <c r="CD19" s="66"/>
      <c r="CE19" s="66"/>
      <c r="CF19" s="66"/>
      <c r="CG19" s="55"/>
      <c r="CH19" s="55"/>
      <c r="CI19" s="65"/>
      <c r="CJ19" s="82"/>
      <c r="CK19" s="38"/>
      <c r="CL19" s="35"/>
      <c r="CM19" s="35"/>
      <c r="CN19" s="66"/>
      <c r="CO19" s="55"/>
      <c r="CP19" s="55"/>
      <c r="CQ19" s="65"/>
      <c r="CR19" s="82"/>
      <c r="CS19" s="38"/>
      <c r="CT19" s="35">
        <f t="shared" si="4"/>
        <v>0</v>
      </c>
      <c r="CU19" s="35">
        <f t="shared" si="5"/>
        <v>2</v>
      </c>
      <c r="CV19" s="66">
        <f t="shared" si="6"/>
        <v>2</v>
      </c>
      <c r="CW19" s="55">
        <f t="shared" si="7"/>
        <v>9</v>
      </c>
      <c r="CX19" s="55">
        <f t="shared" si="8"/>
        <v>10</v>
      </c>
      <c r="CY19" s="65">
        <f t="shared" si="9"/>
        <v>19</v>
      </c>
      <c r="CZ19" s="82">
        <f t="shared" si="10"/>
        <v>-0.89473684210526316</v>
      </c>
      <c r="DB19" s="53">
        <v>110</v>
      </c>
      <c r="DC19" s="53">
        <v>95</v>
      </c>
      <c r="DD19" s="53">
        <f t="shared" si="11"/>
        <v>205</v>
      </c>
    </row>
    <row r="20" spans="1:108" ht="18" customHeight="1" x14ac:dyDescent="0.3">
      <c r="A20" s="98" t="s">
        <v>304</v>
      </c>
      <c r="B20" s="67">
        <f>VLOOKUP(A20,'MT- MNT TRACKER'!C:N,7,0)</f>
        <v>0</v>
      </c>
      <c r="C20" s="67">
        <f>VLOOKUP(A20,'MT- MNT TRACKER'!C:N,9,0)</f>
        <v>1</v>
      </c>
      <c r="D20" s="64">
        <f t="shared" si="1"/>
        <v>1</v>
      </c>
      <c r="E20" s="55">
        <v>16</v>
      </c>
      <c r="F20" s="55">
        <v>17</v>
      </c>
      <c r="G20" s="65">
        <f t="shared" si="2"/>
        <v>33</v>
      </c>
      <c r="H20" s="82">
        <f t="shared" si="3"/>
        <v>-0.96969696969696972</v>
      </c>
      <c r="I20" s="38"/>
      <c r="J20" s="66"/>
      <c r="K20" s="66"/>
      <c r="L20" s="66"/>
      <c r="M20" s="55"/>
      <c r="N20" s="55"/>
      <c r="O20" s="65"/>
      <c r="P20" s="82"/>
      <c r="Q20" s="38"/>
      <c r="R20" s="66"/>
      <c r="S20" s="66"/>
      <c r="T20" s="66"/>
      <c r="U20" s="55"/>
      <c r="V20" s="55"/>
      <c r="W20" s="65"/>
      <c r="X20" s="82"/>
      <c r="Y20" s="38"/>
      <c r="Z20" s="66"/>
      <c r="AA20" s="66"/>
      <c r="AB20" s="66"/>
      <c r="AC20" s="55"/>
      <c r="AD20" s="55"/>
      <c r="AE20" s="65"/>
      <c r="AF20" s="82"/>
      <c r="AG20" s="38"/>
      <c r="AH20" s="66"/>
      <c r="AI20" s="66"/>
      <c r="AJ20" s="66"/>
      <c r="AK20" s="55"/>
      <c r="AL20" s="55"/>
      <c r="AM20" s="65"/>
      <c r="AN20" s="82"/>
      <c r="AP20" s="66"/>
      <c r="AQ20" s="66"/>
      <c r="AR20" s="66"/>
      <c r="AS20" s="65"/>
      <c r="AT20" s="65"/>
      <c r="AU20" s="65"/>
      <c r="AV20" s="82"/>
      <c r="AW20" s="38"/>
      <c r="AX20" s="66"/>
      <c r="AY20" s="66"/>
      <c r="AZ20" s="66"/>
      <c r="BA20" s="55"/>
      <c r="BB20" s="55"/>
      <c r="BC20" s="65"/>
      <c r="BD20" s="82"/>
      <c r="BE20" s="38"/>
      <c r="BF20" s="35"/>
      <c r="BG20" s="35"/>
      <c r="BH20" s="66"/>
      <c r="BI20" s="55"/>
      <c r="BJ20" s="55"/>
      <c r="BK20" s="65"/>
      <c r="BL20" s="82"/>
      <c r="BM20" s="38"/>
      <c r="BN20" s="35"/>
      <c r="BO20" s="35"/>
      <c r="BP20" s="66"/>
      <c r="BQ20" s="55"/>
      <c r="BR20" s="55"/>
      <c r="BS20" s="65"/>
      <c r="BT20" s="82"/>
      <c r="BU20" s="38"/>
      <c r="BV20" s="35"/>
      <c r="BW20" s="35"/>
      <c r="BX20" s="66"/>
      <c r="BY20" s="55"/>
      <c r="BZ20" s="55"/>
      <c r="CA20" s="65"/>
      <c r="CB20" s="82"/>
      <c r="CC20" s="38"/>
      <c r="CD20" s="66"/>
      <c r="CE20" s="66"/>
      <c r="CF20" s="66"/>
      <c r="CG20" s="55"/>
      <c r="CH20" s="55"/>
      <c r="CI20" s="65"/>
      <c r="CJ20" s="82"/>
      <c r="CK20" s="38"/>
      <c r="CL20" s="35"/>
      <c r="CM20" s="35"/>
      <c r="CN20" s="66"/>
      <c r="CO20" s="55"/>
      <c r="CP20" s="55"/>
      <c r="CQ20" s="65"/>
      <c r="CR20" s="82"/>
      <c r="CS20" s="38"/>
      <c r="CT20" s="35">
        <f t="shared" si="4"/>
        <v>0</v>
      </c>
      <c r="CU20" s="35">
        <f t="shared" si="5"/>
        <v>1</v>
      </c>
      <c r="CV20" s="66">
        <f t="shared" si="6"/>
        <v>1</v>
      </c>
      <c r="CW20" s="55">
        <f t="shared" si="7"/>
        <v>16</v>
      </c>
      <c r="CX20" s="55">
        <f t="shared" si="8"/>
        <v>17</v>
      </c>
      <c r="CY20" s="65">
        <f t="shared" si="9"/>
        <v>33</v>
      </c>
      <c r="CZ20" s="82">
        <f t="shared" si="10"/>
        <v>-0.96969696969696972</v>
      </c>
      <c r="DB20" s="53">
        <v>176</v>
      </c>
      <c r="DC20" s="53">
        <v>233</v>
      </c>
      <c r="DD20" s="53">
        <f t="shared" si="11"/>
        <v>409</v>
      </c>
    </row>
    <row r="21" spans="1:108" ht="18" customHeight="1" x14ac:dyDescent="0.3">
      <c r="A21" s="98" t="s">
        <v>305</v>
      </c>
      <c r="B21" s="67">
        <f>VLOOKUP(A21,'MT- MNT TRACKER'!C:N,7,0)</f>
        <v>0</v>
      </c>
      <c r="C21" s="67">
        <f>VLOOKUP(A21,'MT- MNT TRACKER'!C:N,9,0)</f>
        <v>0</v>
      </c>
      <c r="D21" s="64">
        <f t="shared" si="1"/>
        <v>0</v>
      </c>
      <c r="E21" s="55">
        <v>34</v>
      </c>
      <c r="F21" s="55">
        <v>28</v>
      </c>
      <c r="G21" s="65">
        <f t="shared" si="2"/>
        <v>62</v>
      </c>
      <c r="H21" s="82">
        <f t="shared" si="3"/>
        <v>-1</v>
      </c>
      <c r="I21" s="38"/>
      <c r="J21" s="66"/>
      <c r="K21" s="66"/>
      <c r="L21" s="66"/>
      <c r="M21" s="55"/>
      <c r="N21" s="55"/>
      <c r="O21" s="65"/>
      <c r="P21" s="82"/>
      <c r="Q21" s="38"/>
      <c r="R21" s="66"/>
      <c r="S21" s="66"/>
      <c r="T21" s="66"/>
      <c r="U21" s="55"/>
      <c r="V21" s="55"/>
      <c r="W21" s="65"/>
      <c r="X21" s="82"/>
      <c r="Y21" s="38"/>
      <c r="Z21" s="66"/>
      <c r="AA21" s="66"/>
      <c r="AB21" s="66"/>
      <c r="AC21" s="55"/>
      <c r="AD21" s="55"/>
      <c r="AE21" s="65"/>
      <c r="AF21" s="82"/>
      <c r="AG21" s="38"/>
      <c r="AH21" s="66"/>
      <c r="AI21" s="66"/>
      <c r="AJ21" s="66"/>
      <c r="AK21" s="55"/>
      <c r="AL21" s="55"/>
      <c r="AM21" s="65"/>
      <c r="AN21" s="82"/>
      <c r="AP21" s="66"/>
      <c r="AQ21" s="66"/>
      <c r="AR21" s="66"/>
      <c r="AS21" s="65"/>
      <c r="AT21" s="65"/>
      <c r="AU21" s="65"/>
      <c r="AV21" s="82"/>
      <c r="AW21" s="38"/>
      <c r="AX21" s="66"/>
      <c r="AY21" s="66"/>
      <c r="AZ21" s="66"/>
      <c r="BA21" s="55"/>
      <c r="BB21" s="55"/>
      <c r="BC21" s="65"/>
      <c r="BD21" s="82"/>
      <c r="BE21" s="38"/>
      <c r="BF21" s="35"/>
      <c r="BG21" s="35"/>
      <c r="BH21" s="66"/>
      <c r="BI21" s="55"/>
      <c r="BJ21" s="55"/>
      <c r="BK21" s="65"/>
      <c r="BL21" s="82"/>
      <c r="BM21" s="38"/>
      <c r="BN21" s="35"/>
      <c r="BO21" s="35"/>
      <c r="BP21" s="66"/>
      <c r="BQ21" s="55"/>
      <c r="BR21" s="55"/>
      <c r="BS21" s="65"/>
      <c r="BT21" s="82"/>
      <c r="BU21" s="38"/>
      <c r="BV21" s="35"/>
      <c r="BW21" s="35"/>
      <c r="BX21" s="66"/>
      <c r="BY21" s="55"/>
      <c r="BZ21" s="55"/>
      <c r="CA21" s="65"/>
      <c r="CB21" s="82"/>
      <c r="CC21" s="38"/>
      <c r="CD21" s="66"/>
      <c r="CE21" s="66"/>
      <c r="CF21" s="66"/>
      <c r="CG21" s="55"/>
      <c r="CH21" s="55"/>
      <c r="CI21" s="65"/>
      <c r="CJ21" s="82"/>
      <c r="CK21" s="38"/>
      <c r="CL21" s="35"/>
      <c r="CM21" s="35"/>
      <c r="CN21" s="66"/>
      <c r="CO21" s="55"/>
      <c r="CP21" s="55"/>
      <c r="CQ21" s="65"/>
      <c r="CR21" s="82"/>
      <c r="CS21" s="38"/>
      <c r="CT21" s="35">
        <f t="shared" si="4"/>
        <v>0</v>
      </c>
      <c r="CU21" s="35">
        <f t="shared" si="5"/>
        <v>0</v>
      </c>
      <c r="CV21" s="66">
        <f t="shared" si="6"/>
        <v>0</v>
      </c>
      <c r="CW21" s="55">
        <f t="shared" si="7"/>
        <v>34</v>
      </c>
      <c r="CX21" s="55">
        <f t="shared" si="8"/>
        <v>28</v>
      </c>
      <c r="CY21" s="65">
        <f t="shared" si="9"/>
        <v>62</v>
      </c>
      <c r="CZ21" s="82">
        <f t="shared" si="10"/>
        <v>-1</v>
      </c>
      <c r="DB21" s="53">
        <v>340</v>
      </c>
      <c r="DC21" s="53">
        <v>310</v>
      </c>
      <c r="DD21" s="53">
        <f t="shared" si="11"/>
        <v>650</v>
      </c>
    </row>
    <row r="22" spans="1:108" ht="18" customHeight="1" x14ac:dyDescent="0.3">
      <c r="A22" s="98" t="s">
        <v>306</v>
      </c>
      <c r="B22" s="67">
        <f>VLOOKUP(A22,'MT- MNT TRACKER'!C:N,7,0)</f>
        <v>0</v>
      </c>
      <c r="C22" s="67">
        <f>VLOOKUP(A22,'MT- MNT TRACKER'!C:N,9,0)</f>
        <v>3</v>
      </c>
      <c r="D22" s="64">
        <f t="shared" si="1"/>
        <v>3</v>
      </c>
      <c r="E22" s="55">
        <v>0</v>
      </c>
      <c r="F22" s="55">
        <v>0</v>
      </c>
      <c r="G22" s="65">
        <f t="shared" si="2"/>
        <v>0</v>
      </c>
      <c r="H22" s="82" t="e">
        <f t="shared" si="3"/>
        <v>#DIV/0!</v>
      </c>
      <c r="I22" s="38"/>
      <c r="J22" s="66"/>
      <c r="K22" s="66"/>
      <c r="L22" s="66"/>
      <c r="M22" s="55"/>
      <c r="N22" s="55"/>
      <c r="O22" s="65"/>
      <c r="P22" s="82"/>
      <c r="Q22" s="38"/>
      <c r="R22" s="66"/>
      <c r="S22" s="66"/>
      <c r="T22" s="66"/>
      <c r="U22" s="55"/>
      <c r="V22" s="55"/>
      <c r="W22" s="65"/>
      <c r="X22" s="82"/>
      <c r="Y22" s="38"/>
      <c r="Z22" s="66"/>
      <c r="AA22" s="66"/>
      <c r="AB22" s="66"/>
      <c r="AC22" s="55"/>
      <c r="AD22" s="55"/>
      <c r="AE22" s="65"/>
      <c r="AF22" s="82"/>
      <c r="AG22" s="38"/>
      <c r="AH22" s="66"/>
      <c r="AI22" s="66"/>
      <c r="AJ22" s="66"/>
      <c r="AK22" s="55"/>
      <c r="AL22" s="55"/>
      <c r="AM22" s="65"/>
      <c r="AN22" s="82"/>
      <c r="AP22" s="66"/>
      <c r="AQ22" s="66"/>
      <c r="AR22" s="66"/>
      <c r="AS22" s="65"/>
      <c r="AT22" s="65"/>
      <c r="AU22" s="65"/>
      <c r="AV22" s="82"/>
      <c r="AW22" s="38"/>
      <c r="AX22" s="66"/>
      <c r="AY22" s="66"/>
      <c r="AZ22" s="66"/>
      <c r="BA22" s="55"/>
      <c r="BB22" s="55"/>
      <c r="BC22" s="65"/>
      <c r="BD22" s="82"/>
      <c r="BE22" s="38"/>
      <c r="BF22" s="35"/>
      <c r="BG22" s="35"/>
      <c r="BH22" s="66"/>
      <c r="BI22" s="55"/>
      <c r="BJ22" s="55"/>
      <c r="BK22" s="65"/>
      <c r="BL22" s="82"/>
      <c r="BM22" s="38"/>
      <c r="BN22" s="35"/>
      <c r="BO22" s="35"/>
      <c r="BP22" s="66"/>
      <c r="BQ22" s="55"/>
      <c r="BR22" s="55"/>
      <c r="BS22" s="65"/>
      <c r="BT22" s="82"/>
      <c r="BU22" s="38"/>
      <c r="BV22" s="35"/>
      <c r="BW22" s="35"/>
      <c r="BX22" s="66"/>
      <c r="BY22" s="55"/>
      <c r="BZ22" s="55"/>
      <c r="CA22" s="65"/>
      <c r="CB22" s="82"/>
      <c r="CC22" s="38"/>
      <c r="CD22" s="66"/>
      <c r="CE22" s="66"/>
      <c r="CF22" s="66"/>
      <c r="CG22" s="55"/>
      <c r="CH22" s="55"/>
      <c r="CI22" s="65"/>
      <c r="CJ22" s="82"/>
      <c r="CK22" s="38"/>
      <c r="CL22" s="35"/>
      <c r="CM22" s="35"/>
      <c r="CN22" s="66"/>
      <c r="CO22" s="55"/>
      <c r="CP22" s="55"/>
      <c r="CQ22" s="65"/>
      <c r="CR22" s="82"/>
      <c r="CS22" s="38"/>
      <c r="CT22" s="35">
        <f t="shared" si="4"/>
        <v>0</v>
      </c>
      <c r="CU22" s="35">
        <f t="shared" si="5"/>
        <v>3</v>
      </c>
      <c r="CV22" s="66">
        <f t="shared" si="6"/>
        <v>3</v>
      </c>
      <c r="CW22" s="55">
        <f t="shared" si="7"/>
        <v>0</v>
      </c>
      <c r="CX22" s="55">
        <f t="shared" si="8"/>
        <v>0</v>
      </c>
      <c r="CY22" s="65">
        <f t="shared" si="9"/>
        <v>0</v>
      </c>
      <c r="CZ22" s="82" t="e">
        <f t="shared" si="10"/>
        <v>#DIV/0!</v>
      </c>
      <c r="DB22" s="53">
        <v>56</v>
      </c>
      <c r="DC22" s="53">
        <v>95</v>
      </c>
      <c r="DD22" s="53">
        <f t="shared" si="11"/>
        <v>151</v>
      </c>
    </row>
    <row r="23" spans="1:108" ht="18" customHeight="1" x14ac:dyDescent="0.3">
      <c r="A23" s="98" t="s">
        <v>299</v>
      </c>
      <c r="B23" s="67">
        <f>VLOOKUP(A23,'MT- MNT TRACKER'!C:N,7,0)</f>
        <v>0</v>
      </c>
      <c r="C23" s="67">
        <f>VLOOKUP(A23,'MT- MNT TRACKER'!C:N,9,0)</f>
        <v>0</v>
      </c>
      <c r="D23" s="64">
        <f t="shared" si="1"/>
        <v>0</v>
      </c>
      <c r="E23" s="55">
        <v>0</v>
      </c>
      <c r="F23" s="55">
        <v>0</v>
      </c>
      <c r="G23" s="65">
        <f t="shared" si="2"/>
        <v>0</v>
      </c>
      <c r="H23" s="82" t="e">
        <f t="shared" si="3"/>
        <v>#DIV/0!</v>
      </c>
      <c r="I23" s="38"/>
      <c r="J23" s="66"/>
      <c r="K23" s="66"/>
      <c r="L23" s="66"/>
      <c r="M23" s="55"/>
      <c r="N23" s="55"/>
      <c r="O23" s="65"/>
      <c r="P23" s="82"/>
      <c r="Q23" s="38"/>
      <c r="R23" s="66"/>
      <c r="S23" s="66"/>
      <c r="T23" s="66"/>
      <c r="U23" s="55"/>
      <c r="V23" s="55"/>
      <c r="W23" s="65"/>
      <c r="X23" s="82"/>
      <c r="Y23" s="38"/>
      <c r="Z23" s="66"/>
      <c r="AA23" s="66"/>
      <c r="AB23" s="66"/>
      <c r="AC23" s="55"/>
      <c r="AD23" s="55"/>
      <c r="AE23" s="65"/>
      <c r="AF23" s="82"/>
      <c r="AG23" s="38"/>
      <c r="AH23" s="66"/>
      <c r="AI23" s="66"/>
      <c r="AJ23" s="66"/>
      <c r="AK23" s="55"/>
      <c r="AL23" s="55"/>
      <c r="AM23" s="65"/>
      <c r="AN23" s="82"/>
      <c r="AP23" s="66"/>
      <c r="AQ23" s="66"/>
      <c r="AR23" s="66"/>
      <c r="AS23" s="65"/>
      <c r="AT23" s="65"/>
      <c r="AU23" s="65"/>
      <c r="AV23" s="82"/>
      <c r="AW23" s="38"/>
      <c r="AX23" s="66"/>
      <c r="AY23" s="66"/>
      <c r="AZ23" s="66"/>
      <c r="BA23" s="55"/>
      <c r="BB23" s="55"/>
      <c r="BC23" s="65"/>
      <c r="BD23" s="82"/>
      <c r="BE23" s="38"/>
      <c r="BF23" s="35"/>
      <c r="BG23" s="35"/>
      <c r="BH23" s="66"/>
      <c r="BI23" s="55"/>
      <c r="BJ23" s="55"/>
      <c r="BK23" s="65"/>
      <c r="BL23" s="82"/>
      <c r="BM23" s="38"/>
      <c r="BN23" s="35"/>
      <c r="BO23" s="35"/>
      <c r="BP23" s="66"/>
      <c r="BQ23" s="55"/>
      <c r="BR23" s="55"/>
      <c r="BS23" s="65"/>
      <c r="BT23" s="82"/>
      <c r="BU23" s="38"/>
      <c r="BV23" s="35"/>
      <c r="BW23" s="35"/>
      <c r="BX23" s="66"/>
      <c r="BY23" s="55"/>
      <c r="BZ23" s="55"/>
      <c r="CA23" s="65"/>
      <c r="CB23" s="82"/>
      <c r="CC23" s="38"/>
      <c r="CD23" s="66"/>
      <c r="CE23" s="66"/>
      <c r="CF23" s="66"/>
      <c r="CG23" s="55"/>
      <c r="CH23" s="55"/>
      <c r="CI23" s="65"/>
      <c r="CJ23" s="82"/>
      <c r="CK23" s="38"/>
      <c r="CL23" s="35"/>
      <c r="CM23" s="35"/>
      <c r="CN23" s="66"/>
      <c r="CO23" s="55"/>
      <c r="CP23" s="55"/>
      <c r="CQ23" s="65"/>
      <c r="CR23" s="82"/>
      <c r="CS23" s="38"/>
      <c r="CT23" s="35">
        <f t="shared" si="4"/>
        <v>0</v>
      </c>
      <c r="CU23" s="35">
        <f t="shared" si="5"/>
        <v>0</v>
      </c>
      <c r="CV23" s="66">
        <f t="shared" si="6"/>
        <v>0</v>
      </c>
      <c r="CW23" s="55">
        <f t="shared" si="7"/>
        <v>0</v>
      </c>
      <c r="CX23" s="55">
        <f t="shared" si="8"/>
        <v>0</v>
      </c>
      <c r="CY23" s="65">
        <f t="shared" si="9"/>
        <v>0</v>
      </c>
      <c r="CZ23" s="82" t="e">
        <f t="shared" si="10"/>
        <v>#DIV/0!</v>
      </c>
      <c r="DB23" s="53">
        <v>0</v>
      </c>
      <c r="DC23" s="53">
        <v>1</v>
      </c>
      <c r="DD23" s="53">
        <f t="shared" si="11"/>
        <v>1</v>
      </c>
    </row>
    <row r="24" spans="1:108" ht="18" customHeight="1" x14ac:dyDescent="0.3">
      <c r="A24" s="98" t="s">
        <v>8</v>
      </c>
      <c r="B24" s="67">
        <f>VLOOKUP(A24,'MT- MNT TRACKER'!C:N,7,0)</f>
        <v>0</v>
      </c>
      <c r="C24" s="67">
        <f>VLOOKUP(A24,'MT- MNT TRACKER'!C:N,9,0)</f>
        <v>4</v>
      </c>
      <c r="D24" s="64">
        <f t="shared" si="1"/>
        <v>4</v>
      </c>
      <c r="E24" s="55">
        <v>8</v>
      </c>
      <c r="F24" s="55">
        <v>14</v>
      </c>
      <c r="G24" s="65">
        <f t="shared" si="2"/>
        <v>22</v>
      </c>
      <c r="H24" s="82">
        <f t="shared" si="3"/>
        <v>-0.81818181818181823</v>
      </c>
      <c r="I24" s="38"/>
      <c r="J24" s="66"/>
      <c r="K24" s="66"/>
      <c r="L24" s="66"/>
      <c r="M24" s="55"/>
      <c r="N24" s="55"/>
      <c r="O24" s="65"/>
      <c r="P24" s="82"/>
      <c r="Q24" s="38"/>
      <c r="R24" s="66"/>
      <c r="S24" s="66"/>
      <c r="T24" s="66"/>
      <c r="U24" s="55"/>
      <c r="V24" s="55"/>
      <c r="W24" s="65"/>
      <c r="X24" s="82"/>
      <c r="Y24" s="38"/>
      <c r="Z24" s="66"/>
      <c r="AA24" s="66"/>
      <c r="AB24" s="66"/>
      <c r="AC24" s="55"/>
      <c r="AD24" s="55"/>
      <c r="AE24" s="65"/>
      <c r="AF24" s="82"/>
      <c r="AG24" s="38"/>
      <c r="AH24" s="66"/>
      <c r="AI24" s="66"/>
      <c r="AJ24" s="66"/>
      <c r="AK24" s="55"/>
      <c r="AL24" s="55"/>
      <c r="AM24" s="65"/>
      <c r="AN24" s="82"/>
      <c r="AP24" s="66"/>
      <c r="AQ24" s="66"/>
      <c r="AR24" s="66"/>
      <c r="AS24" s="65"/>
      <c r="AT24" s="65"/>
      <c r="AU24" s="65"/>
      <c r="AV24" s="82"/>
      <c r="AW24" s="38"/>
      <c r="AX24" s="66"/>
      <c r="AY24" s="66"/>
      <c r="AZ24" s="66"/>
      <c r="BA24" s="55"/>
      <c r="BB24" s="55"/>
      <c r="BC24" s="65"/>
      <c r="BD24" s="82"/>
      <c r="BE24" s="38"/>
      <c r="BF24" s="35"/>
      <c r="BG24" s="35"/>
      <c r="BH24" s="66"/>
      <c r="BI24" s="55"/>
      <c r="BJ24" s="55"/>
      <c r="BK24" s="65"/>
      <c r="BL24" s="82"/>
      <c r="BM24" s="38"/>
      <c r="BN24" s="35"/>
      <c r="BO24" s="35"/>
      <c r="BP24" s="66"/>
      <c r="BQ24" s="55"/>
      <c r="BR24" s="55"/>
      <c r="BS24" s="65"/>
      <c r="BT24" s="82"/>
      <c r="BU24" s="38"/>
      <c r="BV24" s="35"/>
      <c r="BW24" s="35"/>
      <c r="BX24" s="66"/>
      <c r="BY24" s="55"/>
      <c r="BZ24" s="55"/>
      <c r="CA24" s="65"/>
      <c r="CB24" s="82"/>
      <c r="CC24" s="38"/>
      <c r="CD24" s="66"/>
      <c r="CE24" s="66"/>
      <c r="CF24" s="66"/>
      <c r="CG24" s="55"/>
      <c r="CH24" s="55"/>
      <c r="CI24" s="65"/>
      <c r="CJ24" s="82"/>
      <c r="CK24" s="38"/>
      <c r="CL24" s="35"/>
      <c r="CM24" s="35"/>
      <c r="CN24" s="66"/>
      <c r="CO24" s="55"/>
      <c r="CP24" s="55"/>
      <c r="CQ24" s="65"/>
      <c r="CR24" s="82"/>
      <c r="CS24" s="38"/>
      <c r="CT24" s="35">
        <f t="shared" si="4"/>
        <v>0</v>
      </c>
      <c r="CU24" s="35">
        <f t="shared" si="5"/>
        <v>4</v>
      </c>
      <c r="CV24" s="66">
        <f t="shared" si="6"/>
        <v>4</v>
      </c>
      <c r="CW24" s="55">
        <f t="shared" si="7"/>
        <v>8</v>
      </c>
      <c r="CX24" s="55">
        <f t="shared" si="8"/>
        <v>14</v>
      </c>
      <c r="CY24" s="65">
        <f t="shared" si="9"/>
        <v>22</v>
      </c>
      <c r="CZ24" s="82">
        <f t="shared" si="10"/>
        <v>-0.81818181818181823</v>
      </c>
      <c r="DB24" s="53">
        <v>212</v>
      </c>
      <c r="DC24" s="53">
        <v>210</v>
      </c>
      <c r="DD24" s="53">
        <f t="shared" si="11"/>
        <v>422</v>
      </c>
    </row>
    <row r="25" spans="1:108" ht="18" customHeight="1" x14ac:dyDescent="0.3">
      <c r="A25" s="98" t="s">
        <v>9</v>
      </c>
      <c r="B25" s="67">
        <f>VLOOKUP(A25,'MT- MNT TRACKER'!C:N,7,0)</f>
        <v>0</v>
      </c>
      <c r="C25" s="67">
        <f>VLOOKUP(A25,'MT- MNT TRACKER'!C:N,9,0)</f>
        <v>2</v>
      </c>
      <c r="D25" s="64">
        <f t="shared" si="1"/>
        <v>2</v>
      </c>
      <c r="E25" s="55">
        <v>10</v>
      </c>
      <c r="F25" s="55">
        <v>10</v>
      </c>
      <c r="G25" s="65">
        <f t="shared" si="2"/>
        <v>20</v>
      </c>
      <c r="H25" s="82">
        <f t="shared" si="3"/>
        <v>-0.9</v>
      </c>
      <c r="I25" s="38"/>
      <c r="J25" s="66"/>
      <c r="K25" s="66"/>
      <c r="L25" s="66"/>
      <c r="M25" s="55"/>
      <c r="N25" s="55"/>
      <c r="O25" s="65"/>
      <c r="P25" s="82"/>
      <c r="Q25" s="38"/>
      <c r="R25" s="66"/>
      <c r="S25" s="66"/>
      <c r="T25" s="66"/>
      <c r="U25" s="55"/>
      <c r="V25" s="55"/>
      <c r="W25" s="65"/>
      <c r="X25" s="82"/>
      <c r="Y25" s="38"/>
      <c r="Z25" s="66"/>
      <c r="AA25" s="66"/>
      <c r="AB25" s="66"/>
      <c r="AC25" s="55"/>
      <c r="AD25" s="55"/>
      <c r="AE25" s="65"/>
      <c r="AF25" s="82"/>
      <c r="AG25" s="38"/>
      <c r="AH25" s="66"/>
      <c r="AI25" s="66"/>
      <c r="AJ25" s="66"/>
      <c r="AK25" s="55"/>
      <c r="AL25" s="55"/>
      <c r="AM25" s="65"/>
      <c r="AN25" s="82"/>
      <c r="AP25" s="66"/>
      <c r="AQ25" s="66"/>
      <c r="AR25" s="66"/>
      <c r="AS25" s="65"/>
      <c r="AT25" s="65"/>
      <c r="AU25" s="65"/>
      <c r="AV25" s="82"/>
      <c r="AW25" s="38"/>
      <c r="AX25" s="66"/>
      <c r="AY25" s="66"/>
      <c r="AZ25" s="66"/>
      <c r="BA25" s="55"/>
      <c r="BB25" s="55"/>
      <c r="BC25" s="65"/>
      <c r="BD25" s="82"/>
      <c r="BE25" s="38"/>
      <c r="BF25" s="35"/>
      <c r="BG25" s="35"/>
      <c r="BH25" s="66"/>
      <c r="BI25" s="55"/>
      <c r="BJ25" s="55"/>
      <c r="BK25" s="65"/>
      <c r="BL25" s="82"/>
      <c r="BM25" s="38"/>
      <c r="BN25" s="35"/>
      <c r="BO25" s="35"/>
      <c r="BP25" s="66"/>
      <c r="BQ25" s="55"/>
      <c r="BR25" s="55"/>
      <c r="BS25" s="65"/>
      <c r="BT25" s="82"/>
      <c r="BU25" s="38"/>
      <c r="BV25" s="35"/>
      <c r="BW25" s="35"/>
      <c r="BX25" s="66"/>
      <c r="BY25" s="55"/>
      <c r="BZ25" s="55"/>
      <c r="CA25" s="65"/>
      <c r="CB25" s="82"/>
      <c r="CC25" s="38"/>
      <c r="CD25" s="66"/>
      <c r="CE25" s="66"/>
      <c r="CF25" s="66"/>
      <c r="CG25" s="55"/>
      <c r="CH25" s="55"/>
      <c r="CI25" s="65"/>
      <c r="CJ25" s="82"/>
      <c r="CK25" s="38"/>
      <c r="CL25" s="35"/>
      <c r="CM25" s="35"/>
      <c r="CN25" s="66"/>
      <c r="CO25" s="55"/>
      <c r="CP25" s="55"/>
      <c r="CQ25" s="65"/>
      <c r="CR25" s="82"/>
      <c r="CS25" s="38"/>
      <c r="CT25" s="35">
        <f t="shared" si="4"/>
        <v>0</v>
      </c>
      <c r="CU25" s="35">
        <f t="shared" si="5"/>
        <v>2</v>
      </c>
      <c r="CV25" s="66">
        <f t="shared" si="6"/>
        <v>2</v>
      </c>
      <c r="CW25" s="55">
        <f t="shared" si="7"/>
        <v>10</v>
      </c>
      <c r="CX25" s="55">
        <f t="shared" si="8"/>
        <v>10</v>
      </c>
      <c r="CY25" s="65">
        <f t="shared" si="9"/>
        <v>20</v>
      </c>
      <c r="CZ25" s="82">
        <f t="shared" si="10"/>
        <v>-0.9</v>
      </c>
      <c r="DB25" s="53">
        <v>133</v>
      </c>
      <c r="DC25" s="53">
        <v>106</v>
      </c>
      <c r="DD25" s="53">
        <f t="shared" si="11"/>
        <v>239</v>
      </c>
    </row>
    <row r="26" spans="1:108" ht="18" customHeight="1" x14ac:dyDescent="0.3">
      <c r="A26" s="98" t="s">
        <v>266</v>
      </c>
      <c r="B26" s="67">
        <f>VLOOKUP(A26,'MT- MNT TRACKER'!C:N,7,0)</f>
        <v>0</v>
      </c>
      <c r="C26" s="67">
        <f>VLOOKUP(A26,'MT- MNT TRACKER'!C:N,9,0)</f>
        <v>2</v>
      </c>
      <c r="D26" s="64">
        <f t="shared" si="1"/>
        <v>2</v>
      </c>
      <c r="E26" s="55">
        <v>0</v>
      </c>
      <c r="F26" s="55">
        <v>0</v>
      </c>
      <c r="G26" s="65">
        <f t="shared" si="2"/>
        <v>0</v>
      </c>
      <c r="H26" s="82" t="e">
        <f t="shared" si="3"/>
        <v>#DIV/0!</v>
      </c>
      <c r="I26" s="38"/>
      <c r="J26" s="66"/>
      <c r="K26" s="66"/>
      <c r="L26" s="66"/>
      <c r="M26" s="55"/>
      <c r="N26" s="55"/>
      <c r="O26" s="65"/>
      <c r="P26" s="82"/>
      <c r="Q26" s="38"/>
      <c r="R26" s="66"/>
      <c r="S26" s="66"/>
      <c r="T26" s="66"/>
      <c r="U26" s="55"/>
      <c r="V26" s="55"/>
      <c r="W26" s="65"/>
      <c r="X26" s="82"/>
      <c r="Y26" s="38"/>
      <c r="Z26" s="66"/>
      <c r="AA26" s="66"/>
      <c r="AB26" s="66"/>
      <c r="AC26" s="55"/>
      <c r="AD26" s="55"/>
      <c r="AE26" s="65"/>
      <c r="AF26" s="82"/>
      <c r="AG26" s="38"/>
      <c r="AH26" s="66"/>
      <c r="AI26" s="66"/>
      <c r="AJ26" s="66"/>
      <c r="AK26" s="55"/>
      <c r="AL26" s="55"/>
      <c r="AM26" s="65"/>
      <c r="AN26" s="82"/>
      <c r="AP26" s="66"/>
      <c r="AQ26" s="66"/>
      <c r="AR26" s="66"/>
      <c r="AS26" s="65"/>
      <c r="AT26" s="65"/>
      <c r="AU26" s="65"/>
      <c r="AV26" s="82"/>
      <c r="AW26" s="38"/>
      <c r="AX26" s="66"/>
      <c r="AY26" s="66"/>
      <c r="AZ26" s="66"/>
      <c r="BA26" s="55"/>
      <c r="BB26" s="55"/>
      <c r="BC26" s="65"/>
      <c r="BD26" s="82"/>
      <c r="BE26" s="38"/>
      <c r="BF26" s="35"/>
      <c r="BG26" s="35"/>
      <c r="BH26" s="66"/>
      <c r="BI26" s="55"/>
      <c r="BJ26" s="55"/>
      <c r="BK26" s="65"/>
      <c r="BL26" s="82"/>
      <c r="BM26" s="38"/>
      <c r="BN26" s="35"/>
      <c r="BO26" s="35"/>
      <c r="BP26" s="66"/>
      <c r="BQ26" s="55"/>
      <c r="BR26" s="55"/>
      <c r="BS26" s="65"/>
      <c r="BT26" s="82"/>
      <c r="BU26" s="38"/>
      <c r="BV26" s="35"/>
      <c r="BW26" s="35"/>
      <c r="BX26" s="66"/>
      <c r="BY26" s="55"/>
      <c r="BZ26" s="55"/>
      <c r="CA26" s="65"/>
      <c r="CB26" s="82"/>
      <c r="CC26" s="38"/>
      <c r="CD26" s="66"/>
      <c r="CE26" s="66"/>
      <c r="CF26" s="66"/>
      <c r="CG26" s="55"/>
      <c r="CH26" s="55"/>
      <c r="CI26" s="65"/>
      <c r="CJ26" s="82"/>
      <c r="CK26" s="38"/>
      <c r="CL26" s="35"/>
      <c r="CM26" s="35"/>
      <c r="CN26" s="66"/>
      <c r="CO26" s="55"/>
      <c r="CP26" s="55"/>
      <c r="CQ26" s="65"/>
      <c r="CR26" s="82"/>
      <c r="CS26" s="38"/>
      <c r="CT26" s="35">
        <f t="shared" si="4"/>
        <v>0</v>
      </c>
      <c r="CU26" s="35">
        <f t="shared" si="5"/>
        <v>2</v>
      </c>
      <c r="CV26" s="66">
        <f t="shared" si="6"/>
        <v>2</v>
      </c>
      <c r="CW26" s="55">
        <f t="shared" si="7"/>
        <v>0</v>
      </c>
      <c r="CX26" s="55">
        <f t="shared" si="8"/>
        <v>0</v>
      </c>
      <c r="CY26" s="65">
        <f t="shared" si="9"/>
        <v>0</v>
      </c>
      <c r="CZ26" s="82" t="e">
        <f t="shared" si="10"/>
        <v>#DIV/0!</v>
      </c>
      <c r="DB26" s="53">
        <v>71</v>
      </c>
      <c r="DC26" s="53">
        <v>52</v>
      </c>
      <c r="DD26" s="53">
        <f t="shared" si="11"/>
        <v>123</v>
      </c>
    </row>
    <row r="27" spans="1:108" ht="18" customHeight="1" x14ac:dyDescent="0.3">
      <c r="A27" s="98" t="s">
        <v>308</v>
      </c>
      <c r="B27" s="67">
        <f>VLOOKUP(A27,'MT- MNT TRACKER'!C:N,7,0)</f>
        <v>0</v>
      </c>
      <c r="C27" s="67">
        <f>VLOOKUP(A27,'MT- MNT TRACKER'!C:N,9,0)</f>
        <v>1</v>
      </c>
      <c r="D27" s="64">
        <f t="shared" si="1"/>
        <v>1</v>
      </c>
      <c r="E27" s="55">
        <v>0</v>
      </c>
      <c r="F27" s="55">
        <v>0</v>
      </c>
      <c r="G27" s="65">
        <f t="shared" si="2"/>
        <v>0</v>
      </c>
      <c r="H27" s="82" t="e">
        <f t="shared" si="3"/>
        <v>#DIV/0!</v>
      </c>
      <c r="I27" s="38"/>
      <c r="J27" s="66"/>
      <c r="K27" s="66"/>
      <c r="L27" s="66"/>
      <c r="M27" s="55"/>
      <c r="N27" s="55"/>
      <c r="O27" s="65"/>
      <c r="P27" s="82"/>
      <c r="Q27" s="38"/>
      <c r="R27" s="66"/>
      <c r="S27" s="66"/>
      <c r="T27" s="66"/>
      <c r="U27" s="55"/>
      <c r="V27" s="55"/>
      <c r="W27" s="65"/>
      <c r="X27" s="82"/>
      <c r="Y27" s="38"/>
      <c r="Z27" s="66"/>
      <c r="AA27" s="66"/>
      <c r="AB27" s="66"/>
      <c r="AC27" s="55"/>
      <c r="AD27" s="55"/>
      <c r="AE27" s="65"/>
      <c r="AF27" s="82"/>
      <c r="AG27" s="38"/>
      <c r="AH27" s="66"/>
      <c r="AI27" s="66"/>
      <c r="AJ27" s="66"/>
      <c r="AK27" s="55"/>
      <c r="AL27" s="55"/>
      <c r="AM27" s="65"/>
      <c r="AN27" s="82"/>
      <c r="AP27" s="66"/>
      <c r="AQ27" s="66"/>
      <c r="AR27" s="66"/>
      <c r="AS27" s="65"/>
      <c r="AT27" s="65"/>
      <c r="AU27" s="65"/>
      <c r="AV27" s="82"/>
      <c r="AW27" s="38"/>
      <c r="AX27" s="66"/>
      <c r="AY27" s="66"/>
      <c r="AZ27" s="66"/>
      <c r="BA27" s="55"/>
      <c r="BB27" s="55"/>
      <c r="BC27" s="65"/>
      <c r="BD27" s="82"/>
      <c r="BE27" s="38"/>
      <c r="BF27" s="35"/>
      <c r="BG27" s="35"/>
      <c r="BH27" s="66"/>
      <c r="BI27" s="55"/>
      <c r="BJ27" s="55"/>
      <c r="BK27" s="65"/>
      <c r="BL27" s="82"/>
      <c r="BM27" s="38"/>
      <c r="BN27" s="35"/>
      <c r="BO27" s="35"/>
      <c r="BP27" s="66"/>
      <c r="BQ27" s="55"/>
      <c r="BR27" s="55"/>
      <c r="BS27" s="65"/>
      <c r="BT27" s="82"/>
      <c r="BU27" s="38"/>
      <c r="BV27" s="35"/>
      <c r="BW27" s="35"/>
      <c r="BX27" s="66"/>
      <c r="BY27" s="55"/>
      <c r="BZ27" s="55"/>
      <c r="CA27" s="65"/>
      <c r="CB27" s="82"/>
      <c r="CC27" s="38"/>
      <c r="CD27" s="66"/>
      <c r="CE27" s="66"/>
      <c r="CF27" s="66"/>
      <c r="CG27" s="55"/>
      <c r="CH27" s="55"/>
      <c r="CI27" s="65"/>
      <c r="CJ27" s="82"/>
      <c r="CK27" s="38"/>
      <c r="CL27" s="35"/>
      <c r="CM27" s="35"/>
      <c r="CN27" s="66"/>
      <c r="CO27" s="55"/>
      <c r="CP27" s="55"/>
      <c r="CQ27" s="65"/>
      <c r="CR27" s="82"/>
      <c r="CS27" s="38"/>
      <c r="CT27" s="35">
        <f t="shared" si="4"/>
        <v>0</v>
      </c>
      <c r="CU27" s="35">
        <f t="shared" si="5"/>
        <v>1</v>
      </c>
      <c r="CV27" s="66">
        <f t="shared" si="6"/>
        <v>1</v>
      </c>
      <c r="CW27" s="55">
        <f t="shared" si="7"/>
        <v>0</v>
      </c>
      <c r="CX27" s="55">
        <f t="shared" si="8"/>
        <v>0</v>
      </c>
      <c r="CY27" s="65">
        <f t="shared" si="9"/>
        <v>0</v>
      </c>
      <c r="CZ27" s="82" t="e">
        <f t="shared" si="10"/>
        <v>#DIV/0!</v>
      </c>
      <c r="DB27" s="53">
        <v>74</v>
      </c>
      <c r="DC27" s="53">
        <v>48</v>
      </c>
      <c r="DD27" s="53">
        <f t="shared" si="11"/>
        <v>122</v>
      </c>
    </row>
    <row r="28" spans="1:108" ht="18" customHeight="1" x14ac:dyDescent="0.3">
      <c r="A28" s="98" t="s">
        <v>108</v>
      </c>
      <c r="B28" s="67">
        <f>VLOOKUP(A28,'MT- MNT TRACKER'!C:N,7,0)</f>
        <v>0</v>
      </c>
      <c r="C28" s="67">
        <f>VLOOKUP(A28,'MT- MNT TRACKER'!C:N,9,0)</f>
        <v>0</v>
      </c>
      <c r="D28" s="64">
        <f t="shared" si="1"/>
        <v>0</v>
      </c>
      <c r="E28" s="55">
        <v>0</v>
      </c>
      <c r="F28" s="55">
        <v>0</v>
      </c>
      <c r="G28" s="65">
        <f t="shared" si="2"/>
        <v>0</v>
      </c>
      <c r="H28" s="82" t="e">
        <f t="shared" si="3"/>
        <v>#DIV/0!</v>
      </c>
      <c r="I28" s="38"/>
      <c r="J28" s="66"/>
      <c r="K28" s="66"/>
      <c r="L28" s="66"/>
      <c r="M28" s="55"/>
      <c r="N28" s="55"/>
      <c r="O28" s="65"/>
      <c r="P28" s="82"/>
      <c r="Q28" s="38"/>
      <c r="R28" s="66"/>
      <c r="S28" s="66"/>
      <c r="T28" s="66"/>
      <c r="U28" s="55"/>
      <c r="V28" s="55"/>
      <c r="W28" s="65"/>
      <c r="X28" s="82"/>
      <c r="Y28" s="38"/>
      <c r="Z28" s="66"/>
      <c r="AA28" s="66"/>
      <c r="AB28" s="66"/>
      <c r="AC28" s="55"/>
      <c r="AD28" s="55"/>
      <c r="AE28" s="65"/>
      <c r="AF28" s="82"/>
      <c r="AG28" s="38"/>
      <c r="AH28" s="66"/>
      <c r="AI28" s="66"/>
      <c r="AJ28" s="66"/>
      <c r="AK28" s="55"/>
      <c r="AL28" s="55"/>
      <c r="AM28" s="65"/>
      <c r="AN28" s="82"/>
      <c r="AP28" s="66"/>
      <c r="AQ28" s="66"/>
      <c r="AR28" s="66"/>
      <c r="AS28" s="65"/>
      <c r="AT28" s="65"/>
      <c r="AU28" s="65"/>
      <c r="AV28" s="82"/>
      <c r="AW28" s="38"/>
      <c r="AX28" s="66"/>
      <c r="AY28" s="66"/>
      <c r="AZ28" s="66"/>
      <c r="BA28" s="55"/>
      <c r="BB28" s="55"/>
      <c r="BC28" s="65"/>
      <c r="BD28" s="82"/>
      <c r="BE28" s="38"/>
      <c r="BF28" s="35"/>
      <c r="BG28" s="35"/>
      <c r="BH28" s="66"/>
      <c r="BI28" s="55"/>
      <c r="BJ28" s="55"/>
      <c r="BK28" s="65"/>
      <c r="BL28" s="82"/>
      <c r="BM28" s="38"/>
      <c r="BN28" s="35"/>
      <c r="BO28" s="35"/>
      <c r="BP28" s="66"/>
      <c r="BQ28" s="55"/>
      <c r="BR28" s="55"/>
      <c r="BS28" s="65"/>
      <c r="BT28" s="82"/>
      <c r="BU28" s="38"/>
      <c r="BV28" s="35"/>
      <c r="BW28" s="35"/>
      <c r="BX28" s="66"/>
      <c r="BY28" s="55"/>
      <c r="BZ28" s="55"/>
      <c r="CA28" s="65"/>
      <c r="CB28" s="82"/>
      <c r="CC28" s="38"/>
      <c r="CD28" s="66"/>
      <c r="CE28" s="66"/>
      <c r="CF28" s="66"/>
      <c r="CG28" s="55"/>
      <c r="CH28" s="55"/>
      <c r="CI28" s="65"/>
      <c r="CJ28" s="82"/>
      <c r="CK28" s="38"/>
      <c r="CL28" s="35"/>
      <c r="CM28" s="35"/>
      <c r="CN28" s="66"/>
      <c r="CO28" s="55"/>
      <c r="CP28" s="55"/>
      <c r="CQ28" s="65"/>
      <c r="CR28" s="82"/>
      <c r="CS28" s="38"/>
      <c r="CT28" s="35">
        <f t="shared" si="4"/>
        <v>0</v>
      </c>
      <c r="CU28" s="35">
        <f t="shared" si="5"/>
        <v>0</v>
      </c>
      <c r="CV28" s="66">
        <f t="shared" si="6"/>
        <v>0</v>
      </c>
      <c r="CW28" s="55">
        <f t="shared" si="7"/>
        <v>0</v>
      </c>
      <c r="CX28" s="55">
        <f t="shared" si="8"/>
        <v>0</v>
      </c>
      <c r="CY28" s="65">
        <f t="shared" si="9"/>
        <v>0</v>
      </c>
      <c r="CZ28" s="82" t="e">
        <f t="shared" si="10"/>
        <v>#DIV/0!</v>
      </c>
      <c r="DB28" s="53">
        <v>100</v>
      </c>
      <c r="DC28" s="53">
        <v>126</v>
      </c>
      <c r="DD28" s="53">
        <f t="shared" si="11"/>
        <v>226</v>
      </c>
    </row>
    <row r="29" spans="1:108" ht="18" customHeight="1" x14ac:dyDescent="0.3">
      <c r="A29" s="98" t="s">
        <v>280</v>
      </c>
      <c r="B29" s="67">
        <f>VLOOKUP(A29,'MT- MNT TRACKER'!C:N,7,0)</f>
        <v>0</v>
      </c>
      <c r="C29" s="67">
        <f>VLOOKUP(A29,'MT- MNT TRACKER'!C:N,9,0)</f>
        <v>1</v>
      </c>
      <c r="D29" s="64">
        <f t="shared" si="1"/>
        <v>1</v>
      </c>
      <c r="E29" s="55">
        <v>0</v>
      </c>
      <c r="F29" s="55">
        <v>0</v>
      </c>
      <c r="G29" s="65">
        <f t="shared" si="2"/>
        <v>0</v>
      </c>
      <c r="H29" s="82" t="e">
        <f t="shared" si="3"/>
        <v>#DIV/0!</v>
      </c>
      <c r="I29" s="38"/>
      <c r="J29" s="66"/>
      <c r="K29" s="66"/>
      <c r="L29" s="66"/>
      <c r="M29" s="55"/>
      <c r="N29" s="55"/>
      <c r="O29" s="65"/>
      <c r="P29" s="82"/>
      <c r="Q29" s="38"/>
      <c r="R29" s="66"/>
      <c r="S29" s="66"/>
      <c r="T29" s="66"/>
      <c r="U29" s="55"/>
      <c r="V29" s="55"/>
      <c r="W29" s="65"/>
      <c r="X29" s="82"/>
      <c r="Y29" s="38"/>
      <c r="Z29" s="66"/>
      <c r="AA29" s="66"/>
      <c r="AB29" s="66"/>
      <c r="AC29" s="55"/>
      <c r="AD29" s="55"/>
      <c r="AE29" s="65"/>
      <c r="AF29" s="82"/>
      <c r="AG29" s="38"/>
      <c r="AH29" s="66"/>
      <c r="AI29" s="66"/>
      <c r="AJ29" s="66"/>
      <c r="AK29" s="55"/>
      <c r="AL29" s="55"/>
      <c r="AM29" s="65"/>
      <c r="AN29" s="82"/>
      <c r="AP29" s="66"/>
      <c r="AQ29" s="66"/>
      <c r="AR29" s="66"/>
      <c r="AS29" s="65"/>
      <c r="AT29" s="65"/>
      <c r="AU29" s="65"/>
      <c r="AV29" s="82"/>
      <c r="AW29" s="38"/>
      <c r="AX29" s="66"/>
      <c r="AY29" s="66"/>
      <c r="AZ29" s="66"/>
      <c r="BA29" s="55"/>
      <c r="BB29" s="55"/>
      <c r="BC29" s="65"/>
      <c r="BD29" s="82"/>
      <c r="BE29" s="38"/>
      <c r="BF29" s="35"/>
      <c r="BG29" s="35"/>
      <c r="BH29" s="66"/>
      <c r="BI29" s="55"/>
      <c r="BJ29" s="55"/>
      <c r="BK29" s="65"/>
      <c r="BL29" s="82"/>
      <c r="BM29" s="38"/>
      <c r="BN29" s="35"/>
      <c r="BO29" s="35"/>
      <c r="BP29" s="66"/>
      <c r="BQ29" s="55"/>
      <c r="BR29" s="55"/>
      <c r="BS29" s="65"/>
      <c r="BT29" s="82"/>
      <c r="BU29" s="38"/>
      <c r="BV29" s="35"/>
      <c r="BW29" s="35"/>
      <c r="BX29" s="66"/>
      <c r="BY29" s="55"/>
      <c r="BZ29" s="55"/>
      <c r="CA29" s="65"/>
      <c r="CB29" s="82"/>
      <c r="CC29" s="38"/>
      <c r="CD29" s="66"/>
      <c r="CE29" s="66"/>
      <c r="CF29" s="66"/>
      <c r="CG29" s="55"/>
      <c r="CH29" s="55"/>
      <c r="CI29" s="65"/>
      <c r="CJ29" s="82"/>
      <c r="CK29" s="38"/>
      <c r="CL29" s="35"/>
      <c r="CM29" s="35"/>
      <c r="CN29" s="66"/>
      <c r="CO29" s="55"/>
      <c r="CP29" s="55"/>
      <c r="CQ29" s="65"/>
      <c r="CR29" s="82"/>
      <c r="CS29" s="38"/>
      <c r="CT29" s="35">
        <f t="shared" si="4"/>
        <v>0</v>
      </c>
      <c r="CU29" s="35">
        <f t="shared" si="5"/>
        <v>1</v>
      </c>
      <c r="CV29" s="66">
        <f t="shared" si="6"/>
        <v>1</v>
      </c>
      <c r="CW29" s="55">
        <f t="shared" si="7"/>
        <v>0</v>
      </c>
      <c r="CX29" s="55">
        <f t="shared" si="8"/>
        <v>0</v>
      </c>
      <c r="CY29" s="65">
        <f t="shared" si="9"/>
        <v>0</v>
      </c>
      <c r="CZ29" s="82" t="e">
        <f t="shared" si="10"/>
        <v>#DIV/0!</v>
      </c>
      <c r="DB29" s="53">
        <v>27</v>
      </c>
      <c r="DC29" s="53">
        <v>25</v>
      </c>
      <c r="DD29" s="53">
        <f t="shared" si="11"/>
        <v>52</v>
      </c>
    </row>
    <row r="30" spans="1:108" ht="18" customHeight="1" x14ac:dyDescent="0.3">
      <c r="A30" s="98" t="s">
        <v>98</v>
      </c>
      <c r="B30" s="67">
        <f>VLOOKUP(A30,'MT- MNT TRACKER'!C:N,7,0)</f>
        <v>0</v>
      </c>
      <c r="C30" s="67">
        <f>VLOOKUP(A30,'MT- MNT TRACKER'!C:N,9,0)</f>
        <v>5</v>
      </c>
      <c r="D30" s="64">
        <f t="shared" si="1"/>
        <v>5</v>
      </c>
      <c r="E30" s="55">
        <v>0</v>
      </c>
      <c r="F30" s="55">
        <v>0</v>
      </c>
      <c r="G30" s="65">
        <f t="shared" si="2"/>
        <v>0</v>
      </c>
      <c r="H30" s="82" t="e">
        <f t="shared" si="3"/>
        <v>#DIV/0!</v>
      </c>
      <c r="I30" s="38"/>
      <c r="J30" s="66"/>
      <c r="K30" s="66"/>
      <c r="L30" s="66"/>
      <c r="M30" s="55"/>
      <c r="N30" s="55"/>
      <c r="O30" s="65"/>
      <c r="P30" s="82"/>
      <c r="Q30" s="38"/>
      <c r="R30" s="66"/>
      <c r="S30" s="66"/>
      <c r="T30" s="66"/>
      <c r="U30" s="55"/>
      <c r="V30" s="55"/>
      <c r="W30" s="65"/>
      <c r="X30" s="82"/>
      <c r="Y30" s="38"/>
      <c r="Z30" s="66"/>
      <c r="AA30" s="66"/>
      <c r="AB30" s="66"/>
      <c r="AC30" s="55"/>
      <c r="AD30" s="55"/>
      <c r="AE30" s="65"/>
      <c r="AF30" s="82"/>
      <c r="AG30" s="38"/>
      <c r="AH30" s="66"/>
      <c r="AI30" s="66"/>
      <c r="AJ30" s="66"/>
      <c r="AK30" s="55"/>
      <c r="AL30" s="55"/>
      <c r="AM30" s="65"/>
      <c r="AN30" s="82"/>
      <c r="AP30" s="66"/>
      <c r="AQ30" s="66"/>
      <c r="AR30" s="66"/>
      <c r="AS30" s="65"/>
      <c r="AT30" s="65"/>
      <c r="AU30" s="65"/>
      <c r="AV30" s="82"/>
      <c r="AW30" s="38"/>
      <c r="AX30" s="66"/>
      <c r="AY30" s="66"/>
      <c r="AZ30" s="66"/>
      <c r="BA30" s="55"/>
      <c r="BB30" s="55"/>
      <c r="BC30" s="65"/>
      <c r="BD30" s="82"/>
      <c r="BE30" s="38"/>
      <c r="BF30" s="35"/>
      <c r="BG30" s="35"/>
      <c r="BH30" s="66"/>
      <c r="BI30" s="55"/>
      <c r="BJ30" s="55"/>
      <c r="BK30" s="65"/>
      <c r="BL30" s="82"/>
      <c r="BM30" s="38"/>
      <c r="BN30" s="35"/>
      <c r="BO30" s="35"/>
      <c r="BP30" s="66"/>
      <c r="BQ30" s="55"/>
      <c r="BR30" s="55"/>
      <c r="BS30" s="65"/>
      <c r="BT30" s="82"/>
      <c r="BU30" s="38"/>
      <c r="BV30" s="35"/>
      <c r="BW30" s="35"/>
      <c r="BX30" s="66"/>
      <c r="BY30" s="55"/>
      <c r="BZ30" s="55"/>
      <c r="CA30" s="65"/>
      <c r="CB30" s="82"/>
      <c r="CC30" s="38"/>
      <c r="CD30" s="66"/>
      <c r="CE30" s="66"/>
      <c r="CF30" s="66"/>
      <c r="CG30" s="55"/>
      <c r="CH30" s="55"/>
      <c r="CI30" s="65"/>
      <c r="CJ30" s="82"/>
      <c r="CK30" s="38"/>
      <c r="CL30" s="35"/>
      <c r="CM30" s="35"/>
      <c r="CN30" s="66"/>
      <c r="CO30" s="55"/>
      <c r="CP30" s="55"/>
      <c r="CQ30" s="65"/>
      <c r="CR30" s="82"/>
      <c r="CS30" s="38"/>
      <c r="CT30" s="35">
        <f t="shared" si="4"/>
        <v>0</v>
      </c>
      <c r="CU30" s="35">
        <f t="shared" si="5"/>
        <v>5</v>
      </c>
      <c r="CV30" s="66">
        <f t="shared" si="6"/>
        <v>5</v>
      </c>
      <c r="CW30" s="55">
        <f t="shared" si="7"/>
        <v>0</v>
      </c>
      <c r="CX30" s="55">
        <f t="shared" si="8"/>
        <v>0</v>
      </c>
      <c r="CY30" s="65">
        <f t="shared" si="9"/>
        <v>0</v>
      </c>
      <c r="CZ30" s="82" t="e">
        <f t="shared" si="10"/>
        <v>#DIV/0!</v>
      </c>
      <c r="DB30" s="53">
        <v>161</v>
      </c>
      <c r="DC30" s="53">
        <v>160</v>
      </c>
      <c r="DD30" s="53">
        <f t="shared" si="11"/>
        <v>321</v>
      </c>
    </row>
    <row r="31" spans="1:108" ht="18" customHeight="1" x14ac:dyDescent="0.3">
      <c r="A31" s="98" t="s">
        <v>84</v>
      </c>
      <c r="B31" s="67">
        <f>VLOOKUP(A31,'MT- MNT TRACKER'!C:N,7,0)</f>
        <v>0</v>
      </c>
      <c r="C31" s="67">
        <f>VLOOKUP(A31,'MT- MNT TRACKER'!C:N,9,0)</f>
        <v>0</v>
      </c>
      <c r="D31" s="64">
        <f t="shared" si="1"/>
        <v>0</v>
      </c>
      <c r="E31" s="55">
        <v>10</v>
      </c>
      <c r="F31" s="55">
        <v>37</v>
      </c>
      <c r="G31" s="65">
        <f t="shared" si="2"/>
        <v>47</v>
      </c>
      <c r="H31" s="82">
        <f t="shared" si="3"/>
        <v>-1</v>
      </c>
      <c r="I31" s="38"/>
      <c r="J31" s="66"/>
      <c r="K31" s="66"/>
      <c r="L31" s="66"/>
      <c r="M31" s="55"/>
      <c r="N31" s="55"/>
      <c r="O31" s="65"/>
      <c r="P31" s="82"/>
      <c r="Q31" s="38"/>
      <c r="R31" s="66"/>
      <c r="S31" s="66"/>
      <c r="T31" s="66"/>
      <c r="U31" s="55"/>
      <c r="V31" s="55"/>
      <c r="W31" s="65"/>
      <c r="X31" s="82"/>
      <c r="Y31" s="38"/>
      <c r="Z31" s="66"/>
      <c r="AA31" s="66"/>
      <c r="AB31" s="66"/>
      <c r="AC31" s="55"/>
      <c r="AD31" s="55"/>
      <c r="AE31" s="65"/>
      <c r="AF31" s="82"/>
      <c r="AG31" s="38"/>
      <c r="AH31" s="66"/>
      <c r="AI31" s="66"/>
      <c r="AJ31" s="66"/>
      <c r="AK31" s="55"/>
      <c r="AL31" s="55"/>
      <c r="AM31" s="65"/>
      <c r="AN31" s="82"/>
      <c r="AP31" s="66"/>
      <c r="AQ31" s="66"/>
      <c r="AR31" s="66"/>
      <c r="AS31" s="65"/>
      <c r="AT31" s="65"/>
      <c r="AU31" s="65"/>
      <c r="AV31" s="82"/>
      <c r="AW31" s="38"/>
      <c r="AX31" s="66"/>
      <c r="AY31" s="66"/>
      <c r="AZ31" s="66"/>
      <c r="BA31" s="55"/>
      <c r="BB31" s="55"/>
      <c r="BC31" s="65"/>
      <c r="BD31" s="82"/>
      <c r="BE31" s="38"/>
      <c r="BF31" s="35"/>
      <c r="BG31" s="35"/>
      <c r="BH31" s="66"/>
      <c r="BI31" s="55"/>
      <c r="BJ31" s="55"/>
      <c r="BK31" s="65"/>
      <c r="BL31" s="82"/>
      <c r="BM31" s="38"/>
      <c r="BN31" s="35"/>
      <c r="BO31" s="35"/>
      <c r="BP31" s="66"/>
      <c r="BQ31" s="55"/>
      <c r="BR31" s="55"/>
      <c r="BS31" s="65"/>
      <c r="BT31" s="82"/>
      <c r="BU31" s="38"/>
      <c r="BV31" s="35"/>
      <c r="BW31" s="35"/>
      <c r="BX31" s="66"/>
      <c r="BY31" s="55"/>
      <c r="BZ31" s="55"/>
      <c r="CA31" s="65"/>
      <c r="CB31" s="82"/>
      <c r="CC31" s="38"/>
      <c r="CD31" s="66"/>
      <c r="CE31" s="66"/>
      <c r="CF31" s="66"/>
      <c r="CG31" s="55"/>
      <c r="CH31" s="55"/>
      <c r="CI31" s="65"/>
      <c r="CJ31" s="82"/>
      <c r="CK31" s="38"/>
      <c r="CL31" s="35"/>
      <c r="CM31" s="35"/>
      <c r="CN31" s="66"/>
      <c r="CO31" s="55"/>
      <c r="CP31" s="55"/>
      <c r="CQ31" s="65"/>
      <c r="CR31" s="82"/>
      <c r="CS31" s="38"/>
      <c r="CT31" s="35">
        <f t="shared" si="4"/>
        <v>0</v>
      </c>
      <c r="CU31" s="35">
        <f t="shared" si="5"/>
        <v>0</v>
      </c>
      <c r="CV31" s="66">
        <f t="shared" si="6"/>
        <v>0</v>
      </c>
      <c r="CW31" s="55">
        <f t="shared" si="7"/>
        <v>10</v>
      </c>
      <c r="CX31" s="55">
        <f t="shared" si="8"/>
        <v>37</v>
      </c>
      <c r="CY31" s="65">
        <f t="shared" si="9"/>
        <v>47</v>
      </c>
      <c r="CZ31" s="82">
        <f t="shared" si="10"/>
        <v>-1</v>
      </c>
      <c r="DB31" s="53">
        <v>213</v>
      </c>
      <c r="DC31" s="53">
        <v>552</v>
      </c>
      <c r="DD31" s="53">
        <f t="shared" si="11"/>
        <v>765</v>
      </c>
    </row>
    <row r="32" spans="1:108" s="36" customFormat="1" ht="18" customHeight="1" x14ac:dyDescent="0.3">
      <c r="A32" s="98" t="s">
        <v>13</v>
      </c>
      <c r="B32" s="64">
        <f>SUM(B4:B31)</f>
        <v>0</v>
      </c>
      <c r="C32" s="64">
        <f t="shared" ref="C32:D32" si="12">SUM(C4:C31)</f>
        <v>53</v>
      </c>
      <c r="D32" s="64">
        <f t="shared" si="12"/>
        <v>53</v>
      </c>
      <c r="E32" s="65">
        <f>SUM(E4:E31)</f>
        <v>314</v>
      </c>
      <c r="F32" s="65">
        <f t="shared" ref="F32:G32" si="13">SUM(F4:F31)</f>
        <v>357</v>
      </c>
      <c r="G32" s="65">
        <f t="shared" si="13"/>
        <v>671</v>
      </c>
      <c r="H32" s="82">
        <f t="shared" si="3"/>
        <v>-0.92101341281669147</v>
      </c>
      <c r="I32" s="38"/>
      <c r="J32" s="66"/>
      <c r="K32" s="66"/>
      <c r="L32" s="66"/>
      <c r="M32" s="65"/>
      <c r="N32" s="65"/>
      <c r="O32" s="65"/>
      <c r="P32" s="82"/>
      <c r="Q32" s="38"/>
      <c r="R32" s="66"/>
      <c r="S32" s="66"/>
      <c r="T32" s="66"/>
      <c r="U32" s="65"/>
      <c r="V32" s="65"/>
      <c r="W32" s="65"/>
      <c r="X32" s="82"/>
      <c r="Y32" s="38"/>
      <c r="Z32" s="66"/>
      <c r="AA32" s="66"/>
      <c r="AB32" s="66"/>
      <c r="AC32" s="65"/>
      <c r="AD32" s="65"/>
      <c r="AE32" s="65"/>
      <c r="AF32" s="82"/>
      <c r="AG32" s="38"/>
      <c r="AH32" s="66"/>
      <c r="AI32" s="66"/>
      <c r="AJ32" s="66"/>
      <c r="AK32" s="65"/>
      <c r="AL32" s="65"/>
      <c r="AM32" s="65"/>
      <c r="AN32" s="82"/>
      <c r="AP32" s="66"/>
      <c r="AQ32" s="66"/>
      <c r="AR32" s="66"/>
      <c r="AS32" s="65"/>
      <c r="AT32" s="65"/>
      <c r="AU32" s="65"/>
      <c r="AV32" s="82"/>
      <c r="AW32" s="38"/>
      <c r="AX32" s="66"/>
      <c r="AY32" s="66"/>
      <c r="AZ32" s="66"/>
      <c r="BA32" s="65"/>
      <c r="BB32" s="65"/>
      <c r="BC32" s="65"/>
      <c r="BD32" s="82"/>
      <c r="BE32" s="38"/>
      <c r="BF32" s="66"/>
      <c r="BG32" s="66"/>
      <c r="BH32" s="66"/>
      <c r="BI32" s="65"/>
      <c r="BJ32" s="65"/>
      <c r="BK32" s="65"/>
      <c r="BL32" s="82"/>
      <c r="BM32" s="38"/>
      <c r="BN32" s="66"/>
      <c r="BO32" s="66"/>
      <c r="BP32" s="66"/>
      <c r="BQ32" s="65"/>
      <c r="BR32" s="65"/>
      <c r="BS32" s="65"/>
      <c r="BT32" s="82"/>
      <c r="BU32" s="38"/>
      <c r="BV32" s="66"/>
      <c r="BW32" s="66"/>
      <c r="BX32" s="66"/>
      <c r="BY32" s="65"/>
      <c r="BZ32" s="65"/>
      <c r="CA32" s="65"/>
      <c r="CB32" s="82"/>
      <c r="CC32" s="38"/>
      <c r="CD32" s="66"/>
      <c r="CE32" s="66"/>
      <c r="CF32" s="66"/>
      <c r="CG32" s="65"/>
      <c r="CH32" s="65"/>
      <c r="CI32" s="65"/>
      <c r="CJ32" s="82"/>
      <c r="CK32" s="38"/>
      <c r="CL32" s="66"/>
      <c r="CM32" s="66"/>
      <c r="CN32" s="66"/>
      <c r="CO32" s="65"/>
      <c r="CP32" s="65"/>
      <c r="CQ32" s="65"/>
      <c r="CR32" s="82"/>
      <c r="CS32" s="38"/>
      <c r="CT32" s="66">
        <f t="shared" si="4"/>
        <v>0</v>
      </c>
      <c r="CU32" s="66">
        <f t="shared" si="5"/>
        <v>53</v>
      </c>
      <c r="CV32" s="66">
        <f t="shared" si="6"/>
        <v>53</v>
      </c>
      <c r="CW32" s="65">
        <f t="shared" si="7"/>
        <v>314</v>
      </c>
      <c r="CX32" s="65">
        <f t="shared" si="8"/>
        <v>357</v>
      </c>
      <c r="CY32" s="65">
        <f t="shared" si="9"/>
        <v>671</v>
      </c>
      <c r="CZ32" s="82">
        <f t="shared" si="10"/>
        <v>-0.92101341281669147</v>
      </c>
      <c r="DB32" s="53">
        <f>SUM(DB4:DB31)</f>
        <v>5051</v>
      </c>
      <c r="DC32" s="53">
        <f t="shared" ref="DC32:DD32" si="14">SUM(DC4:DC31)</f>
        <v>5352</v>
      </c>
      <c r="DD32" s="53">
        <f t="shared" si="14"/>
        <v>10403</v>
      </c>
    </row>
  </sheetData>
  <mergeCells count="35">
    <mergeCell ref="Z1:AF1"/>
    <mergeCell ref="R1:X1"/>
    <mergeCell ref="U2:W2"/>
    <mergeCell ref="DB1:DD1"/>
    <mergeCell ref="DB2:DD2"/>
    <mergeCell ref="CW2:CY2"/>
    <mergeCell ref="CT2:CV2"/>
    <mergeCell ref="E2:G2"/>
    <mergeCell ref="CO2:CQ2"/>
    <mergeCell ref="CL2:CN2"/>
    <mergeCell ref="CG2:CI2"/>
    <mergeCell ref="CD2:CF2"/>
    <mergeCell ref="BV2:BX2"/>
    <mergeCell ref="BY2:CA2"/>
    <mergeCell ref="BN2:BP2"/>
    <mergeCell ref="BQ2:BS2"/>
    <mergeCell ref="BF2:BH2"/>
    <mergeCell ref="B1:H1"/>
    <mergeCell ref="AP1:AV1"/>
    <mergeCell ref="AX2:AZ2"/>
    <mergeCell ref="BA2:BC2"/>
    <mergeCell ref="AS2:AU2"/>
    <mergeCell ref="BI2:BK2"/>
    <mergeCell ref="A1:A2"/>
    <mergeCell ref="B2:D2"/>
    <mergeCell ref="AP2:AR2"/>
    <mergeCell ref="AH1:AN1"/>
    <mergeCell ref="AH2:AJ2"/>
    <mergeCell ref="AK2:AM2"/>
    <mergeCell ref="J1:P1"/>
    <mergeCell ref="J2:L2"/>
    <mergeCell ref="M2:O2"/>
    <mergeCell ref="Z2:AB2"/>
    <mergeCell ref="AC2:AE2"/>
    <mergeCell ref="R2:T2"/>
  </mergeCells>
  <conditionalFormatting sqref="CZ4:CZ32">
    <cfRule type="containsErrors" dxfId="63" priority="32">
      <formula>ISERROR(CZ4)</formula>
    </cfRule>
  </conditionalFormatting>
  <conditionalFormatting sqref="DB1:DB2">
    <cfRule type="duplicateValues" dxfId="62" priority="31"/>
  </conditionalFormatting>
  <conditionalFormatting sqref="BT6:BT21">
    <cfRule type="containsErrors" dxfId="61" priority="26">
      <formula>ISERROR(BT6)</formula>
    </cfRule>
  </conditionalFormatting>
  <conditionalFormatting sqref="BL6:BL21">
    <cfRule type="containsErrors" dxfId="60" priority="25">
      <formula>ISERROR(BL6)</formula>
    </cfRule>
  </conditionalFormatting>
  <conditionalFormatting sqref="BD6:BD21">
    <cfRule type="containsErrors" dxfId="59" priority="24">
      <formula>ISERROR(BD6)</formula>
    </cfRule>
  </conditionalFormatting>
  <conditionalFormatting sqref="AV6:AV21">
    <cfRule type="containsErrors" dxfId="58" priority="23">
      <formula>ISERROR(AV6)</formula>
    </cfRule>
  </conditionalFormatting>
  <conditionalFormatting sqref="AN6:AN21">
    <cfRule type="containsErrors" dxfId="57" priority="22">
      <formula>ISERROR(AN6)</formula>
    </cfRule>
  </conditionalFormatting>
  <conditionalFormatting sqref="I6:I21 Y6:Y21 Q6:Q21">
    <cfRule type="containsErrors" dxfId="56" priority="21">
      <formula>ISERROR(I6)</formula>
    </cfRule>
  </conditionalFormatting>
  <conditionalFormatting sqref="CB4:CB21">
    <cfRule type="containsErrors" dxfId="55" priority="20">
      <formula>ISERROR(CB4)</formula>
    </cfRule>
  </conditionalFormatting>
  <conditionalFormatting sqref="CJ4:CJ21">
    <cfRule type="containsErrors" dxfId="54" priority="19">
      <formula>ISERROR(CJ4)</formula>
    </cfRule>
  </conditionalFormatting>
  <conditionalFormatting sqref="CR4:CR21">
    <cfRule type="containsErrors" dxfId="53" priority="18">
      <formula>ISERROR(CR4)</formula>
    </cfRule>
  </conditionalFormatting>
  <conditionalFormatting sqref="AF6:AF21">
    <cfRule type="containsErrors" dxfId="52" priority="17">
      <formula>ISERROR(AF6)</formula>
    </cfRule>
  </conditionalFormatting>
  <conditionalFormatting sqref="X6:X21">
    <cfRule type="containsErrors" dxfId="51" priority="16">
      <formula>ISERROR(X6)</formula>
    </cfRule>
  </conditionalFormatting>
  <conditionalFormatting sqref="H4:H32">
    <cfRule type="containsErrors" dxfId="50" priority="15">
      <formula>ISERROR(H4)</formula>
    </cfRule>
  </conditionalFormatting>
  <conditionalFormatting sqref="P7:P21">
    <cfRule type="containsErrors" dxfId="49" priority="14">
      <formula>ISERROR(P7)</formula>
    </cfRule>
  </conditionalFormatting>
  <conditionalFormatting sqref="BT22:BT32">
    <cfRule type="containsErrors" dxfId="48" priority="12">
      <formula>ISERROR(BT22)</formula>
    </cfRule>
  </conditionalFormatting>
  <conditionalFormatting sqref="BL22:BL32">
    <cfRule type="containsErrors" dxfId="47" priority="11">
      <formula>ISERROR(BL22)</formula>
    </cfRule>
  </conditionalFormatting>
  <conditionalFormatting sqref="BD22:BD32">
    <cfRule type="containsErrors" dxfId="46" priority="10">
      <formula>ISERROR(BD22)</formula>
    </cfRule>
  </conditionalFormatting>
  <conditionalFormatting sqref="AV22:AV32">
    <cfRule type="containsErrors" dxfId="45" priority="9">
      <formula>ISERROR(AV22)</formula>
    </cfRule>
  </conditionalFormatting>
  <conditionalFormatting sqref="AN22:AN32">
    <cfRule type="containsErrors" dxfId="44" priority="8">
      <formula>ISERROR(AN22)</formula>
    </cfRule>
  </conditionalFormatting>
  <conditionalFormatting sqref="I22:I32 Y22:Y32 Q22:Q32">
    <cfRule type="containsErrors" dxfId="43" priority="7">
      <formula>ISERROR(I22)</formula>
    </cfRule>
  </conditionalFormatting>
  <conditionalFormatting sqref="CB22:CB32">
    <cfRule type="containsErrors" dxfId="42" priority="6">
      <formula>ISERROR(CB22)</formula>
    </cfRule>
  </conditionalFormatting>
  <conditionalFormatting sqref="CJ22:CJ32">
    <cfRule type="containsErrors" dxfId="41" priority="5">
      <formula>ISERROR(CJ22)</formula>
    </cfRule>
  </conditionalFormatting>
  <conditionalFormatting sqref="CR22:CR32">
    <cfRule type="containsErrors" dxfId="40" priority="4">
      <formula>ISERROR(CR22)</formula>
    </cfRule>
  </conditionalFormatting>
  <conditionalFormatting sqref="AF22:AF32">
    <cfRule type="containsErrors" dxfId="39" priority="3">
      <formula>ISERROR(AF22)</formula>
    </cfRule>
  </conditionalFormatting>
  <conditionalFormatting sqref="X22:X32">
    <cfRule type="containsErrors" dxfId="38" priority="2">
      <formula>ISERROR(X22)</formula>
    </cfRule>
  </conditionalFormatting>
  <conditionalFormatting sqref="P22:P32">
    <cfRule type="containsErrors" dxfId="37" priority="1">
      <formula>ISERROR(P22)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30500-679C-459B-A7C9-A281568DACA7}">
  <sheetPr codeName="Sheet10"/>
  <dimension ref="A1:BC31"/>
  <sheetViews>
    <sheetView zoomScaleNormal="100" workbookViewId="0">
      <pane xSplit="1" ySplit="2" topLeftCell="B13" activePane="bottomRight" state="frozen"/>
      <selection sqref="A1:O1"/>
      <selection pane="topRight" sqref="A1:O1"/>
      <selection pane="bottomLeft" sqref="A1:O1"/>
      <selection pane="bottomRight" activeCell="D31" sqref="D31"/>
    </sheetView>
  </sheetViews>
  <sheetFormatPr defaultRowHeight="14.4" x14ac:dyDescent="0.3"/>
  <cols>
    <col min="1" max="1" width="20.5546875" customWidth="1"/>
    <col min="2" max="2" width="12" customWidth="1"/>
    <col min="3" max="3" width="12" bestFit="1" customWidth="1"/>
    <col min="4" max="4" width="10.21875" customWidth="1"/>
    <col min="5" max="5" width="1.44140625" customWidth="1"/>
    <col min="6" max="7" width="10.77734375" hidden="1" customWidth="1"/>
    <col min="8" max="8" width="10.21875" hidden="1" customWidth="1"/>
    <col min="9" max="9" width="1.44140625" hidden="1" customWidth="1"/>
    <col min="10" max="11" width="10.77734375" hidden="1" customWidth="1"/>
    <col min="12" max="12" width="10.21875" hidden="1" customWidth="1"/>
    <col min="13" max="13" width="1.44140625" hidden="1" customWidth="1"/>
    <col min="14" max="15" width="10.77734375" hidden="1" customWidth="1"/>
    <col min="16" max="16" width="10.21875" hidden="1" customWidth="1"/>
    <col min="17" max="17" width="1.44140625" hidden="1" customWidth="1"/>
    <col min="18" max="19" width="10.77734375" hidden="1" customWidth="1"/>
    <col min="20" max="20" width="10.21875" hidden="1" customWidth="1"/>
    <col min="21" max="21" width="1.44140625" hidden="1" customWidth="1"/>
    <col min="22" max="23" width="10.77734375" hidden="1" customWidth="1"/>
    <col min="24" max="24" width="10.21875" hidden="1" customWidth="1"/>
    <col min="25" max="25" width="1.44140625" hidden="1" customWidth="1"/>
    <col min="26" max="26" width="13.33203125" hidden="1" customWidth="1"/>
    <col min="27" max="27" width="10.77734375" hidden="1" customWidth="1"/>
    <col min="28" max="28" width="10.21875" hidden="1" customWidth="1"/>
    <col min="29" max="29" width="1.44140625" hidden="1" customWidth="1"/>
    <col min="30" max="31" width="10.77734375" hidden="1" customWidth="1"/>
    <col min="32" max="32" width="10.21875" hidden="1" customWidth="1"/>
    <col min="33" max="33" width="1.44140625" hidden="1" customWidth="1"/>
    <col min="34" max="35" width="10.77734375" hidden="1" customWidth="1"/>
    <col min="36" max="36" width="10.21875" hidden="1" customWidth="1"/>
    <col min="37" max="37" width="1.44140625" hidden="1" customWidth="1"/>
    <col min="38" max="39" width="10.77734375" hidden="1" customWidth="1"/>
    <col min="40" max="40" width="10.21875" hidden="1" customWidth="1"/>
    <col min="41" max="41" width="1.44140625" hidden="1" customWidth="1"/>
    <col min="42" max="43" width="10.77734375" hidden="1" customWidth="1"/>
    <col min="44" max="44" width="10.21875" hidden="1" customWidth="1"/>
    <col min="45" max="45" width="1.44140625" hidden="1" customWidth="1"/>
    <col min="46" max="47" width="10.77734375" hidden="1" customWidth="1"/>
    <col min="48" max="48" width="10.21875" hidden="1" customWidth="1"/>
    <col min="49" max="49" width="1.44140625" hidden="1" customWidth="1"/>
    <col min="50" max="50" width="12" hidden="1" customWidth="1"/>
    <col min="51" max="51" width="12.6640625" hidden="1" customWidth="1"/>
    <col min="52" max="52" width="10.21875" hidden="1" customWidth="1"/>
    <col min="53" max="53" width="1.5546875" hidden="1" customWidth="1"/>
    <col min="54" max="54" width="14.44140625" customWidth="1"/>
  </cols>
  <sheetData>
    <row r="1" spans="1:54" ht="15.6" x14ac:dyDescent="0.3">
      <c r="A1" s="99" t="s">
        <v>317</v>
      </c>
      <c r="B1" s="282" t="s">
        <v>318</v>
      </c>
      <c r="C1" s="282"/>
      <c r="D1" s="282"/>
      <c r="E1" s="39"/>
      <c r="F1" s="282"/>
      <c r="G1" s="282"/>
      <c r="H1" s="282"/>
      <c r="I1" s="39"/>
      <c r="J1" s="282"/>
      <c r="K1" s="282"/>
      <c r="L1" s="282"/>
      <c r="M1" s="39"/>
      <c r="N1" s="282"/>
      <c r="O1" s="282"/>
      <c r="P1" s="282"/>
      <c r="Q1" s="39"/>
      <c r="R1" s="282"/>
      <c r="S1" s="282"/>
      <c r="T1" s="282"/>
      <c r="V1" s="282"/>
      <c r="W1" s="282"/>
      <c r="X1" s="282"/>
      <c r="Y1" s="39"/>
      <c r="Z1" s="282"/>
      <c r="AA1" s="282"/>
      <c r="AB1" s="282"/>
      <c r="AC1" s="39"/>
      <c r="AD1" s="282"/>
      <c r="AE1" s="282"/>
      <c r="AF1" s="282"/>
      <c r="AG1" s="39"/>
      <c r="AH1" s="282"/>
      <c r="AI1" s="282"/>
      <c r="AJ1" s="282"/>
      <c r="AK1" s="39"/>
      <c r="AL1" s="282"/>
      <c r="AM1" s="282"/>
      <c r="AN1" s="282"/>
      <c r="AO1" s="39"/>
      <c r="AP1" s="282"/>
      <c r="AQ1" s="282"/>
      <c r="AR1" s="282"/>
      <c r="AS1" s="39"/>
      <c r="AT1" s="282" t="s">
        <v>104</v>
      </c>
      <c r="AU1" s="282"/>
      <c r="AV1" s="282"/>
      <c r="AW1" s="39"/>
      <c r="AX1" s="85"/>
      <c r="AY1" s="102" t="s">
        <v>41</v>
      </c>
      <c r="AZ1" s="85"/>
      <c r="BB1" s="85" t="s">
        <v>320</v>
      </c>
    </row>
    <row r="2" spans="1:54" ht="15.6" x14ac:dyDescent="0.3">
      <c r="A2" s="100" t="s">
        <v>85</v>
      </c>
      <c r="B2" s="134" t="s">
        <v>288</v>
      </c>
      <c r="C2" s="135" t="s">
        <v>269</v>
      </c>
      <c r="D2" s="85" t="s">
        <v>91</v>
      </c>
      <c r="E2" s="39"/>
      <c r="F2" s="86"/>
      <c r="G2" s="86"/>
      <c r="H2" s="85"/>
      <c r="I2" s="39"/>
      <c r="J2" s="86"/>
      <c r="K2" s="86"/>
      <c r="L2" s="85"/>
      <c r="M2" s="39"/>
      <c r="N2" s="86"/>
      <c r="O2" s="86"/>
      <c r="P2" s="86"/>
      <c r="Q2" s="39"/>
      <c r="R2" s="86"/>
      <c r="S2" s="86"/>
      <c r="T2" s="86"/>
      <c r="V2" s="86"/>
      <c r="W2" s="86"/>
      <c r="X2" s="86"/>
      <c r="Y2" s="39"/>
      <c r="Z2" s="86"/>
      <c r="AA2" s="86"/>
      <c r="AB2" s="86"/>
      <c r="AC2" s="39"/>
      <c r="AD2" s="53"/>
      <c r="AE2" s="87"/>
      <c r="AF2" s="85"/>
      <c r="AG2" s="39"/>
      <c r="AH2" s="86"/>
      <c r="AI2" s="87"/>
      <c r="AJ2" s="85"/>
      <c r="AK2" s="39"/>
      <c r="AL2" s="86"/>
      <c r="AM2" s="87"/>
      <c r="AN2" s="85"/>
      <c r="AO2" s="39"/>
      <c r="AP2" s="86"/>
      <c r="AQ2" s="87"/>
      <c r="AR2" s="85"/>
      <c r="AS2" s="39"/>
      <c r="AT2" s="86" t="s">
        <v>269</v>
      </c>
      <c r="AU2" s="87" t="s">
        <v>270</v>
      </c>
      <c r="AV2" s="85" t="s">
        <v>91</v>
      </c>
      <c r="AW2" s="39"/>
      <c r="AX2" s="86" t="s">
        <v>319</v>
      </c>
      <c r="AY2" s="87" t="s">
        <v>298</v>
      </c>
      <c r="AZ2" s="85" t="s">
        <v>91</v>
      </c>
      <c r="BB2" s="85" t="s">
        <v>101</v>
      </c>
    </row>
    <row r="3" spans="1:54" ht="18" customHeight="1" x14ac:dyDescent="0.3">
      <c r="A3" s="180" t="s">
        <v>0</v>
      </c>
      <c r="B3" s="101">
        <f>VLOOKUP(A3,'CHC Sales - YTD'!C:AD,6,0)</f>
        <v>768730</v>
      </c>
      <c r="C3" s="56">
        <v>14166460</v>
      </c>
      <c r="D3" s="82">
        <f t="shared" ref="D3" si="0">(B3-C3)/C3</f>
        <v>-0.94573591426510217</v>
      </c>
      <c r="E3" s="38"/>
      <c r="F3" s="53"/>
      <c r="G3" s="56"/>
      <c r="H3" s="82"/>
      <c r="I3" s="38"/>
      <c r="J3" s="53"/>
      <c r="K3" s="56"/>
      <c r="L3" s="82"/>
      <c r="M3" s="38"/>
      <c r="N3" s="53"/>
      <c r="O3" s="56"/>
      <c r="P3" s="82"/>
      <c r="Q3" s="40"/>
      <c r="R3" s="53"/>
      <c r="S3" s="56"/>
      <c r="T3" s="82"/>
      <c r="V3" s="53"/>
      <c r="W3" s="56"/>
      <c r="X3" s="82"/>
      <c r="Y3" s="40"/>
      <c r="Z3" s="53"/>
      <c r="AA3" s="56"/>
      <c r="AB3" s="82"/>
      <c r="AC3" s="40"/>
      <c r="AD3" s="53"/>
      <c r="AE3" s="56"/>
      <c r="AF3" s="82"/>
      <c r="AG3" s="40"/>
      <c r="AH3" s="53"/>
      <c r="AI3" s="56"/>
      <c r="AJ3" s="82"/>
      <c r="AK3" s="40"/>
      <c r="AL3" s="53"/>
      <c r="AM3" s="56"/>
      <c r="AN3" s="82"/>
      <c r="AO3" s="40"/>
      <c r="AP3" s="53"/>
      <c r="AQ3" s="56"/>
      <c r="AR3" s="82"/>
      <c r="AS3" s="40"/>
      <c r="AT3" s="53"/>
      <c r="AU3" s="56"/>
      <c r="AV3" s="82"/>
      <c r="AW3" s="40"/>
      <c r="AX3" s="53">
        <f>AT3+AP3+AL3+AH3+AD3+Z3+V3+R3+N3+J3+F3+B3</f>
        <v>768730</v>
      </c>
      <c r="AY3" s="56">
        <f>AU3+AQ3+AM3+AI3+AE3+AA3+W3+S3+O3+K3+G3+C3</f>
        <v>14166460</v>
      </c>
      <c r="AZ3" s="82">
        <f t="shared" ref="AZ3" si="1">(AX3-AY3)/AY3</f>
        <v>-0.94573591426510217</v>
      </c>
      <c r="BA3" s="54"/>
      <c r="BB3" s="53">
        <v>128618523</v>
      </c>
    </row>
    <row r="4" spans="1:54" ht="18" customHeight="1" x14ac:dyDescent="0.3">
      <c r="A4" s="96" t="s">
        <v>1</v>
      </c>
      <c r="B4" s="101">
        <f>VLOOKUP(A4,'CHC Sales - YTD'!C:AD,6,0)</f>
        <v>138100</v>
      </c>
      <c r="C4" s="56">
        <v>2728920</v>
      </c>
      <c r="D4" s="82">
        <f t="shared" ref="D4:D30" si="2">(B4-C4)/C4</f>
        <v>-0.94939389941808483</v>
      </c>
      <c r="E4" s="38"/>
      <c r="F4" s="53"/>
      <c r="G4" s="56"/>
      <c r="H4" s="82"/>
      <c r="I4" s="38"/>
      <c r="J4" s="53"/>
      <c r="K4" s="56"/>
      <c r="L4" s="82"/>
      <c r="M4" s="38"/>
      <c r="N4" s="53"/>
      <c r="O4" s="56"/>
      <c r="P4" s="82"/>
      <c r="Q4" s="40"/>
      <c r="R4" s="53"/>
      <c r="S4" s="56"/>
      <c r="T4" s="82"/>
      <c r="V4" s="53"/>
      <c r="W4" s="56"/>
      <c r="X4" s="82"/>
      <c r="Y4" s="40"/>
      <c r="Z4" s="53"/>
      <c r="AA4" s="56"/>
      <c r="AB4" s="82"/>
      <c r="AC4" s="40"/>
      <c r="AD4" s="53"/>
      <c r="AE4" s="56"/>
      <c r="AF4" s="82"/>
      <c r="AG4" s="40"/>
      <c r="AH4" s="53"/>
      <c r="AI4" s="56"/>
      <c r="AJ4" s="82"/>
      <c r="AK4" s="40"/>
      <c r="AL4" s="53"/>
      <c r="AM4" s="56"/>
      <c r="AN4" s="82"/>
      <c r="AO4" s="40"/>
      <c r="AP4" s="53"/>
      <c r="AQ4" s="56"/>
      <c r="AR4" s="82"/>
      <c r="AS4" s="40"/>
      <c r="AT4" s="53"/>
      <c r="AU4" s="56"/>
      <c r="AV4" s="82"/>
      <c r="AW4" s="40"/>
      <c r="AX4" s="53">
        <f t="shared" ref="AX4:AX21" si="3">AT4+AP4+AL4+AH4+AD4+Z4+V4+R4+N4+J4+F4+B4</f>
        <v>138100</v>
      </c>
      <c r="AY4" s="56">
        <f t="shared" ref="AY4:AY21" si="4">AU4+AQ4+AM4+AI4+AE4+AA4+W4+S4+O4+K4+G4+C4</f>
        <v>2728920</v>
      </c>
      <c r="AZ4" s="82">
        <f t="shared" ref="AZ4:AZ21" si="5">(AX4-AY4)/AY4</f>
        <v>-0.94939389941808483</v>
      </c>
      <c r="BB4" s="53">
        <v>36359350</v>
      </c>
    </row>
    <row r="5" spans="1:54" ht="18" customHeight="1" x14ac:dyDescent="0.3">
      <c r="A5" s="96" t="s">
        <v>2</v>
      </c>
      <c r="B5" s="101">
        <f>VLOOKUP(A5,'CHC Sales - YTD'!C:AD,6,0)</f>
        <v>242149</v>
      </c>
      <c r="C5" s="56">
        <v>2685300</v>
      </c>
      <c r="D5" s="82">
        <f t="shared" si="2"/>
        <v>-0.90982422820541464</v>
      </c>
      <c r="E5" s="38"/>
      <c r="F5" s="53"/>
      <c r="G5" s="56"/>
      <c r="H5" s="82"/>
      <c r="I5" s="38"/>
      <c r="J5" s="53"/>
      <c r="K5" s="56"/>
      <c r="L5" s="82"/>
      <c r="M5" s="38"/>
      <c r="N5" s="53"/>
      <c r="O5" s="56"/>
      <c r="P5" s="82"/>
      <c r="Q5" s="40"/>
      <c r="R5" s="53"/>
      <c r="S5" s="56"/>
      <c r="T5" s="82"/>
      <c r="V5" s="53"/>
      <c r="W5" s="56"/>
      <c r="X5" s="82"/>
      <c r="Y5" s="40"/>
      <c r="Z5" s="53"/>
      <c r="AA5" s="56"/>
      <c r="AB5" s="82"/>
      <c r="AC5" s="40"/>
      <c r="AD5" s="53"/>
      <c r="AE5" s="56"/>
      <c r="AF5" s="82"/>
      <c r="AG5" s="40"/>
      <c r="AH5" s="53"/>
      <c r="AI5" s="56"/>
      <c r="AJ5" s="82"/>
      <c r="AK5" s="40"/>
      <c r="AL5" s="53"/>
      <c r="AM5" s="56"/>
      <c r="AN5" s="82"/>
      <c r="AO5" s="40"/>
      <c r="AP5" s="53"/>
      <c r="AQ5" s="56"/>
      <c r="AR5" s="82"/>
      <c r="AS5" s="40"/>
      <c r="AT5" s="53"/>
      <c r="AU5" s="56"/>
      <c r="AV5" s="82"/>
      <c r="AW5" s="40"/>
      <c r="AX5" s="53">
        <f t="shared" si="3"/>
        <v>242149</v>
      </c>
      <c r="AY5" s="56">
        <f t="shared" si="4"/>
        <v>2685300</v>
      </c>
      <c r="AZ5" s="82">
        <f t="shared" si="5"/>
        <v>-0.90982422820541464</v>
      </c>
      <c r="BB5" s="53">
        <v>42663042</v>
      </c>
    </row>
    <row r="6" spans="1:54" ht="18" customHeight="1" x14ac:dyDescent="0.3">
      <c r="A6" s="96" t="s">
        <v>3</v>
      </c>
      <c r="B6" s="101">
        <f>VLOOKUP(A6,'CHC Sales - YTD'!C:AD,6,0)</f>
        <v>24550</v>
      </c>
      <c r="C6" s="56">
        <v>1202700</v>
      </c>
      <c r="D6" s="82">
        <f t="shared" si="2"/>
        <v>-0.97958759457886424</v>
      </c>
      <c r="E6" s="38"/>
      <c r="F6" s="53"/>
      <c r="G6" s="56"/>
      <c r="H6" s="82"/>
      <c r="I6" s="38"/>
      <c r="J6" s="53"/>
      <c r="K6" s="56"/>
      <c r="L6" s="82"/>
      <c r="M6" s="38"/>
      <c r="N6" s="53"/>
      <c r="O6" s="56"/>
      <c r="P6" s="82"/>
      <c r="Q6" s="40"/>
      <c r="R6" s="53"/>
      <c r="S6" s="56"/>
      <c r="T6" s="82"/>
      <c r="V6" s="53"/>
      <c r="W6" s="56"/>
      <c r="X6" s="82"/>
      <c r="Y6" s="40"/>
      <c r="Z6" s="53"/>
      <c r="AA6" s="56"/>
      <c r="AB6" s="82"/>
      <c r="AC6" s="40"/>
      <c r="AD6" s="53"/>
      <c r="AE6" s="56"/>
      <c r="AF6" s="82"/>
      <c r="AG6" s="40"/>
      <c r="AH6" s="53"/>
      <c r="AI6" s="56"/>
      <c r="AJ6" s="82"/>
      <c r="AK6" s="40"/>
      <c r="AL6" s="53"/>
      <c r="AM6" s="56"/>
      <c r="AN6" s="82"/>
      <c r="AO6" s="40"/>
      <c r="AP6" s="53"/>
      <c r="AQ6" s="56"/>
      <c r="AR6" s="82"/>
      <c r="AS6" s="40"/>
      <c r="AT6" s="53"/>
      <c r="AU6" s="56"/>
      <c r="AV6" s="82"/>
      <c r="AW6" s="40"/>
      <c r="AX6" s="53">
        <f t="shared" si="3"/>
        <v>24550</v>
      </c>
      <c r="AY6" s="56">
        <f t="shared" si="4"/>
        <v>1202700</v>
      </c>
      <c r="AZ6" s="82">
        <f t="shared" si="5"/>
        <v>-0.97958759457886424</v>
      </c>
      <c r="BB6" s="53">
        <v>16747110</v>
      </c>
    </row>
    <row r="7" spans="1:54" ht="18" customHeight="1" x14ac:dyDescent="0.3">
      <c r="A7" s="96" t="s">
        <v>46</v>
      </c>
      <c r="B7" s="101">
        <f>VLOOKUP(A7,'CHC Sales - YTD'!C:AD,6,0)</f>
        <v>338050</v>
      </c>
      <c r="C7" s="56">
        <v>2152000</v>
      </c>
      <c r="D7" s="82">
        <f t="shared" si="2"/>
        <v>-0.8429135687732342</v>
      </c>
      <c r="E7" s="38"/>
      <c r="F7" s="53"/>
      <c r="G7" s="56"/>
      <c r="H7" s="82"/>
      <c r="I7" s="38"/>
      <c r="J7" s="53"/>
      <c r="K7" s="56"/>
      <c r="L7" s="82"/>
      <c r="M7" s="38"/>
      <c r="N7" s="53"/>
      <c r="O7" s="56"/>
      <c r="P7" s="82"/>
      <c r="Q7" s="40"/>
      <c r="R7" s="53"/>
      <c r="S7" s="56"/>
      <c r="T7" s="82"/>
      <c r="V7" s="53"/>
      <c r="W7" s="56"/>
      <c r="X7" s="82"/>
      <c r="Y7" s="40"/>
      <c r="Z7" s="53"/>
      <c r="AA7" s="56"/>
      <c r="AB7" s="82"/>
      <c r="AC7" s="40"/>
      <c r="AD7" s="53"/>
      <c r="AE7" s="56"/>
      <c r="AF7" s="82"/>
      <c r="AG7" s="40"/>
      <c r="AH7" s="53"/>
      <c r="AI7" s="56"/>
      <c r="AJ7" s="82"/>
      <c r="AK7" s="40"/>
      <c r="AL7" s="53"/>
      <c r="AM7" s="56"/>
      <c r="AN7" s="82"/>
      <c r="AO7" s="40"/>
      <c r="AP7" s="53"/>
      <c r="AQ7" s="56"/>
      <c r="AR7" s="82"/>
      <c r="AS7" s="40"/>
      <c r="AT7" s="53"/>
      <c r="AU7" s="56"/>
      <c r="AV7" s="82"/>
      <c r="AW7" s="40"/>
      <c r="AX7" s="53">
        <f t="shared" si="3"/>
        <v>338050</v>
      </c>
      <c r="AY7" s="56">
        <f t="shared" si="4"/>
        <v>2152000</v>
      </c>
      <c r="AZ7" s="82">
        <f t="shared" si="5"/>
        <v>-0.8429135687732342</v>
      </c>
      <c r="BB7" s="53">
        <v>31482617</v>
      </c>
    </row>
    <row r="8" spans="1:54" ht="18" customHeight="1" x14ac:dyDescent="0.3">
      <c r="A8" s="96" t="s">
        <v>301</v>
      </c>
      <c r="B8" s="101">
        <f>VLOOKUP(A8,'CHC Sales - YTD'!C:AD,6,0)</f>
        <v>0</v>
      </c>
      <c r="C8" s="56">
        <v>0</v>
      </c>
      <c r="D8" s="82" t="e">
        <f t="shared" si="2"/>
        <v>#DIV/0!</v>
      </c>
      <c r="E8" s="38"/>
      <c r="F8" s="53"/>
      <c r="G8" s="56"/>
      <c r="H8" s="82"/>
      <c r="I8" s="38"/>
      <c r="J8" s="53"/>
      <c r="K8" s="56"/>
      <c r="L8" s="82"/>
      <c r="M8" s="38"/>
      <c r="N8" s="53"/>
      <c r="O8" s="56"/>
      <c r="P8" s="82"/>
      <c r="Q8" s="40"/>
      <c r="R8" s="53"/>
      <c r="S8" s="56"/>
      <c r="T8" s="82"/>
      <c r="V8" s="53"/>
      <c r="W8" s="56"/>
      <c r="X8" s="82"/>
      <c r="Y8" s="40"/>
      <c r="Z8" s="53"/>
      <c r="AA8" s="56"/>
      <c r="AB8" s="82"/>
      <c r="AC8" s="40"/>
      <c r="AD8" s="53"/>
      <c r="AE8" s="56"/>
      <c r="AF8" s="82"/>
      <c r="AG8" s="40"/>
      <c r="AH8" s="53"/>
      <c r="AI8" s="56"/>
      <c r="AJ8" s="82"/>
      <c r="AK8" s="40"/>
      <c r="AL8" s="53"/>
      <c r="AM8" s="56"/>
      <c r="AN8" s="82"/>
      <c r="AO8" s="40"/>
      <c r="AP8" s="53"/>
      <c r="AQ8" s="56"/>
      <c r="AR8" s="82"/>
      <c r="AS8" s="40"/>
      <c r="AT8" s="53"/>
      <c r="AU8" s="56"/>
      <c r="AV8" s="82"/>
      <c r="AW8" s="40"/>
      <c r="AX8" s="53">
        <f t="shared" si="3"/>
        <v>0</v>
      </c>
      <c r="AY8" s="56">
        <f t="shared" si="4"/>
        <v>0</v>
      </c>
      <c r="AZ8" s="82" t="e">
        <f t="shared" si="5"/>
        <v>#DIV/0!</v>
      </c>
      <c r="BB8" s="53">
        <v>8338597</v>
      </c>
    </row>
    <row r="9" spans="1:54" ht="18" customHeight="1" x14ac:dyDescent="0.3">
      <c r="A9" s="96" t="s">
        <v>302</v>
      </c>
      <c r="B9" s="101">
        <f>VLOOKUP(A9,'CHC Sales - YTD'!C:AD,6,0)</f>
        <v>174200.31</v>
      </c>
      <c r="C9" s="56">
        <v>4892251</v>
      </c>
      <c r="D9" s="82">
        <f t="shared" si="2"/>
        <v>-0.96439260577595065</v>
      </c>
      <c r="E9" s="38"/>
      <c r="F9" s="53"/>
      <c r="G9" s="56"/>
      <c r="H9" s="82"/>
      <c r="I9" s="38"/>
      <c r="J9" s="53"/>
      <c r="K9" s="56"/>
      <c r="L9" s="82"/>
      <c r="M9" s="38"/>
      <c r="N9" s="53"/>
      <c r="O9" s="56"/>
      <c r="P9" s="82"/>
      <c r="Q9" s="40"/>
      <c r="R9" s="53"/>
      <c r="S9" s="56"/>
      <c r="T9" s="82"/>
      <c r="V9" s="53"/>
      <c r="W9" s="56"/>
      <c r="X9" s="82"/>
      <c r="Y9" s="40"/>
      <c r="Z9" s="53"/>
      <c r="AA9" s="56"/>
      <c r="AB9" s="82"/>
      <c r="AC9" s="40"/>
      <c r="AD9" s="53"/>
      <c r="AE9" s="56"/>
      <c r="AF9" s="82"/>
      <c r="AG9" s="40"/>
      <c r="AH9" s="53"/>
      <c r="AI9" s="56"/>
      <c r="AJ9" s="82"/>
      <c r="AK9" s="40"/>
      <c r="AL9" s="53"/>
      <c r="AM9" s="56"/>
      <c r="AN9" s="82"/>
      <c r="AO9" s="40"/>
      <c r="AP9" s="53"/>
      <c r="AQ9" s="56"/>
      <c r="AR9" s="82"/>
      <c r="AS9" s="40"/>
      <c r="AT9" s="53"/>
      <c r="AU9" s="56"/>
      <c r="AV9" s="82"/>
      <c r="AW9" s="40"/>
      <c r="AX9" s="53">
        <f t="shared" si="3"/>
        <v>174200.31</v>
      </c>
      <c r="AY9" s="56">
        <f t="shared" si="4"/>
        <v>4892251</v>
      </c>
      <c r="AZ9" s="82">
        <f t="shared" si="5"/>
        <v>-0.96439260577595065</v>
      </c>
      <c r="BB9" s="53">
        <v>57862575</v>
      </c>
    </row>
    <row r="10" spans="1:54" ht="18" customHeight="1" x14ac:dyDescent="0.3">
      <c r="A10" s="96" t="s">
        <v>4</v>
      </c>
      <c r="B10" s="101">
        <f>VLOOKUP(A10,'CHC Sales - YTD'!C:AD,6,0)</f>
        <v>1077299</v>
      </c>
      <c r="C10" s="56">
        <v>3479870</v>
      </c>
      <c r="D10" s="82">
        <f t="shared" si="2"/>
        <v>-0.69041975705989012</v>
      </c>
      <c r="E10" s="38"/>
      <c r="F10" s="53"/>
      <c r="G10" s="56"/>
      <c r="H10" s="82"/>
      <c r="I10" s="38"/>
      <c r="J10" s="53"/>
      <c r="K10" s="56"/>
      <c r="L10" s="82"/>
      <c r="M10" s="38"/>
      <c r="N10" s="53"/>
      <c r="O10" s="56"/>
      <c r="P10" s="82"/>
      <c r="Q10" s="40"/>
      <c r="R10" s="53"/>
      <c r="S10" s="56"/>
      <c r="T10" s="82"/>
      <c r="V10" s="53"/>
      <c r="W10" s="56"/>
      <c r="X10" s="82"/>
      <c r="Y10" s="40"/>
      <c r="Z10" s="53"/>
      <c r="AA10" s="56"/>
      <c r="AB10" s="82"/>
      <c r="AC10" s="40"/>
      <c r="AD10" s="53"/>
      <c r="AE10" s="56"/>
      <c r="AF10" s="82"/>
      <c r="AG10" s="40"/>
      <c r="AH10" s="53"/>
      <c r="AI10" s="56"/>
      <c r="AJ10" s="82"/>
      <c r="AK10" s="40"/>
      <c r="AL10" s="53"/>
      <c r="AM10" s="56"/>
      <c r="AN10" s="82"/>
      <c r="AO10" s="40"/>
      <c r="AP10" s="53"/>
      <c r="AQ10" s="56"/>
      <c r="AR10" s="82"/>
      <c r="AS10" s="40"/>
      <c r="AT10" s="53"/>
      <c r="AU10" s="56"/>
      <c r="AV10" s="82"/>
      <c r="AW10" s="40"/>
      <c r="AX10" s="53">
        <f t="shared" si="3"/>
        <v>1077299</v>
      </c>
      <c r="AY10" s="56">
        <f t="shared" si="4"/>
        <v>3479870</v>
      </c>
      <c r="AZ10" s="82">
        <f t="shared" si="5"/>
        <v>-0.69041975705989012</v>
      </c>
      <c r="BB10" s="53">
        <v>64845350</v>
      </c>
    </row>
    <row r="11" spans="1:54" ht="18" customHeight="1" x14ac:dyDescent="0.3">
      <c r="A11" s="96" t="s">
        <v>303</v>
      </c>
      <c r="B11" s="101">
        <f>VLOOKUP(A11,'CHC Sales - YTD'!C:AD,6,0)</f>
        <v>381320</v>
      </c>
      <c r="C11" s="56">
        <v>5953530</v>
      </c>
      <c r="D11" s="82">
        <f t="shared" si="2"/>
        <v>-0.93595060409538544</v>
      </c>
      <c r="E11" s="38"/>
      <c r="F11" s="53"/>
      <c r="G11" s="56"/>
      <c r="H11" s="82"/>
      <c r="I11" s="38"/>
      <c r="J11" s="53"/>
      <c r="K11" s="56"/>
      <c r="L11" s="82"/>
      <c r="M11" s="38"/>
      <c r="N11" s="53"/>
      <c r="O11" s="56"/>
      <c r="P11" s="82"/>
      <c r="Q11" s="40"/>
      <c r="R11" s="53"/>
      <c r="S11" s="56"/>
      <c r="T11" s="82"/>
      <c r="V11" s="53"/>
      <c r="W11" s="56"/>
      <c r="X11" s="82"/>
      <c r="Y11" s="40"/>
      <c r="Z11" s="53"/>
      <c r="AA11" s="56"/>
      <c r="AB11" s="82"/>
      <c r="AC11" s="40"/>
      <c r="AD11" s="53"/>
      <c r="AE11" s="56"/>
      <c r="AF11" s="82"/>
      <c r="AG11" s="40"/>
      <c r="AH11" s="53"/>
      <c r="AI11" s="56"/>
      <c r="AJ11" s="82"/>
      <c r="AK11" s="40"/>
      <c r="AL11" s="53"/>
      <c r="AM11" s="56"/>
      <c r="AN11" s="82"/>
      <c r="AO11" s="40"/>
      <c r="AP11" s="53"/>
      <c r="AQ11" s="56"/>
      <c r="AR11" s="82"/>
      <c r="AS11" s="40"/>
      <c r="AT11" s="53"/>
      <c r="AU11" s="56"/>
      <c r="AV11" s="82"/>
      <c r="AW11" s="40"/>
      <c r="AX11" s="53">
        <f t="shared" si="3"/>
        <v>381320</v>
      </c>
      <c r="AY11" s="56">
        <f t="shared" si="4"/>
        <v>5953530</v>
      </c>
      <c r="AZ11" s="82">
        <f t="shared" si="5"/>
        <v>-0.93595060409538544</v>
      </c>
      <c r="BB11" s="53">
        <v>78836099</v>
      </c>
    </row>
    <row r="12" spans="1:54" ht="18" customHeight="1" x14ac:dyDescent="0.3">
      <c r="A12" s="96" t="s">
        <v>273</v>
      </c>
      <c r="B12" s="101">
        <f>VLOOKUP(A12,'CHC Sales - YTD'!C:AD,6,0)</f>
        <v>20550</v>
      </c>
      <c r="C12" s="56">
        <v>0</v>
      </c>
      <c r="D12" s="82" t="e">
        <f t="shared" si="2"/>
        <v>#DIV/0!</v>
      </c>
      <c r="E12" s="38"/>
      <c r="F12" s="53"/>
      <c r="G12" s="56"/>
      <c r="H12" s="82"/>
      <c r="I12" s="38"/>
      <c r="J12" s="53"/>
      <c r="K12" s="56"/>
      <c r="L12" s="82"/>
      <c r="M12" s="38"/>
      <c r="N12" s="53"/>
      <c r="O12" s="56"/>
      <c r="P12" s="82"/>
      <c r="Q12" s="40"/>
      <c r="R12" s="53"/>
      <c r="S12" s="56"/>
      <c r="T12" s="82"/>
      <c r="V12" s="53"/>
      <c r="W12" s="56"/>
      <c r="X12" s="82"/>
      <c r="Y12" s="40"/>
      <c r="Z12" s="53"/>
      <c r="AA12" s="56"/>
      <c r="AB12" s="82"/>
      <c r="AC12" s="40"/>
      <c r="AD12" s="53"/>
      <c r="AE12" s="56"/>
      <c r="AF12" s="82"/>
      <c r="AG12" s="40"/>
      <c r="AH12" s="53"/>
      <c r="AI12" s="56"/>
      <c r="AJ12" s="82"/>
      <c r="AK12" s="40"/>
      <c r="AL12" s="53"/>
      <c r="AM12" s="56"/>
      <c r="AN12" s="82"/>
      <c r="AO12" s="40"/>
      <c r="AP12" s="53"/>
      <c r="AQ12" s="56"/>
      <c r="AR12" s="82"/>
      <c r="AS12" s="40"/>
      <c r="AT12" s="53"/>
      <c r="AU12" s="56"/>
      <c r="AV12" s="82"/>
      <c r="AW12" s="40"/>
      <c r="AX12" s="53">
        <f t="shared" si="3"/>
        <v>20550</v>
      </c>
      <c r="AY12" s="56">
        <f t="shared" si="4"/>
        <v>0</v>
      </c>
      <c r="AZ12" s="82" t="e">
        <f t="shared" si="5"/>
        <v>#DIV/0!</v>
      </c>
      <c r="BB12" s="53">
        <v>3363190</v>
      </c>
    </row>
    <row r="13" spans="1:54" ht="18" customHeight="1" x14ac:dyDescent="0.3">
      <c r="A13" s="96" t="s">
        <v>5</v>
      </c>
      <c r="B13" s="101">
        <f>VLOOKUP(A13,'CHC Sales - YTD'!C:AD,6,0)</f>
        <v>187950.06</v>
      </c>
      <c r="C13" s="56">
        <v>3010011</v>
      </c>
      <c r="D13" s="82">
        <f t="shared" si="2"/>
        <v>-0.9375583477934134</v>
      </c>
      <c r="E13" s="38"/>
      <c r="F13" s="53"/>
      <c r="G13" s="56"/>
      <c r="H13" s="82"/>
      <c r="I13" s="38"/>
      <c r="J13" s="53"/>
      <c r="K13" s="56"/>
      <c r="L13" s="82"/>
      <c r="M13" s="38"/>
      <c r="N13" s="53"/>
      <c r="O13" s="56"/>
      <c r="P13" s="82"/>
      <c r="Q13" s="40"/>
      <c r="R13" s="53"/>
      <c r="S13" s="56"/>
      <c r="T13" s="82"/>
      <c r="V13" s="53"/>
      <c r="W13" s="56"/>
      <c r="X13" s="82"/>
      <c r="Y13" s="40"/>
      <c r="Z13" s="53"/>
      <c r="AA13" s="56"/>
      <c r="AB13" s="82"/>
      <c r="AC13" s="40"/>
      <c r="AD13" s="53"/>
      <c r="AE13" s="56"/>
      <c r="AF13" s="82"/>
      <c r="AG13" s="40"/>
      <c r="AH13" s="53"/>
      <c r="AI13" s="56"/>
      <c r="AJ13" s="82"/>
      <c r="AK13" s="40"/>
      <c r="AL13" s="53"/>
      <c r="AM13" s="56"/>
      <c r="AN13" s="82"/>
      <c r="AO13" s="40"/>
      <c r="AP13" s="53"/>
      <c r="AQ13" s="56"/>
      <c r="AR13" s="82"/>
      <c r="AS13" s="40"/>
      <c r="AT13" s="53"/>
      <c r="AU13" s="56"/>
      <c r="AV13" s="82"/>
      <c r="AW13" s="40"/>
      <c r="AX13" s="53">
        <f t="shared" si="3"/>
        <v>187950.06</v>
      </c>
      <c r="AY13" s="56">
        <f t="shared" si="4"/>
        <v>3010011</v>
      </c>
      <c r="AZ13" s="82">
        <f t="shared" si="5"/>
        <v>-0.9375583477934134</v>
      </c>
      <c r="BB13" s="53">
        <v>36916482</v>
      </c>
    </row>
    <row r="14" spans="1:54" ht="18" customHeight="1" x14ac:dyDescent="0.3">
      <c r="A14" s="96" t="s">
        <v>6</v>
      </c>
      <c r="B14" s="101">
        <f>VLOOKUP(A14,'CHC Sales - YTD'!C:AD,6,0)</f>
        <v>383750</v>
      </c>
      <c r="C14" s="56">
        <v>3543770</v>
      </c>
      <c r="D14" s="82">
        <f t="shared" si="2"/>
        <v>-0.89171136953018959</v>
      </c>
      <c r="E14" s="38"/>
      <c r="F14" s="53"/>
      <c r="G14" s="56"/>
      <c r="H14" s="82"/>
      <c r="I14" s="38"/>
      <c r="J14" s="53"/>
      <c r="K14" s="56"/>
      <c r="L14" s="82"/>
      <c r="M14" s="38"/>
      <c r="N14" s="53"/>
      <c r="O14" s="56"/>
      <c r="P14" s="82"/>
      <c r="Q14" s="40"/>
      <c r="R14" s="53"/>
      <c r="S14" s="56"/>
      <c r="T14" s="82"/>
      <c r="V14" s="53"/>
      <c r="W14" s="56"/>
      <c r="X14" s="82"/>
      <c r="Y14" s="40"/>
      <c r="Z14" s="53"/>
      <c r="AA14" s="56"/>
      <c r="AB14" s="82"/>
      <c r="AC14" s="40"/>
      <c r="AD14" s="53"/>
      <c r="AE14" s="56"/>
      <c r="AF14" s="82"/>
      <c r="AG14" s="40"/>
      <c r="AH14" s="53"/>
      <c r="AI14" s="56"/>
      <c r="AJ14" s="82"/>
      <c r="AK14" s="40"/>
      <c r="AL14" s="53"/>
      <c r="AM14" s="56"/>
      <c r="AN14" s="82"/>
      <c r="AO14" s="40"/>
      <c r="AP14" s="53"/>
      <c r="AQ14" s="56"/>
      <c r="AR14" s="82"/>
      <c r="AS14" s="40"/>
      <c r="AT14" s="53"/>
      <c r="AU14" s="56"/>
      <c r="AV14" s="82"/>
      <c r="AW14" s="40"/>
      <c r="AX14" s="53">
        <f t="shared" si="3"/>
        <v>383750</v>
      </c>
      <c r="AY14" s="56">
        <f t="shared" si="4"/>
        <v>3543770</v>
      </c>
      <c r="AZ14" s="82">
        <f t="shared" si="5"/>
        <v>-0.89171136953018959</v>
      </c>
      <c r="BB14" s="53">
        <v>44797792</v>
      </c>
    </row>
    <row r="15" spans="1:54" ht="18" customHeight="1" x14ac:dyDescent="0.3">
      <c r="A15" s="96" t="s">
        <v>44</v>
      </c>
      <c r="B15" s="101">
        <f>VLOOKUP(A15,'CHC Sales - YTD'!C:AD,6,0)</f>
        <v>393400</v>
      </c>
      <c r="C15" s="56">
        <v>2102600</v>
      </c>
      <c r="D15" s="82">
        <f t="shared" si="2"/>
        <v>-0.81289831637020826</v>
      </c>
      <c r="E15" s="38"/>
      <c r="F15" s="53"/>
      <c r="G15" s="56"/>
      <c r="H15" s="82"/>
      <c r="I15" s="38"/>
      <c r="J15" s="53"/>
      <c r="K15" s="56"/>
      <c r="L15" s="82"/>
      <c r="M15" s="38"/>
      <c r="N15" s="53"/>
      <c r="O15" s="56"/>
      <c r="P15" s="82"/>
      <c r="Q15" s="40"/>
      <c r="R15" s="53"/>
      <c r="S15" s="56"/>
      <c r="T15" s="82"/>
      <c r="V15" s="53"/>
      <c r="W15" s="56"/>
      <c r="X15" s="82"/>
      <c r="Y15" s="40"/>
      <c r="Z15" s="53"/>
      <c r="AA15" s="56"/>
      <c r="AB15" s="82"/>
      <c r="AC15" s="40"/>
      <c r="AD15" s="53"/>
      <c r="AE15" s="56"/>
      <c r="AF15" s="82"/>
      <c r="AG15" s="40"/>
      <c r="AH15" s="53"/>
      <c r="AI15" s="56"/>
      <c r="AJ15" s="82"/>
      <c r="AK15" s="40"/>
      <c r="AL15" s="53"/>
      <c r="AM15" s="56"/>
      <c r="AN15" s="82"/>
      <c r="AO15" s="40"/>
      <c r="AP15" s="53"/>
      <c r="AQ15" s="56"/>
      <c r="AR15" s="82"/>
      <c r="AS15" s="40"/>
      <c r="AT15" s="53"/>
      <c r="AU15" s="56"/>
      <c r="AV15" s="82"/>
      <c r="AW15" s="40"/>
      <c r="AX15" s="53">
        <f t="shared" si="3"/>
        <v>393400</v>
      </c>
      <c r="AY15" s="56">
        <f t="shared" si="4"/>
        <v>2102600</v>
      </c>
      <c r="AZ15" s="82">
        <f t="shared" si="5"/>
        <v>-0.81289831637020826</v>
      </c>
      <c r="BB15" s="53">
        <v>34384120</v>
      </c>
    </row>
    <row r="16" spans="1:54" ht="18" customHeight="1" x14ac:dyDescent="0.3">
      <c r="A16" s="96" t="s">
        <v>7</v>
      </c>
      <c r="B16" s="101">
        <f>VLOOKUP(A16,'CHC Sales - YTD'!C:AD,6,0)</f>
        <v>365100.33</v>
      </c>
      <c r="C16" s="56">
        <v>4393128</v>
      </c>
      <c r="D16" s="82">
        <f t="shared" si="2"/>
        <v>-0.91689285402109844</v>
      </c>
      <c r="E16" s="38"/>
      <c r="F16" s="53"/>
      <c r="G16" s="56"/>
      <c r="H16" s="82"/>
      <c r="I16" s="38"/>
      <c r="J16" s="53"/>
      <c r="K16" s="56"/>
      <c r="L16" s="82"/>
      <c r="M16" s="38"/>
      <c r="N16" s="53"/>
      <c r="O16" s="56"/>
      <c r="P16" s="82"/>
      <c r="Q16" s="40"/>
      <c r="R16" s="53"/>
      <c r="S16" s="56"/>
      <c r="T16" s="82"/>
      <c r="V16" s="53"/>
      <c r="W16" s="56"/>
      <c r="X16" s="82"/>
      <c r="Y16" s="40"/>
      <c r="Z16" s="53"/>
      <c r="AA16" s="56"/>
      <c r="AB16" s="82"/>
      <c r="AC16" s="40"/>
      <c r="AD16" s="53"/>
      <c r="AE16" s="56"/>
      <c r="AF16" s="82"/>
      <c r="AG16" s="40"/>
      <c r="AH16" s="53"/>
      <c r="AI16" s="56"/>
      <c r="AJ16" s="82"/>
      <c r="AK16" s="40"/>
      <c r="AL16" s="53"/>
      <c r="AM16" s="56"/>
      <c r="AN16" s="82"/>
      <c r="AO16" s="40"/>
      <c r="AP16" s="53"/>
      <c r="AQ16" s="56"/>
      <c r="AR16" s="82"/>
      <c r="AS16" s="40"/>
      <c r="AT16" s="53"/>
      <c r="AU16" s="56"/>
      <c r="AV16" s="82"/>
      <c r="AW16" s="40"/>
      <c r="AX16" s="53">
        <f t="shared" si="3"/>
        <v>365100.33</v>
      </c>
      <c r="AY16" s="56">
        <f t="shared" si="4"/>
        <v>4393128</v>
      </c>
      <c r="AZ16" s="82">
        <f t="shared" si="5"/>
        <v>-0.91689285402109844</v>
      </c>
      <c r="BB16" s="53">
        <v>64149856</v>
      </c>
    </row>
    <row r="17" spans="1:55" ht="18" customHeight="1" x14ac:dyDescent="0.3">
      <c r="A17" s="96" t="s">
        <v>10</v>
      </c>
      <c r="B17" s="101">
        <f>VLOOKUP(A17,'CHC Sales - YTD'!C:AD,6,0)</f>
        <v>531816.06000000006</v>
      </c>
      <c r="C17" s="56">
        <v>4014100</v>
      </c>
      <c r="D17" s="82">
        <f t="shared" si="2"/>
        <v>-0.86751300166911638</v>
      </c>
      <c r="E17" s="38"/>
      <c r="F17" s="53"/>
      <c r="G17" s="56"/>
      <c r="H17" s="82"/>
      <c r="I17" s="38"/>
      <c r="J17" s="53"/>
      <c r="K17" s="56"/>
      <c r="L17" s="82"/>
      <c r="M17" s="38"/>
      <c r="N17" s="53"/>
      <c r="O17" s="56"/>
      <c r="P17" s="82"/>
      <c r="Q17" s="40"/>
      <c r="R17" s="53"/>
      <c r="S17" s="56"/>
      <c r="T17" s="82"/>
      <c r="V17" s="53"/>
      <c r="W17" s="56"/>
      <c r="X17" s="82"/>
      <c r="Y17" s="40"/>
      <c r="Z17" s="53"/>
      <c r="AA17" s="56"/>
      <c r="AB17" s="82"/>
      <c r="AC17" s="40"/>
      <c r="AD17" s="53"/>
      <c r="AE17" s="56"/>
      <c r="AF17" s="82"/>
      <c r="AG17" s="40"/>
      <c r="AH17" s="53"/>
      <c r="AI17" s="56"/>
      <c r="AJ17" s="82"/>
      <c r="AK17" s="40"/>
      <c r="AL17" s="53"/>
      <c r="AM17" s="56"/>
      <c r="AN17" s="82"/>
      <c r="AO17" s="40"/>
      <c r="AP17" s="53"/>
      <c r="AQ17" s="56"/>
      <c r="AR17" s="82"/>
      <c r="AS17" s="40"/>
      <c r="AT17" s="53"/>
      <c r="AU17" s="56"/>
      <c r="AV17" s="82"/>
      <c r="AW17" s="40"/>
      <c r="AX17" s="53">
        <f t="shared" si="3"/>
        <v>531816.06000000006</v>
      </c>
      <c r="AY17" s="56">
        <f t="shared" si="4"/>
        <v>4014100</v>
      </c>
      <c r="AZ17" s="82">
        <f t="shared" si="5"/>
        <v>-0.86751300166911638</v>
      </c>
      <c r="BB17" s="53">
        <v>63018778</v>
      </c>
    </row>
    <row r="18" spans="1:55" ht="18" customHeight="1" x14ac:dyDescent="0.3">
      <c r="A18" s="96" t="s">
        <v>45</v>
      </c>
      <c r="B18" s="101">
        <f>VLOOKUP(A18,'CHC Sales - YTD'!C:AD,6,0)</f>
        <v>90150</v>
      </c>
      <c r="C18" s="56">
        <v>2105580</v>
      </c>
      <c r="D18" s="82">
        <f t="shared" si="2"/>
        <v>-0.95718519362835897</v>
      </c>
      <c r="E18" s="38"/>
      <c r="F18" s="53"/>
      <c r="G18" s="56"/>
      <c r="H18" s="82"/>
      <c r="I18" s="38"/>
      <c r="J18" s="53"/>
      <c r="K18" s="56"/>
      <c r="L18" s="82"/>
      <c r="M18" s="38"/>
      <c r="N18" s="53"/>
      <c r="O18" s="56"/>
      <c r="P18" s="82"/>
      <c r="Q18" s="40"/>
      <c r="R18" s="53"/>
      <c r="S18" s="56"/>
      <c r="T18" s="82"/>
      <c r="V18" s="53"/>
      <c r="W18" s="56"/>
      <c r="X18" s="82"/>
      <c r="Y18" s="40"/>
      <c r="Z18" s="53"/>
      <c r="AA18" s="56"/>
      <c r="AB18" s="82"/>
      <c r="AC18" s="40"/>
      <c r="AD18" s="53"/>
      <c r="AE18" s="56"/>
      <c r="AF18" s="82"/>
      <c r="AG18" s="40"/>
      <c r="AH18" s="53"/>
      <c r="AI18" s="56"/>
      <c r="AJ18" s="82"/>
      <c r="AK18" s="40"/>
      <c r="AL18" s="53"/>
      <c r="AM18" s="56"/>
      <c r="AN18" s="82"/>
      <c r="AO18" s="40"/>
      <c r="AP18" s="53"/>
      <c r="AQ18" s="56"/>
      <c r="AR18" s="82"/>
      <c r="AS18" s="40"/>
      <c r="AT18" s="53"/>
      <c r="AU18" s="56"/>
      <c r="AV18" s="82"/>
      <c r="AW18" s="40"/>
      <c r="AX18" s="53">
        <f t="shared" si="3"/>
        <v>90150</v>
      </c>
      <c r="AY18" s="56">
        <f t="shared" si="4"/>
        <v>2105580</v>
      </c>
      <c r="AZ18" s="82">
        <f t="shared" si="5"/>
        <v>-0.95718519362835897</v>
      </c>
      <c r="BB18" s="53">
        <v>29277402</v>
      </c>
    </row>
    <row r="19" spans="1:55" ht="18" customHeight="1" x14ac:dyDescent="0.3">
      <c r="A19" s="96" t="s">
        <v>304</v>
      </c>
      <c r="B19" s="101">
        <f>VLOOKUP(A19,'CHC Sales - YTD'!C:AD,6,0)</f>
        <v>823820</v>
      </c>
      <c r="C19" s="56">
        <v>4903580</v>
      </c>
      <c r="D19" s="82">
        <f t="shared" si="2"/>
        <v>-0.83199621501025778</v>
      </c>
      <c r="E19" s="38"/>
      <c r="F19" s="53"/>
      <c r="G19" s="56"/>
      <c r="H19" s="82"/>
      <c r="I19" s="38"/>
      <c r="J19" s="53"/>
      <c r="K19" s="56"/>
      <c r="L19" s="82"/>
      <c r="M19" s="38"/>
      <c r="N19" s="53"/>
      <c r="O19" s="56"/>
      <c r="P19" s="82"/>
      <c r="Q19" s="40"/>
      <c r="R19" s="53"/>
      <c r="S19" s="56"/>
      <c r="T19" s="82"/>
      <c r="V19" s="53"/>
      <c r="W19" s="56"/>
      <c r="X19" s="82"/>
      <c r="Y19" s="40"/>
      <c r="Z19" s="53"/>
      <c r="AA19" s="56"/>
      <c r="AB19" s="82"/>
      <c r="AC19" s="40"/>
      <c r="AD19" s="53"/>
      <c r="AE19" s="56"/>
      <c r="AF19" s="82"/>
      <c r="AG19" s="40"/>
      <c r="AH19" s="53"/>
      <c r="AI19" s="56"/>
      <c r="AJ19" s="82"/>
      <c r="AK19" s="40"/>
      <c r="AL19" s="53"/>
      <c r="AM19" s="56"/>
      <c r="AN19" s="82"/>
      <c r="AO19" s="40"/>
      <c r="AP19" s="53"/>
      <c r="AQ19" s="56"/>
      <c r="AR19" s="82"/>
      <c r="AS19" s="40"/>
      <c r="AT19" s="53"/>
      <c r="AU19" s="56"/>
      <c r="AV19" s="82"/>
      <c r="AW19" s="40"/>
      <c r="AX19" s="53">
        <f t="shared" si="3"/>
        <v>823820</v>
      </c>
      <c r="AY19" s="56">
        <f t="shared" si="4"/>
        <v>4903580</v>
      </c>
      <c r="AZ19" s="82">
        <f t="shared" si="5"/>
        <v>-0.83199621501025778</v>
      </c>
      <c r="BB19" s="53">
        <v>63423697</v>
      </c>
      <c r="BC19" s="54"/>
    </row>
    <row r="20" spans="1:55" ht="18" customHeight="1" x14ac:dyDescent="0.3">
      <c r="A20" s="96" t="s">
        <v>305</v>
      </c>
      <c r="B20" s="101">
        <f>VLOOKUP(A20,'CHC Sales - YTD'!C:AD,6,0)</f>
        <v>247750.69</v>
      </c>
      <c r="C20" s="56">
        <v>3634870</v>
      </c>
      <c r="D20" s="82">
        <f t="shared" si="2"/>
        <v>-0.9318405637615651</v>
      </c>
      <c r="E20" s="38"/>
      <c r="F20" s="53"/>
      <c r="G20" s="56"/>
      <c r="H20" s="82"/>
      <c r="I20" s="38"/>
      <c r="J20" s="53"/>
      <c r="K20" s="56"/>
      <c r="L20" s="82"/>
      <c r="M20" s="38"/>
      <c r="N20" s="53"/>
      <c r="O20" s="56"/>
      <c r="P20" s="82"/>
      <c r="Q20" s="40"/>
      <c r="R20" s="53"/>
      <c r="S20" s="56"/>
      <c r="T20" s="82"/>
      <c r="V20" s="53"/>
      <c r="W20" s="56"/>
      <c r="X20" s="82"/>
      <c r="Y20" s="40"/>
      <c r="Z20" s="53"/>
      <c r="AA20" s="56"/>
      <c r="AB20" s="82"/>
      <c r="AC20" s="40"/>
      <c r="AD20" s="53"/>
      <c r="AE20" s="56"/>
      <c r="AF20" s="82"/>
      <c r="AG20" s="40"/>
      <c r="AH20" s="53"/>
      <c r="AI20" s="56"/>
      <c r="AJ20" s="82"/>
      <c r="AK20" s="40"/>
      <c r="AL20" s="53"/>
      <c r="AM20" s="56"/>
      <c r="AN20" s="82"/>
      <c r="AO20" s="40"/>
      <c r="AP20" s="53"/>
      <c r="AQ20" s="56"/>
      <c r="AR20" s="82"/>
      <c r="AS20" s="40"/>
      <c r="AT20" s="53"/>
      <c r="AU20" s="56"/>
      <c r="AV20" s="82"/>
      <c r="AW20" s="40"/>
      <c r="AX20" s="53">
        <f t="shared" si="3"/>
        <v>247750.69</v>
      </c>
      <c r="AY20" s="56">
        <f t="shared" si="4"/>
        <v>3634870</v>
      </c>
      <c r="AZ20" s="82">
        <f t="shared" si="5"/>
        <v>-0.9318405637615651</v>
      </c>
      <c r="BB20" s="53">
        <v>69150588</v>
      </c>
    </row>
    <row r="21" spans="1:55" ht="18" customHeight="1" x14ac:dyDescent="0.3">
      <c r="A21" s="96" t="s">
        <v>306</v>
      </c>
      <c r="B21" s="101">
        <f>VLOOKUP(A21,'CHC Sales - YTD'!C:AD,6,0)</f>
        <v>160700.01999999999</v>
      </c>
      <c r="C21" s="56">
        <v>0</v>
      </c>
      <c r="D21" s="82" t="e">
        <f t="shared" si="2"/>
        <v>#DIV/0!</v>
      </c>
      <c r="E21" s="38"/>
      <c r="F21" s="53"/>
      <c r="G21" s="56"/>
      <c r="H21" s="82"/>
      <c r="I21" s="38"/>
      <c r="J21" s="53"/>
      <c r="K21" s="56"/>
      <c r="L21" s="82"/>
      <c r="M21" s="38"/>
      <c r="N21" s="53"/>
      <c r="O21" s="56"/>
      <c r="P21" s="82"/>
      <c r="Q21" s="40"/>
      <c r="R21" s="53"/>
      <c r="S21" s="56"/>
      <c r="T21" s="82"/>
      <c r="V21" s="53"/>
      <c r="W21" s="56"/>
      <c r="X21" s="82"/>
      <c r="Y21" s="40"/>
      <c r="Z21" s="53"/>
      <c r="AA21" s="56"/>
      <c r="AB21" s="82"/>
      <c r="AC21" s="40"/>
      <c r="AD21" s="53"/>
      <c r="AE21" s="56"/>
      <c r="AF21" s="82"/>
      <c r="AG21" s="40"/>
      <c r="AH21" s="53"/>
      <c r="AI21" s="56"/>
      <c r="AJ21" s="82"/>
      <c r="AK21" s="40"/>
      <c r="AL21" s="53"/>
      <c r="AM21" s="56"/>
      <c r="AN21" s="82"/>
      <c r="AO21" s="40"/>
      <c r="AP21" s="53"/>
      <c r="AQ21" s="56"/>
      <c r="AR21" s="82"/>
      <c r="AS21" s="40"/>
      <c r="AT21" s="53"/>
      <c r="AU21" s="56"/>
      <c r="AV21" s="82"/>
      <c r="AW21" s="40"/>
      <c r="AX21" s="53">
        <f t="shared" si="3"/>
        <v>160700.01999999999</v>
      </c>
      <c r="AY21" s="56">
        <f t="shared" si="4"/>
        <v>0</v>
      </c>
      <c r="AZ21" s="82" t="e">
        <f t="shared" si="5"/>
        <v>#DIV/0!</v>
      </c>
      <c r="BB21" s="53">
        <v>11118200</v>
      </c>
    </row>
    <row r="22" spans="1:55" ht="18" customHeight="1" x14ac:dyDescent="0.3">
      <c r="A22" s="96" t="s">
        <v>299</v>
      </c>
      <c r="B22" s="101">
        <f>VLOOKUP(A22,'CHC Sales - YTD'!C:AD,6,0)</f>
        <v>3600</v>
      </c>
      <c r="C22" s="56">
        <v>0</v>
      </c>
      <c r="D22" s="82" t="e">
        <f t="shared" si="2"/>
        <v>#DIV/0!</v>
      </c>
      <c r="E22" s="38"/>
      <c r="F22" s="53"/>
      <c r="G22" s="56"/>
      <c r="H22" s="82"/>
      <c r="I22" s="38"/>
      <c r="J22" s="53"/>
      <c r="K22" s="56"/>
      <c r="L22" s="82"/>
      <c r="M22" s="38"/>
      <c r="N22" s="53"/>
      <c r="O22" s="56"/>
      <c r="P22" s="82"/>
      <c r="Q22" s="40"/>
      <c r="R22" s="53"/>
      <c r="S22" s="56"/>
      <c r="T22" s="82"/>
      <c r="V22" s="53"/>
      <c r="W22" s="56"/>
      <c r="X22" s="82"/>
      <c r="Y22" s="40"/>
      <c r="Z22" s="53"/>
      <c r="AA22" s="56"/>
      <c r="AB22" s="82"/>
      <c r="AC22" s="40"/>
      <c r="AD22" s="53"/>
      <c r="AE22" s="56"/>
      <c r="AF22" s="82"/>
      <c r="AG22" s="40"/>
      <c r="AH22" s="53"/>
      <c r="AI22" s="56"/>
      <c r="AJ22" s="82"/>
      <c r="AK22" s="40"/>
      <c r="AL22" s="53"/>
      <c r="AM22" s="56"/>
      <c r="AN22" s="82"/>
      <c r="AO22" s="40"/>
      <c r="AP22" s="53"/>
      <c r="AQ22" s="56"/>
      <c r="AR22" s="82"/>
      <c r="AS22" s="40"/>
      <c r="AT22" s="53"/>
      <c r="AU22" s="56"/>
      <c r="AV22" s="82"/>
      <c r="AW22" s="40"/>
      <c r="AX22" s="53">
        <f t="shared" ref="AX22:AX30" si="6">AT22+AP22+AL22+AH22+AD22+Z22+V22+R22+N22+J22+F22+B22</f>
        <v>3600</v>
      </c>
      <c r="AY22" s="56">
        <f t="shared" ref="AY22:AY30" si="7">AU22+AQ22+AM22+AI22+AE22+AA22+W22+S22+O22+K22+G22+C22</f>
        <v>0</v>
      </c>
      <c r="AZ22" s="82" t="e">
        <f t="shared" ref="AZ22:AZ31" si="8">(AX22-AY22)/AY22</f>
        <v>#DIV/0!</v>
      </c>
      <c r="BB22" s="53">
        <v>202800</v>
      </c>
    </row>
    <row r="23" spans="1:55" ht="18" customHeight="1" x14ac:dyDescent="0.3">
      <c r="A23" s="96" t="s">
        <v>8</v>
      </c>
      <c r="B23" s="101">
        <f>VLOOKUP(A23,'CHC Sales - YTD'!C:AD,6,0)</f>
        <v>338850.02</v>
      </c>
      <c r="C23" s="56">
        <v>1473500</v>
      </c>
      <c r="D23" s="82">
        <f t="shared" si="2"/>
        <v>-0.77003731252120799</v>
      </c>
      <c r="E23" s="38"/>
      <c r="F23" s="53"/>
      <c r="G23" s="56"/>
      <c r="H23" s="82"/>
      <c r="I23" s="38"/>
      <c r="J23" s="53"/>
      <c r="K23" s="56"/>
      <c r="L23" s="82"/>
      <c r="M23" s="38"/>
      <c r="N23" s="53"/>
      <c r="O23" s="56"/>
      <c r="P23" s="82"/>
      <c r="Q23" s="40"/>
      <c r="R23" s="53"/>
      <c r="S23" s="56"/>
      <c r="T23" s="82"/>
      <c r="V23" s="53"/>
      <c r="W23" s="56"/>
      <c r="X23" s="82"/>
      <c r="Y23" s="40"/>
      <c r="Z23" s="53"/>
      <c r="AA23" s="56"/>
      <c r="AB23" s="82"/>
      <c r="AC23" s="40"/>
      <c r="AD23" s="53"/>
      <c r="AE23" s="56"/>
      <c r="AF23" s="82"/>
      <c r="AG23" s="40"/>
      <c r="AH23" s="53"/>
      <c r="AI23" s="56"/>
      <c r="AJ23" s="82"/>
      <c r="AK23" s="40"/>
      <c r="AL23" s="53"/>
      <c r="AM23" s="56"/>
      <c r="AN23" s="82"/>
      <c r="AO23" s="40"/>
      <c r="AP23" s="53"/>
      <c r="AQ23" s="56"/>
      <c r="AR23" s="82"/>
      <c r="AS23" s="40"/>
      <c r="AT23" s="53"/>
      <c r="AU23" s="56"/>
      <c r="AV23" s="82"/>
      <c r="AW23" s="40"/>
      <c r="AX23" s="53">
        <f t="shared" si="6"/>
        <v>338850.02</v>
      </c>
      <c r="AY23" s="56">
        <f t="shared" si="7"/>
        <v>1473500</v>
      </c>
      <c r="AZ23" s="82">
        <f t="shared" si="8"/>
        <v>-0.77003731252120799</v>
      </c>
      <c r="BB23" s="53">
        <v>25768188</v>
      </c>
    </row>
    <row r="24" spans="1:55" ht="18" customHeight="1" x14ac:dyDescent="0.3">
      <c r="A24" s="96" t="s">
        <v>9</v>
      </c>
      <c r="B24" s="101">
        <f>VLOOKUP(A24,'CHC Sales - YTD'!C:AD,6,0)</f>
        <v>228699.02</v>
      </c>
      <c r="C24" s="56">
        <v>2014060</v>
      </c>
      <c r="D24" s="82">
        <f t="shared" si="2"/>
        <v>-0.88644875525058831</v>
      </c>
      <c r="E24" s="38"/>
      <c r="F24" s="53"/>
      <c r="G24" s="56"/>
      <c r="H24" s="82"/>
      <c r="I24" s="38"/>
      <c r="J24" s="53"/>
      <c r="K24" s="56"/>
      <c r="L24" s="82"/>
      <c r="M24" s="38"/>
      <c r="N24" s="53"/>
      <c r="O24" s="56"/>
      <c r="P24" s="82"/>
      <c r="Q24" s="40"/>
      <c r="R24" s="53"/>
      <c r="S24" s="56"/>
      <c r="T24" s="82"/>
      <c r="V24" s="53"/>
      <c r="W24" s="56"/>
      <c r="X24" s="82"/>
      <c r="Y24" s="40"/>
      <c r="Z24" s="53"/>
      <c r="AA24" s="56"/>
      <c r="AB24" s="82"/>
      <c r="AC24" s="40"/>
      <c r="AD24" s="53"/>
      <c r="AE24" s="56"/>
      <c r="AF24" s="82"/>
      <c r="AG24" s="40"/>
      <c r="AH24" s="53"/>
      <c r="AI24" s="56"/>
      <c r="AJ24" s="82"/>
      <c r="AK24" s="40"/>
      <c r="AL24" s="53"/>
      <c r="AM24" s="56"/>
      <c r="AN24" s="82"/>
      <c r="AO24" s="40"/>
      <c r="AP24" s="53"/>
      <c r="AQ24" s="56"/>
      <c r="AR24" s="82"/>
      <c r="AS24" s="40"/>
      <c r="AT24" s="53"/>
      <c r="AU24" s="56"/>
      <c r="AV24" s="82"/>
      <c r="AW24" s="40"/>
      <c r="AX24" s="53">
        <f t="shared" si="6"/>
        <v>228699.02</v>
      </c>
      <c r="AY24" s="56">
        <f t="shared" si="7"/>
        <v>2014060</v>
      </c>
      <c r="AZ24" s="82">
        <f t="shared" si="8"/>
        <v>-0.88644875525058831</v>
      </c>
      <c r="BB24" s="53">
        <v>19485700</v>
      </c>
    </row>
    <row r="25" spans="1:55" ht="18" customHeight="1" x14ac:dyDescent="0.3">
      <c r="A25" s="96" t="s">
        <v>266</v>
      </c>
      <c r="B25" s="101">
        <f>VLOOKUP(A25,'CHC Sales - YTD'!C:AD,6,0)</f>
        <v>108350</v>
      </c>
      <c r="C25" s="56">
        <v>0</v>
      </c>
      <c r="D25" s="82" t="e">
        <f t="shared" si="2"/>
        <v>#DIV/0!</v>
      </c>
      <c r="E25" s="38"/>
      <c r="F25" s="53"/>
      <c r="G25" s="56"/>
      <c r="H25" s="82"/>
      <c r="I25" s="38"/>
      <c r="J25" s="53"/>
      <c r="K25" s="56"/>
      <c r="L25" s="82"/>
      <c r="M25" s="38"/>
      <c r="N25" s="53"/>
      <c r="O25" s="56"/>
      <c r="P25" s="82"/>
      <c r="Q25" s="40"/>
      <c r="R25" s="53"/>
      <c r="S25" s="56"/>
      <c r="T25" s="82"/>
      <c r="V25" s="53"/>
      <c r="W25" s="56"/>
      <c r="X25" s="82"/>
      <c r="Y25" s="40"/>
      <c r="Z25" s="53"/>
      <c r="AA25" s="56"/>
      <c r="AB25" s="82"/>
      <c r="AC25" s="40"/>
      <c r="AD25" s="53"/>
      <c r="AE25" s="56"/>
      <c r="AF25" s="82"/>
      <c r="AG25" s="40"/>
      <c r="AH25" s="53"/>
      <c r="AI25" s="56"/>
      <c r="AJ25" s="82"/>
      <c r="AK25" s="40"/>
      <c r="AL25" s="53"/>
      <c r="AM25" s="56"/>
      <c r="AN25" s="82"/>
      <c r="AO25" s="40"/>
      <c r="AP25" s="53"/>
      <c r="AQ25" s="56"/>
      <c r="AR25" s="82"/>
      <c r="AS25" s="40"/>
      <c r="AT25" s="53"/>
      <c r="AU25" s="56"/>
      <c r="AV25" s="82"/>
      <c r="AW25" s="40"/>
      <c r="AX25" s="53">
        <f t="shared" si="6"/>
        <v>108350</v>
      </c>
      <c r="AY25" s="56">
        <f t="shared" si="7"/>
        <v>0</v>
      </c>
      <c r="AZ25" s="82" t="e">
        <f t="shared" si="8"/>
        <v>#DIV/0!</v>
      </c>
      <c r="BB25" s="53">
        <v>7152160</v>
      </c>
    </row>
    <row r="26" spans="1:55" ht="18" customHeight="1" x14ac:dyDescent="0.3">
      <c r="A26" s="96" t="s">
        <v>308</v>
      </c>
      <c r="B26" s="101">
        <f>VLOOKUP(A26,'CHC Sales - YTD'!C:AD,6,0)</f>
        <v>32000</v>
      </c>
      <c r="C26" s="56">
        <v>0</v>
      </c>
      <c r="D26" s="82" t="e">
        <f t="shared" si="2"/>
        <v>#DIV/0!</v>
      </c>
      <c r="E26" s="38"/>
      <c r="F26" s="53"/>
      <c r="G26" s="56"/>
      <c r="H26" s="82"/>
      <c r="I26" s="38"/>
      <c r="J26" s="53"/>
      <c r="K26" s="56"/>
      <c r="L26" s="82"/>
      <c r="M26" s="38"/>
      <c r="N26" s="53"/>
      <c r="O26" s="56"/>
      <c r="P26" s="82"/>
      <c r="Q26" s="40"/>
      <c r="R26" s="53"/>
      <c r="S26" s="56"/>
      <c r="T26" s="82"/>
      <c r="V26" s="53"/>
      <c r="W26" s="56"/>
      <c r="X26" s="82"/>
      <c r="Y26" s="40"/>
      <c r="Z26" s="53"/>
      <c r="AA26" s="56"/>
      <c r="AB26" s="82"/>
      <c r="AC26" s="40"/>
      <c r="AD26" s="53"/>
      <c r="AE26" s="56"/>
      <c r="AF26" s="82"/>
      <c r="AG26" s="40"/>
      <c r="AH26" s="53"/>
      <c r="AI26" s="56"/>
      <c r="AJ26" s="82"/>
      <c r="AK26" s="40"/>
      <c r="AL26" s="53"/>
      <c r="AM26" s="56"/>
      <c r="AN26" s="82"/>
      <c r="AO26" s="40"/>
      <c r="AP26" s="53"/>
      <c r="AQ26" s="56"/>
      <c r="AR26" s="82"/>
      <c r="AS26" s="40"/>
      <c r="AT26" s="53"/>
      <c r="AU26" s="56"/>
      <c r="AV26" s="82"/>
      <c r="AW26" s="40"/>
      <c r="AX26" s="53">
        <f t="shared" si="6"/>
        <v>32000</v>
      </c>
      <c r="AY26" s="56">
        <f t="shared" si="7"/>
        <v>0</v>
      </c>
      <c r="AZ26" s="82" t="e">
        <f t="shared" si="8"/>
        <v>#DIV/0!</v>
      </c>
      <c r="BB26" s="53">
        <v>6441999</v>
      </c>
    </row>
    <row r="27" spans="1:55" ht="18" customHeight="1" x14ac:dyDescent="0.3">
      <c r="A27" s="96" t="s">
        <v>108</v>
      </c>
      <c r="B27" s="101">
        <f>VLOOKUP(A27,'CHC Sales - YTD'!C:AD,6,0)</f>
        <v>220450</v>
      </c>
      <c r="C27" s="56">
        <v>0</v>
      </c>
      <c r="D27" s="82" t="e">
        <f t="shared" si="2"/>
        <v>#DIV/0!</v>
      </c>
      <c r="E27" s="38"/>
      <c r="F27" s="53"/>
      <c r="G27" s="56"/>
      <c r="H27" s="82"/>
      <c r="I27" s="38"/>
      <c r="J27" s="53"/>
      <c r="K27" s="56"/>
      <c r="L27" s="82"/>
      <c r="M27" s="38"/>
      <c r="N27" s="53"/>
      <c r="O27" s="56"/>
      <c r="P27" s="82"/>
      <c r="Q27" s="40"/>
      <c r="R27" s="53"/>
      <c r="S27" s="56"/>
      <c r="T27" s="82"/>
      <c r="V27" s="53"/>
      <c r="W27" s="56"/>
      <c r="X27" s="82"/>
      <c r="Y27" s="40"/>
      <c r="Z27" s="53"/>
      <c r="AA27" s="56"/>
      <c r="AB27" s="82"/>
      <c r="AC27" s="40"/>
      <c r="AD27" s="53"/>
      <c r="AE27" s="56"/>
      <c r="AF27" s="82"/>
      <c r="AG27" s="40"/>
      <c r="AH27" s="53"/>
      <c r="AI27" s="56"/>
      <c r="AJ27" s="82"/>
      <c r="AK27" s="40"/>
      <c r="AL27" s="53"/>
      <c r="AM27" s="56"/>
      <c r="AN27" s="82"/>
      <c r="AO27" s="40"/>
      <c r="AP27" s="53"/>
      <c r="AQ27" s="56"/>
      <c r="AR27" s="82"/>
      <c r="AS27" s="40"/>
      <c r="AT27" s="53"/>
      <c r="AU27" s="56"/>
      <c r="AV27" s="82"/>
      <c r="AW27" s="40"/>
      <c r="AX27" s="53">
        <f t="shared" si="6"/>
        <v>220450</v>
      </c>
      <c r="AY27" s="56">
        <f t="shared" si="7"/>
        <v>0</v>
      </c>
      <c r="AZ27" s="82" t="e">
        <f t="shared" si="8"/>
        <v>#DIV/0!</v>
      </c>
      <c r="BB27" s="53">
        <v>15291095</v>
      </c>
    </row>
    <row r="28" spans="1:55" ht="18" customHeight="1" x14ac:dyDescent="0.3">
      <c r="A28" s="96" t="s">
        <v>280</v>
      </c>
      <c r="B28" s="101">
        <f>VLOOKUP(A28,'CHC Sales - YTD'!C:AD,6,0)</f>
        <v>64250</v>
      </c>
      <c r="C28" s="56">
        <v>0</v>
      </c>
      <c r="D28" s="82" t="e">
        <f t="shared" si="2"/>
        <v>#DIV/0!</v>
      </c>
      <c r="E28" s="38"/>
      <c r="F28" s="53"/>
      <c r="G28" s="56"/>
      <c r="H28" s="82"/>
      <c r="I28" s="38"/>
      <c r="J28" s="53"/>
      <c r="K28" s="56"/>
      <c r="L28" s="82"/>
      <c r="M28" s="38"/>
      <c r="N28" s="53"/>
      <c r="O28" s="56"/>
      <c r="P28" s="82"/>
      <c r="Q28" s="40"/>
      <c r="R28" s="53"/>
      <c r="S28" s="56"/>
      <c r="T28" s="82"/>
      <c r="V28" s="53"/>
      <c r="W28" s="56"/>
      <c r="X28" s="82"/>
      <c r="Y28" s="40"/>
      <c r="Z28" s="53"/>
      <c r="AA28" s="56"/>
      <c r="AB28" s="82"/>
      <c r="AC28" s="40"/>
      <c r="AD28" s="53"/>
      <c r="AE28" s="56"/>
      <c r="AF28" s="82"/>
      <c r="AG28" s="40"/>
      <c r="AH28" s="53"/>
      <c r="AI28" s="56"/>
      <c r="AJ28" s="82"/>
      <c r="AK28" s="40"/>
      <c r="AL28" s="53"/>
      <c r="AM28" s="56"/>
      <c r="AN28" s="82"/>
      <c r="AO28" s="40"/>
      <c r="AP28" s="53"/>
      <c r="AQ28" s="56"/>
      <c r="AR28" s="82"/>
      <c r="AS28" s="40"/>
      <c r="AT28" s="53"/>
      <c r="AU28" s="56"/>
      <c r="AV28" s="82"/>
      <c r="AW28" s="40"/>
      <c r="AX28" s="53">
        <f t="shared" si="6"/>
        <v>64250</v>
      </c>
      <c r="AY28" s="56">
        <f t="shared" si="7"/>
        <v>0</v>
      </c>
      <c r="AZ28" s="82" t="e">
        <f t="shared" si="8"/>
        <v>#DIV/0!</v>
      </c>
      <c r="BB28" s="53">
        <v>3846100</v>
      </c>
    </row>
    <row r="29" spans="1:55" ht="18" customHeight="1" x14ac:dyDescent="0.3">
      <c r="A29" s="96" t="s">
        <v>98</v>
      </c>
      <c r="B29" s="101">
        <f>VLOOKUP(A29,'CHC Sales - YTD'!C:AD,6,0)</f>
        <v>192750.02</v>
      </c>
      <c r="C29" s="56">
        <v>0</v>
      </c>
      <c r="D29" s="82" t="e">
        <f t="shared" si="2"/>
        <v>#DIV/0!</v>
      </c>
      <c r="E29" s="38"/>
      <c r="F29" s="53"/>
      <c r="G29" s="56"/>
      <c r="H29" s="82"/>
      <c r="I29" s="38"/>
      <c r="J29" s="53"/>
      <c r="K29" s="56"/>
      <c r="L29" s="82"/>
      <c r="M29" s="38"/>
      <c r="N29" s="53"/>
      <c r="O29" s="56"/>
      <c r="P29" s="82"/>
      <c r="Q29" s="40"/>
      <c r="R29" s="53"/>
      <c r="S29" s="56"/>
      <c r="T29" s="82"/>
      <c r="V29" s="53"/>
      <c r="W29" s="56"/>
      <c r="X29" s="82"/>
      <c r="Y29" s="40"/>
      <c r="Z29" s="53"/>
      <c r="AA29" s="56"/>
      <c r="AB29" s="82"/>
      <c r="AC29" s="40"/>
      <c r="AD29" s="53"/>
      <c r="AE29" s="56"/>
      <c r="AF29" s="82"/>
      <c r="AG29" s="40"/>
      <c r="AH29" s="53"/>
      <c r="AI29" s="56"/>
      <c r="AJ29" s="82"/>
      <c r="AK29" s="40"/>
      <c r="AL29" s="53"/>
      <c r="AM29" s="56"/>
      <c r="AN29" s="82"/>
      <c r="AO29" s="40"/>
      <c r="AP29" s="53"/>
      <c r="AQ29" s="56"/>
      <c r="AR29" s="82"/>
      <c r="AS29" s="40"/>
      <c r="AT29" s="53"/>
      <c r="AU29" s="56"/>
      <c r="AV29" s="82"/>
      <c r="AW29" s="40"/>
      <c r="AX29" s="53">
        <f t="shared" si="6"/>
        <v>192750.02</v>
      </c>
      <c r="AY29" s="56">
        <f t="shared" si="7"/>
        <v>0</v>
      </c>
      <c r="AZ29" s="82" t="e">
        <f t="shared" si="8"/>
        <v>#DIV/0!</v>
      </c>
      <c r="BB29" s="53">
        <v>16579290</v>
      </c>
    </row>
    <row r="30" spans="1:55" ht="18" customHeight="1" x14ac:dyDescent="0.3">
      <c r="A30" s="96" t="s">
        <v>84</v>
      </c>
      <c r="B30" s="101">
        <f>VLOOKUP(A30,'CHC Sales - YTD'!C:AD,6,0)</f>
        <v>18200</v>
      </c>
      <c r="C30" s="56">
        <v>1704520</v>
      </c>
      <c r="D30" s="82">
        <f t="shared" si="2"/>
        <v>-0.98932250721610782</v>
      </c>
      <c r="E30" s="38"/>
      <c r="F30" s="53"/>
      <c r="G30" s="56"/>
      <c r="H30" s="82"/>
      <c r="I30" s="38"/>
      <c r="J30" s="53"/>
      <c r="K30" s="56"/>
      <c r="L30" s="82"/>
      <c r="M30" s="38"/>
      <c r="N30" s="53"/>
      <c r="O30" s="56"/>
      <c r="P30" s="82"/>
      <c r="Q30" s="40"/>
      <c r="R30" s="53"/>
      <c r="S30" s="56"/>
      <c r="T30" s="82"/>
      <c r="V30" s="53"/>
      <c r="W30" s="56"/>
      <c r="X30" s="82"/>
      <c r="Y30" s="40"/>
      <c r="Z30" s="53"/>
      <c r="AA30" s="56"/>
      <c r="AB30" s="82"/>
      <c r="AC30" s="40"/>
      <c r="AD30" s="53"/>
      <c r="AE30" s="56"/>
      <c r="AF30" s="82"/>
      <c r="AG30" s="40"/>
      <c r="AH30" s="53"/>
      <c r="AI30" s="56"/>
      <c r="AJ30" s="82"/>
      <c r="AK30" s="40"/>
      <c r="AL30" s="53"/>
      <c r="AM30" s="56"/>
      <c r="AN30" s="82"/>
      <c r="AO30" s="40"/>
      <c r="AP30" s="53"/>
      <c r="AQ30" s="56"/>
      <c r="AR30" s="82"/>
      <c r="AS30" s="40"/>
      <c r="AT30" s="53"/>
      <c r="AU30" s="56"/>
      <c r="AV30" s="82"/>
      <c r="AW30" s="40"/>
      <c r="AX30" s="53">
        <f t="shared" si="6"/>
        <v>18200</v>
      </c>
      <c r="AY30" s="56">
        <f t="shared" si="7"/>
        <v>1704520</v>
      </c>
      <c r="AZ30" s="82">
        <f t="shared" si="8"/>
        <v>-0.98932250721610782</v>
      </c>
      <c r="BB30" s="53">
        <v>6559405</v>
      </c>
    </row>
    <row r="31" spans="1:55" s="36" customFormat="1" ht="15.6" x14ac:dyDescent="0.3">
      <c r="A31" s="96" t="s">
        <v>13</v>
      </c>
      <c r="B31" s="101">
        <f>SUM(B3:B30)</f>
        <v>7556534.5299999993</v>
      </c>
      <c r="C31" s="57">
        <f>SUM(C3:C30)</f>
        <v>70160750</v>
      </c>
      <c r="D31" s="82">
        <f t="shared" ref="D31" si="9">(B31-C31)/C31</f>
        <v>-0.89229683932968218</v>
      </c>
      <c r="AX31" s="53">
        <f>SUM(AX3:AX30)</f>
        <v>7556534.5299999993</v>
      </c>
      <c r="AY31" s="57">
        <f>SUM(AY3:AY30)</f>
        <v>70160750</v>
      </c>
      <c r="AZ31" s="82">
        <f t="shared" si="8"/>
        <v>-0.89229683932968218</v>
      </c>
      <c r="BB31" s="53">
        <f>SUM(BB3:BB30)</f>
        <v>986680105</v>
      </c>
    </row>
  </sheetData>
  <mergeCells count="12">
    <mergeCell ref="Z1:AB1"/>
    <mergeCell ref="AL1:AN1"/>
    <mergeCell ref="AP1:AR1"/>
    <mergeCell ref="AT1:AV1"/>
    <mergeCell ref="AH1:AJ1"/>
    <mergeCell ref="AD1:AF1"/>
    <mergeCell ref="B1:D1"/>
    <mergeCell ref="F1:H1"/>
    <mergeCell ref="V1:X1"/>
    <mergeCell ref="R1:T1"/>
    <mergeCell ref="N1:P1"/>
    <mergeCell ref="J1:L1"/>
  </mergeCells>
  <conditionalFormatting sqref="A1 A3:A21">
    <cfRule type="duplicateValues" dxfId="36" priority="41"/>
  </conditionalFormatting>
  <conditionalFormatting sqref="AY1">
    <cfRule type="duplicateValues" dxfId="35" priority="40"/>
  </conditionalFormatting>
  <conditionalFormatting sqref="AW1">
    <cfRule type="duplicateValues" dxfId="34" priority="39"/>
  </conditionalFormatting>
  <conditionalFormatting sqref="D3:D31 AZ3:AZ31">
    <cfRule type="containsErrors" dxfId="33" priority="37">
      <formula>ISERROR(D3)</formula>
    </cfRule>
  </conditionalFormatting>
  <conditionalFormatting sqref="AK1">
    <cfRule type="duplicateValues" dxfId="32" priority="33"/>
  </conditionalFormatting>
  <conditionalFormatting sqref="AO1">
    <cfRule type="duplicateValues" dxfId="31" priority="32"/>
  </conditionalFormatting>
  <conditionalFormatting sqref="AS1">
    <cfRule type="duplicateValues" dxfId="30" priority="31"/>
  </conditionalFormatting>
  <conditionalFormatting sqref="BB1">
    <cfRule type="duplicateValues" dxfId="29" priority="42"/>
  </conditionalFormatting>
  <conditionalFormatting sqref="AV3:AV21">
    <cfRule type="containsErrors" dxfId="28" priority="22">
      <formula>ISERROR(AV3)</formula>
    </cfRule>
  </conditionalFormatting>
  <conditionalFormatting sqref="AR3:AR21">
    <cfRule type="containsErrors" dxfId="27" priority="21">
      <formula>ISERROR(AR3)</formula>
    </cfRule>
  </conditionalFormatting>
  <conditionalFormatting sqref="AN3:AN21">
    <cfRule type="containsErrors" dxfId="26" priority="20">
      <formula>ISERROR(AN3)</formula>
    </cfRule>
  </conditionalFormatting>
  <conditionalFormatting sqref="AJ3:AJ21">
    <cfRule type="containsErrors" dxfId="25" priority="19">
      <formula>ISERROR(AJ3)</formula>
    </cfRule>
  </conditionalFormatting>
  <conditionalFormatting sqref="AF3:AF21">
    <cfRule type="containsErrors" dxfId="24" priority="18">
      <formula>ISERROR(AF3)</formula>
    </cfRule>
  </conditionalFormatting>
  <conditionalFormatting sqref="AB3:AB21">
    <cfRule type="containsErrors" dxfId="23" priority="17">
      <formula>ISERROR(AB3)</formula>
    </cfRule>
  </conditionalFormatting>
  <conditionalFormatting sqref="X3:X21">
    <cfRule type="containsErrors" dxfId="22" priority="16">
      <formula>ISERROR(X3)</formula>
    </cfRule>
  </conditionalFormatting>
  <conditionalFormatting sqref="T3:T21">
    <cfRule type="containsErrors" dxfId="21" priority="15">
      <formula>ISERROR(T3)</formula>
    </cfRule>
  </conditionalFormatting>
  <conditionalFormatting sqref="P3:P21 L3:M21">
    <cfRule type="containsErrors" dxfId="20" priority="14">
      <formula>ISERROR(L3)</formula>
    </cfRule>
  </conditionalFormatting>
  <conditionalFormatting sqref="H3:H21">
    <cfRule type="containsErrors" dxfId="19" priority="13">
      <formula>ISERROR(H3)</formula>
    </cfRule>
  </conditionalFormatting>
  <conditionalFormatting sqref="AZ21:AZ31">
    <cfRule type="containsErrors" dxfId="18" priority="11">
      <formula>ISERROR(AZ21)</formula>
    </cfRule>
  </conditionalFormatting>
  <conditionalFormatting sqref="AV21:AV30">
    <cfRule type="containsErrors" dxfId="17" priority="10">
      <formula>ISERROR(AV21)</formula>
    </cfRule>
  </conditionalFormatting>
  <conditionalFormatting sqref="AR21:AR30">
    <cfRule type="containsErrors" dxfId="16" priority="9">
      <formula>ISERROR(AR21)</formula>
    </cfRule>
  </conditionalFormatting>
  <conditionalFormatting sqref="AN21:AN30">
    <cfRule type="containsErrors" dxfId="15" priority="8">
      <formula>ISERROR(AN21)</formula>
    </cfRule>
  </conditionalFormatting>
  <conditionalFormatting sqref="AJ21:AJ30">
    <cfRule type="containsErrors" dxfId="14" priority="7">
      <formula>ISERROR(AJ21)</formula>
    </cfRule>
  </conditionalFormatting>
  <conditionalFormatting sqref="AF21:AF30">
    <cfRule type="containsErrors" dxfId="13" priority="6">
      <formula>ISERROR(AF21)</formula>
    </cfRule>
  </conditionalFormatting>
  <conditionalFormatting sqref="AB21:AB30">
    <cfRule type="containsErrors" dxfId="12" priority="5">
      <formula>ISERROR(AB21)</formula>
    </cfRule>
  </conditionalFormatting>
  <conditionalFormatting sqref="X21:X30">
    <cfRule type="containsErrors" dxfId="11" priority="4">
      <formula>ISERROR(X21)</formula>
    </cfRule>
  </conditionalFormatting>
  <conditionalFormatting sqref="T21:T30">
    <cfRule type="containsErrors" dxfId="10" priority="3">
      <formula>ISERROR(T21)</formula>
    </cfRule>
  </conditionalFormatting>
  <conditionalFormatting sqref="P21:P30 L21:M30">
    <cfRule type="containsErrors" dxfId="9" priority="2">
      <formula>ISERROR(L21)</formula>
    </cfRule>
  </conditionalFormatting>
  <conditionalFormatting sqref="H21:H30">
    <cfRule type="containsErrors" dxfId="8" priority="1">
      <formula>ISERROR(H21)</formula>
    </cfRule>
  </conditionalFormatting>
  <conditionalFormatting sqref="A21:A31">
    <cfRule type="duplicateValues" dxfId="7" priority="45"/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E374A-F404-49E5-9480-BEBE8EF080B6}">
  <sheetPr codeName="Sheet1"/>
  <dimension ref="A1:AF36"/>
  <sheetViews>
    <sheetView tabSelected="1" zoomScale="90" zoomScaleNormal="90" workbookViewId="0"/>
  </sheetViews>
  <sheetFormatPr defaultColWidth="1.44140625" defaultRowHeight="15.6" x14ac:dyDescent="0.3"/>
  <cols>
    <col min="1" max="1" width="23" style="13" customWidth="1"/>
    <col min="2" max="5" width="19.5546875" style="13" customWidth="1"/>
    <col min="6" max="6" width="18.5546875" style="13" customWidth="1"/>
    <col min="7" max="7" width="14.5546875" style="13" customWidth="1"/>
    <col min="8" max="8" width="17.109375" style="13" customWidth="1"/>
    <col min="9" max="9" width="3.6640625" style="13" customWidth="1"/>
    <col min="10" max="10" width="8.33203125" style="13" bestFit="1" customWidth="1"/>
    <col min="11" max="11" width="6" style="14" bestFit="1" customWidth="1"/>
    <col min="12" max="12" width="20.21875" style="13" bestFit="1" customWidth="1"/>
    <col min="13" max="13" width="10.77734375" style="13" bestFit="1" customWidth="1"/>
    <col min="14" max="14" width="1.21875" customWidth="1"/>
    <col min="15" max="15" width="8.6640625" bestFit="1" customWidth="1"/>
    <col min="16" max="16" width="10.77734375" customWidth="1"/>
    <col min="17" max="17" width="17.77734375" bestFit="1" customWidth="1"/>
    <col min="18" max="18" width="10.77734375" bestFit="1" customWidth="1"/>
    <col min="19" max="19" width="1.44140625" style="13"/>
    <col min="20" max="20" width="8.33203125" customWidth="1"/>
    <col min="21" max="21" width="6" bestFit="1" customWidth="1"/>
    <col min="22" max="22" width="20.21875" bestFit="1" customWidth="1"/>
    <col min="23" max="23" width="10.77734375" bestFit="1" customWidth="1"/>
    <col min="25" max="25" width="8.6640625" bestFit="1" customWidth="1"/>
    <col min="26" max="26" width="8.5546875" bestFit="1" customWidth="1"/>
    <col min="27" max="27" width="17.77734375" bestFit="1" customWidth="1"/>
    <col min="28" max="28" width="10.77734375" bestFit="1" customWidth="1"/>
    <col min="29" max="16384" width="1.44140625" style="13"/>
  </cols>
  <sheetData>
    <row r="1" spans="1:28" ht="4.8" customHeight="1" thickBot="1" x14ac:dyDescent="0.35"/>
    <row r="2" spans="1:28" ht="16.2" thickBot="1" x14ac:dyDescent="0.35">
      <c r="A2" s="105">
        <f>Sheet1!I3</f>
        <v>46117</v>
      </c>
      <c r="B2" s="283" t="s">
        <v>322</v>
      </c>
      <c r="C2" s="283"/>
      <c r="D2" s="283"/>
      <c r="E2" s="283"/>
      <c r="F2" s="283"/>
      <c r="G2" s="283"/>
      <c r="H2" s="284"/>
      <c r="J2" s="285" t="s">
        <v>333</v>
      </c>
      <c r="K2" s="286"/>
      <c r="L2" s="286"/>
      <c r="M2" s="286"/>
      <c r="N2" s="286"/>
      <c r="O2" s="286"/>
      <c r="P2" s="286"/>
      <c r="Q2" s="286"/>
      <c r="R2" s="287"/>
      <c r="S2" s="117"/>
      <c r="T2" s="285" t="s">
        <v>331</v>
      </c>
      <c r="U2" s="286"/>
      <c r="V2" s="286"/>
      <c r="W2" s="286"/>
      <c r="X2" s="286"/>
      <c r="Y2" s="286"/>
      <c r="Z2" s="286"/>
      <c r="AA2" s="286"/>
      <c r="AB2" s="287"/>
    </row>
    <row r="3" spans="1:28" ht="16.2" thickBot="1" x14ac:dyDescent="0.35">
      <c r="A3" s="126" t="s">
        <v>93</v>
      </c>
      <c r="B3" s="88" t="s">
        <v>329</v>
      </c>
      <c r="C3" s="88" t="s">
        <v>326</v>
      </c>
      <c r="D3" s="88" t="s">
        <v>327</v>
      </c>
      <c r="E3" s="88" t="s">
        <v>328</v>
      </c>
      <c r="F3" s="124" t="s">
        <v>325</v>
      </c>
      <c r="G3" s="124" t="s">
        <v>115</v>
      </c>
      <c r="H3" s="125" t="s">
        <v>41</v>
      </c>
      <c r="J3" s="44"/>
      <c r="O3" s="29" t="s">
        <v>54</v>
      </c>
      <c r="P3" s="139" t="s">
        <v>76</v>
      </c>
      <c r="Q3" s="140" t="s">
        <v>62</v>
      </c>
      <c r="R3" s="141" t="s">
        <v>20</v>
      </c>
      <c r="S3" s="118"/>
      <c r="T3" s="44"/>
      <c r="U3" s="14"/>
      <c r="V3" s="13"/>
      <c r="W3" s="13"/>
      <c r="Y3" s="29" t="s">
        <v>54</v>
      </c>
      <c r="Z3" s="139" t="s">
        <v>76</v>
      </c>
      <c r="AA3" s="140" t="s">
        <v>62</v>
      </c>
      <c r="AB3" s="141" t="s">
        <v>20</v>
      </c>
    </row>
    <row r="4" spans="1:28" x14ac:dyDescent="0.3">
      <c r="A4" s="127" t="s">
        <v>53</v>
      </c>
      <c r="B4" s="89">
        <f>SUMIF(Deck[Column25],"North",Deck[Column28])</f>
        <v>41550000</v>
      </c>
      <c r="C4" s="89">
        <f>SUMIF(Deck[Column25],"West",Deck[Column28])</f>
        <v>31100000</v>
      </c>
      <c r="D4" s="89">
        <f>SUMIF(Deck[Column25],"Central",Deck[Column28])</f>
        <v>6700000</v>
      </c>
      <c r="E4" s="89">
        <f>SUMIF(Deck[Column25],"East",Deck[Column28])</f>
        <v>12800000</v>
      </c>
      <c r="F4" s="89">
        <f>SUMIF(Deck[Column25],"South",Deck[Column28])</f>
        <v>10100000</v>
      </c>
      <c r="G4" s="89">
        <f>SUMIF(Deck[Column25],"Virtual",Deck[Column28])</f>
        <v>0</v>
      </c>
      <c r="H4" s="27">
        <f>SUM(B4:G4)</f>
        <v>102250000</v>
      </c>
      <c r="J4" s="29" t="s">
        <v>54</v>
      </c>
      <c r="K4" s="196" t="s">
        <v>76</v>
      </c>
      <c r="L4" s="140" t="s">
        <v>62</v>
      </c>
      <c r="M4" s="141" t="s">
        <v>20</v>
      </c>
      <c r="O4" s="288" t="s">
        <v>57</v>
      </c>
      <c r="P4" s="138">
        <v>1</v>
      </c>
      <c r="Q4" s="163" t="s">
        <v>273</v>
      </c>
      <c r="R4" s="142">
        <f>VLOOKUP(Q4,'CHC Sales - YTD'!C:AC,27,0)</f>
        <v>20550</v>
      </c>
      <c r="S4" s="119"/>
      <c r="T4" s="29" t="s">
        <v>54</v>
      </c>
      <c r="U4" s="196" t="s">
        <v>76</v>
      </c>
      <c r="V4" s="140" t="s">
        <v>62</v>
      </c>
      <c r="W4" s="141" t="s">
        <v>20</v>
      </c>
      <c r="Y4" s="288" t="s">
        <v>57</v>
      </c>
      <c r="Z4" s="138">
        <v>1</v>
      </c>
      <c r="AA4" s="163" t="s">
        <v>273</v>
      </c>
      <c r="AB4" s="142">
        <f>VLOOKUP(AA4,'OL Sales YTD'!C:AC,27,0)</f>
        <v>0</v>
      </c>
    </row>
    <row r="5" spans="1:28" x14ac:dyDescent="0.3">
      <c r="A5" s="127" t="s">
        <v>52</v>
      </c>
      <c r="B5" s="89">
        <f>SUMIF(Deck[Column25],"North",Deck[Column30])</f>
        <v>3421134.39</v>
      </c>
      <c r="C5" s="89">
        <f>SUMIF(Deck[Column25],"West",Deck[Column30])</f>
        <v>2289300.71</v>
      </c>
      <c r="D5" s="89">
        <f>SUMIF(Deck[Column25],"Central",Deck[Column30])</f>
        <v>612449.02</v>
      </c>
      <c r="E5" s="89">
        <f>SUMIF(Deck[Column25],"East",Deck[Column30])</f>
        <v>832850.35000000009</v>
      </c>
      <c r="F5" s="89">
        <f>SUMIF(Deck[Column25],"South",Deck[Column30])</f>
        <v>382600.06</v>
      </c>
      <c r="G5" s="89">
        <f>SUMIF(Deck[Column25],"Virtual",Deck[Column30])</f>
        <v>18200</v>
      </c>
      <c r="H5" s="27">
        <f>SUM(B5:G5)</f>
        <v>7556534.5299999984</v>
      </c>
      <c r="J5" s="291" t="s">
        <v>55</v>
      </c>
      <c r="K5" s="138">
        <v>1</v>
      </c>
      <c r="L5" s="137" t="s">
        <v>2</v>
      </c>
      <c r="M5" s="142">
        <f>VLOOKUP(L5,'CHC Sales - YTD'!C:AC,27,0)</f>
        <v>242149</v>
      </c>
      <c r="O5" s="289"/>
      <c r="P5" s="138">
        <v>2</v>
      </c>
      <c r="Q5" s="163" t="s">
        <v>7</v>
      </c>
      <c r="R5" s="142">
        <f>VLOOKUP(Q5,'CHC Sales - YTD'!C:AC,27,0)</f>
        <v>365100.33</v>
      </c>
      <c r="S5" s="119"/>
      <c r="T5" s="291" t="s">
        <v>55</v>
      </c>
      <c r="U5" s="138">
        <v>1</v>
      </c>
      <c r="V5" s="137" t="s">
        <v>2</v>
      </c>
      <c r="W5" s="142">
        <f>VLOOKUP(V5,'OL Sales YTD'!C:AC,27,0)</f>
        <v>29689</v>
      </c>
      <c r="Y5" s="289"/>
      <c r="Z5" s="138">
        <v>2</v>
      </c>
      <c r="AA5" s="163" t="s">
        <v>7</v>
      </c>
      <c r="AB5" s="142">
        <f>VLOOKUP(AA5,'OL Sales YTD'!C:AC,27,0)</f>
        <v>3050</v>
      </c>
    </row>
    <row r="6" spans="1:28" ht="16.2" thickBot="1" x14ac:dyDescent="0.35">
      <c r="A6" s="128" t="s">
        <v>65</v>
      </c>
      <c r="B6" s="91">
        <f t="shared" ref="B6:F6" si="0">B5/B4%</f>
        <v>8.2337771119133585</v>
      </c>
      <c r="C6" s="91">
        <f t="shared" si="0"/>
        <v>7.3610955305466232</v>
      </c>
      <c r="D6" s="91">
        <f t="shared" si="0"/>
        <v>9.1410301492537318</v>
      </c>
      <c r="E6" s="91">
        <f t="shared" si="0"/>
        <v>6.5066433593750004</v>
      </c>
      <c r="F6" s="91">
        <f t="shared" si="0"/>
        <v>3.788119405940594</v>
      </c>
      <c r="G6" s="91">
        <v>0</v>
      </c>
      <c r="H6" s="92">
        <f>H5/H4%</f>
        <v>7.3902538190709031</v>
      </c>
      <c r="J6" s="292"/>
      <c r="K6" s="138">
        <v>2</v>
      </c>
      <c r="L6" s="137" t="s">
        <v>46</v>
      </c>
      <c r="M6" s="142">
        <f>VLOOKUP(L6,'CHC Sales - YTD'!C:AC,27,0)</f>
        <v>338050</v>
      </c>
      <c r="O6" s="289"/>
      <c r="P6" s="138">
        <v>3</v>
      </c>
      <c r="Q6" s="163" t="s">
        <v>8</v>
      </c>
      <c r="R6" s="142">
        <f>VLOOKUP(Q6,'CHC Sales - YTD'!C:AC,27,0)</f>
        <v>338850.02</v>
      </c>
      <c r="S6" s="119"/>
      <c r="T6" s="292"/>
      <c r="U6" s="138">
        <v>2</v>
      </c>
      <c r="V6" s="137" t="s">
        <v>46</v>
      </c>
      <c r="W6" s="142">
        <f>VLOOKUP(V6,'OL Sales YTD'!C:AC,27,0)</f>
        <v>950</v>
      </c>
      <c r="Y6" s="289"/>
      <c r="Z6" s="138">
        <v>3</v>
      </c>
      <c r="AA6" s="163" t="s">
        <v>8</v>
      </c>
      <c r="AB6" s="142">
        <f>VLOOKUP(AA6,'OL Sales YTD'!C:AC,27,0)</f>
        <v>970</v>
      </c>
    </row>
    <row r="7" spans="1:28" ht="16.2" thickBot="1" x14ac:dyDescent="0.35">
      <c r="J7" s="292"/>
      <c r="K7" s="138">
        <v>3</v>
      </c>
      <c r="L7" s="137" t="s">
        <v>301</v>
      </c>
      <c r="M7" s="142">
        <f>VLOOKUP(L7,'CHC Sales - YTD'!C:AC,27,0)</f>
        <v>0</v>
      </c>
      <c r="O7" s="289"/>
      <c r="P7" s="138">
        <v>4</v>
      </c>
      <c r="Q7" s="163" t="s">
        <v>266</v>
      </c>
      <c r="R7" s="142">
        <f>VLOOKUP(Q7,'CHC Sales - YTD'!C:AC,27,0)</f>
        <v>108350</v>
      </c>
      <c r="S7" s="119"/>
      <c r="T7" s="292"/>
      <c r="U7" s="138">
        <v>3</v>
      </c>
      <c r="V7" s="137" t="s">
        <v>301</v>
      </c>
      <c r="W7" s="142">
        <f>VLOOKUP(V7,'OL Sales YTD'!C:AC,27,0)</f>
        <v>0</v>
      </c>
      <c r="Y7" s="289"/>
      <c r="Z7" s="138">
        <v>4</v>
      </c>
      <c r="AA7" s="163" t="s">
        <v>266</v>
      </c>
      <c r="AB7" s="142">
        <f>VLOOKUP(AA7,'OL Sales YTD'!C:AC,27,0)</f>
        <v>2650</v>
      </c>
    </row>
    <row r="8" spans="1:28" ht="16.2" thickBot="1" x14ac:dyDescent="0.35">
      <c r="A8" s="183" t="s">
        <v>48</v>
      </c>
      <c r="B8" s="184"/>
      <c r="C8" s="184"/>
      <c r="D8" s="184"/>
      <c r="E8" s="184"/>
      <c r="F8" s="184"/>
      <c r="G8" s="185"/>
      <c r="J8" s="292"/>
      <c r="K8" s="138">
        <v>4</v>
      </c>
      <c r="L8" s="137" t="s">
        <v>302</v>
      </c>
      <c r="M8" s="142">
        <f>VLOOKUP(L8,'CHC Sales - YTD'!C:AC,27,0)</f>
        <v>174200.31</v>
      </c>
      <c r="O8" s="290"/>
      <c r="P8" s="197" t="s">
        <v>33</v>
      </c>
      <c r="Q8" s="198"/>
      <c r="R8" s="195">
        <f>SUM(R4:R7)</f>
        <v>832850.35000000009</v>
      </c>
      <c r="S8" s="119"/>
      <c r="T8" s="292"/>
      <c r="U8" s="138">
        <v>4</v>
      </c>
      <c r="V8" s="137" t="s">
        <v>302</v>
      </c>
      <c r="W8" s="142">
        <f>VLOOKUP(V8,'OL Sales YTD'!C:AC,27,0)</f>
        <v>4842</v>
      </c>
      <c r="Y8" s="290"/>
      <c r="Z8" s="197" t="s">
        <v>33</v>
      </c>
      <c r="AA8" s="198"/>
      <c r="AB8" s="195">
        <f>SUM(AB4:AB7)</f>
        <v>6670</v>
      </c>
    </row>
    <row r="9" spans="1:28" ht="16.2" thickBot="1" x14ac:dyDescent="0.35">
      <c r="A9" s="186" t="s">
        <v>113</v>
      </c>
      <c r="B9" s="187">
        <v>46082</v>
      </c>
      <c r="C9" s="187"/>
      <c r="D9" s="181">
        <f>A2</f>
        <v>46117</v>
      </c>
      <c r="E9" s="181"/>
      <c r="F9" s="181"/>
      <c r="G9" s="182"/>
      <c r="H9"/>
      <c r="J9" s="292"/>
      <c r="K9" s="138">
        <v>5</v>
      </c>
      <c r="L9" s="137" t="s">
        <v>4</v>
      </c>
      <c r="M9" s="142">
        <f>VLOOKUP(L9,'CHC Sales - YTD'!C:AC,27,0)</f>
        <v>1077299</v>
      </c>
      <c r="R9" s="204"/>
      <c r="S9" s="120"/>
      <c r="T9" s="292"/>
      <c r="U9" s="138">
        <v>5</v>
      </c>
      <c r="V9" s="137" t="s">
        <v>4</v>
      </c>
      <c r="W9" s="142">
        <f>VLOOKUP(V9,'OL Sales YTD'!C:AC,27,0)</f>
        <v>20800</v>
      </c>
      <c r="AB9" s="204"/>
    </row>
    <row r="10" spans="1:28" x14ac:dyDescent="0.3">
      <c r="A10" s="186"/>
      <c r="B10" s="103" t="s">
        <v>80</v>
      </c>
      <c r="C10" s="103" t="s">
        <v>82</v>
      </c>
      <c r="D10" s="48" t="s">
        <v>77</v>
      </c>
      <c r="E10" s="48" t="s">
        <v>81</v>
      </c>
      <c r="F10" s="48" t="s">
        <v>47</v>
      </c>
      <c r="G10" s="106" t="s">
        <v>50</v>
      </c>
      <c r="H10"/>
      <c r="J10" s="292"/>
      <c r="K10" s="138">
        <v>6</v>
      </c>
      <c r="L10" s="137" t="s">
        <v>303</v>
      </c>
      <c r="M10" s="142">
        <f>VLOOKUP(L10,'CHC Sales - YTD'!C:AC,27,0)</f>
        <v>381320</v>
      </c>
      <c r="O10" s="29" t="s">
        <v>54</v>
      </c>
      <c r="P10" s="139" t="s">
        <v>76</v>
      </c>
      <c r="Q10" s="140" t="s">
        <v>62</v>
      </c>
      <c r="R10" s="141" t="s">
        <v>20</v>
      </c>
      <c r="S10" s="117"/>
      <c r="T10" s="292"/>
      <c r="U10" s="138">
        <v>6</v>
      </c>
      <c r="V10" s="137" t="s">
        <v>303</v>
      </c>
      <c r="W10" s="142">
        <f>VLOOKUP(V10,'OL Sales YTD'!C:AC,27,0)</f>
        <v>25833</v>
      </c>
      <c r="Y10" s="29" t="s">
        <v>54</v>
      </c>
      <c r="Z10" s="139" t="s">
        <v>76</v>
      </c>
      <c r="AA10" s="140" t="s">
        <v>62</v>
      </c>
      <c r="AB10" s="141" t="s">
        <v>20</v>
      </c>
    </row>
    <row r="11" spans="1:28" x14ac:dyDescent="0.3">
      <c r="A11" s="107" t="s">
        <v>83</v>
      </c>
      <c r="B11" s="90">
        <v>81680752.109999999</v>
      </c>
      <c r="C11" s="90">
        <f>Sheet1!AF32</f>
        <v>8286906.0999999996</v>
      </c>
      <c r="D11" s="49">
        <f>'CHC Sales - YTD'!I31</f>
        <v>102250000</v>
      </c>
      <c r="E11" s="49">
        <f>'CHC Sales - YTD'!H31</f>
        <v>7556534.5299999993</v>
      </c>
      <c r="F11" s="17">
        <f>E11/D11</f>
        <v>7.3902538190709036E-2</v>
      </c>
      <c r="G11" s="108">
        <f>(E11-C11)/C11*100</f>
        <v>-8.8135615534487641</v>
      </c>
      <c r="H11"/>
      <c r="J11" s="292"/>
      <c r="K11" s="138">
        <v>7</v>
      </c>
      <c r="L11" s="137" t="s">
        <v>44</v>
      </c>
      <c r="M11" s="142">
        <f>VLOOKUP(L11,'CHC Sales - YTD'!C:AC,27,0)</f>
        <v>393400</v>
      </c>
      <c r="O11" s="294" t="s">
        <v>58</v>
      </c>
      <c r="P11" s="138">
        <v>1</v>
      </c>
      <c r="Q11" s="163" t="s">
        <v>1</v>
      </c>
      <c r="R11" s="142">
        <f>VLOOKUP(Q11,'CHC Sales - YTD'!C:AC,27,0)</f>
        <v>138100</v>
      </c>
      <c r="S11" s="117"/>
      <c r="T11" s="292"/>
      <c r="U11" s="138">
        <v>7</v>
      </c>
      <c r="V11" s="137" t="s">
        <v>44</v>
      </c>
      <c r="W11" s="142">
        <f>VLOOKUP(V11,'OL Sales YTD'!C:AC,27,0)</f>
        <v>11465</v>
      </c>
      <c r="Y11" s="294" t="s">
        <v>58</v>
      </c>
      <c r="Z11" s="138">
        <v>1</v>
      </c>
      <c r="AA11" s="163" t="s">
        <v>1</v>
      </c>
      <c r="AB11" s="142">
        <f>VLOOKUP(AA11,'OL Sales YTD'!C:AC,27,0)</f>
        <v>8033</v>
      </c>
    </row>
    <row r="12" spans="1:28" x14ac:dyDescent="0.3">
      <c r="A12" s="107" t="s">
        <v>49</v>
      </c>
      <c r="B12" s="90">
        <v>3069333</v>
      </c>
      <c r="C12" s="90">
        <f>Sheet1!AM32</f>
        <v>373197</v>
      </c>
      <c r="D12" s="49">
        <f>'OL Sales YTD'!I31</f>
        <v>6065000</v>
      </c>
      <c r="E12" s="49">
        <f>'OL Sales YTD'!H31</f>
        <v>294272.99</v>
      </c>
      <c r="F12" s="17">
        <f>E12/D12</f>
        <v>4.851986644682605E-2</v>
      </c>
      <c r="G12" s="108">
        <f>(E12-C12)/C12*100</f>
        <v>-21.148082648038439</v>
      </c>
      <c r="H12"/>
      <c r="J12" s="292"/>
      <c r="K12" s="138">
        <v>8</v>
      </c>
      <c r="L12" s="137" t="s">
        <v>10</v>
      </c>
      <c r="M12" s="142">
        <f>VLOOKUP(L12,'CHC Sales - YTD'!C:AC,27,0)</f>
        <v>531816.06000000006</v>
      </c>
      <c r="O12" s="295"/>
      <c r="P12" s="138">
        <v>2</v>
      </c>
      <c r="Q12" s="163" t="s">
        <v>3</v>
      </c>
      <c r="R12" s="142">
        <f>VLOOKUP(Q12,'CHC Sales - YTD'!C:AC,27,0)</f>
        <v>24550</v>
      </c>
      <c r="S12" s="117"/>
      <c r="T12" s="292"/>
      <c r="U12" s="138">
        <v>8</v>
      </c>
      <c r="V12" s="137" t="s">
        <v>10</v>
      </c>
      <c r="W12" s="142">
        <f>VLOOKUP(V12,'OL Sales YTD'!C:AC,27,0)</f>
        <v>28115</v>
      </c>
      <c r="Y12" s="295"/>
      <c r="Z12" s="138">
        <v>2</v>
      </c>
      <c r="AA12" s="163" t="s">
        <v>3</v>
      </c>
      <c r="AB12" s="142">
        <f>VLOOKUP(AA12,'OL Sales YTD'!C:AC,27,0)</f>
        <v>0</v>
      </c>
    </row>
    <row r="13" spans="1:28" x14ac:dyDescent="0.3">
      <c r="A13" s="107" t="s">
        <v>51</v>
      </c>
      <c r="B13" s="90">
        <v>807</v>
      </c>
      <c r="C13" s="90">
        <f>Sheet1!AY32</f>
        <v>114</v>
      </c>
      <c r="D13" s="104">
        <v>1360</v>
      </c>
      <c r="E13" s="49">
        <f>'MT- MNT TRACKER'!J32</f>
        <v>143</v>
      </c>
      <c r="F13" s="17">
        <f>E13/D13</f>
        <v>0.10514705882352941</v>
      </c>
      <c r="G13" s="108">
        <f>(E13-C13)/C13*100</f>
        <v>25.438596491228072</v>
      </c>
      <c r="H13"/>
      <c r="J13" s="292"/>
      <c r="K13" s="138">
        <v>9</v>
      </c>
      <c r="L13" s="137" t="s">
        <v>45</v>
      </c>
      <c r="M13" s="142">
        <f>VLOOKUP(L13,'CHC Sales - YTD'!C:AC,27,0)</f>
        <v>90150</v>
      </c>
      <c r="O13" s="295"/>
      <c r="P13" s="138">
        <v>3</v>
      </c>
      <c r="Q13" s="163" t="s">
        <v>5</v>
      </c>
      <c r="R13" s="142">
        <f>VLOOKUP(Q13,'CHC Sales - YTD'!C:AC,27,0)</f>
        <v>187950.06</v>
      </c>
      <c r="S13" s="117"/>
      <c r="T13" s="292"/>
      <c r="U13" s="138">
        <v>9</v>
      </c>
      <c r="V13" s="137" t="s">
        <v>45</v>
      </c>
      <c r="W13" s="142">
        <f>VLOOKUP(V13,'OL Sales YTD'!C:AC,27,0)</f>
        <v>0</v>
      </c>
      <c r="Y13" s="295"/>
      <c r="Z13" s="138">
        <v>3</v>
      </c>
      <c r="AA13" s="163" t="s">
        <v>5</v>
      </c>
      <c r="AB13" s="142">
        <f>VLOOKUP(AA13,'OL Sales YTD'!C:AC,27,0)</f>
        <v>0</v>
      </c>
    </row>
    <row r="14" spans="1:28" ht="16.2" thickBot="1" x14ac:dyDescent="0.35">
      <c r="A14" s="109" t="s">
        <v>16</v>
      </c>
      <c r="B14" s="110">
        <v>438</v>
      </c>
      <c r="C14" s="110">
        <f>Sheet1!AX32</f>
        <v>69</v>
      </c>
      <c r="D14" s="111"/>
      <c r="E14" s="112">
        <f>'MT- MNT TRACKER'!M32</f>
        <v>90</v>
      </c>
      <c r="F14" s="111"/>
      <c r="G14" s="113">
        <f>(E14-C14)/C14*100</f>
        <v>30.434782608695656</v>
      </c>
      <c r="H14"/>
      <c r="J14" s="292"/>
      <c r="K14" s="138">
        <v>10</v>
      </c>
      <c r="L14" s="137" t="s">
        <v>98</v>
      </c>
      <c r="M14" s="142">
        <f>VLOOKUP(L14,'CHC Sales - YTD'!C:AC,27,0)</f>
        <v>192750.02</v>
      </c>
      <c r="O14" s="295"/>
      <c r="P14" s="138">
        <v>4</v>
      </c>
      <c r="Q14" s="163" t="s">
        <v>308</v>
      </c>
      <c r="R14" s="142">
        <f>VLOOKUP(Q14,'CHC Sales - YTD'!C:AC,27,0)</f>
        <v>32000</v>
      </c>
      <c r="S14" s="118"/>
      <c r="T14" s="292"/>
      <c r="U14" s="138">
        <v>10</v>
      </c>
      <c r="V14" s="137" t="s">
        <v>98</v>
      </c>
      <c r="W14" s="142">
        <f>VLOOKUP(V14,'OL Sales YTD'!C:AC,27,0)</f>
        <v>51273</v>
      </c>
      <c r="Y14" s="295"/>
      <c r="Z14" s="138">
        <v>4</v>
      </c>
      <c r="AA14" s="163" t="s">
        <v>308</v>
      </c>
      <c r="AB14" s="142">
        <f>VLOOKUP(AA14,'OL Sales YTD'!C:AC,27,0)</f>
        <v>0</v>
      </c>
    </row>
    <row r="15" spans="1:28" ht="16.2" thickBot="1" x14ac:dyDescent="0.35">
      <c r="H15"/>
      <c r="J15" s="293"/>
      <c r="K15" s="197" t="s">
        <v>33</v>
      </c>
      <c r="L15" s="198"/>
      <c r="M15" s="195">
        <f>SUM(M5:M14)</f>
        <v>3421134.39</v>
      </c>
      <c r="O15" s="296"/>
      <c r="P15" s="199" t="s">
        <v>33</v>
      </c>
      <c r="Q15" s="199"/>
      <c r="R15" s="195">
        <f>SUM(R11:R14)</f>
        <v>382600.06</v>
      </c>
      <c r="S15" s="119"/>
      <c r="T15" s="293"/>
      <c r="U15" s="197" t="s">
        <v>33</v>
      </c>
      <c r="V15" s="198"/>
      <c r="W15" s="195">
        <f>SUM(W5:W14)</f>
        <v>172967</v>
      </c>
      <c r="Y15" s="296"/>
      <c r="Z15" s="199" t="s">
        <v>33</v>
      </c>
      <c r="AA15" s="199"/>
      <c r="AB15" s="195">
        <f>SUM(AB11:AB14)</f>
        <v>8033</v>
      </c>
    </row>
    <row r="16" spans="1:28" ht="16.2" thickBot="1" x14ac:dyDescent="0.35">
      <c r="A16"/>
      <c r="B16"/>
      <c r="C16"/>
      <c r="D16"/>
      <c r="E16"/>
      <c r="F16"/>
      <c r="G16"/>
      <c r="H16"/>
      <c r="J16" s="205"/>
      <c r="K16"/>
      <c r="L16"/>
      <c r="M16"/>
      <c r="R16" s="204"/>
      <c r="S16" s="119"/>
      <c r="T16" s="205"/>
      <c r="AB16" s="204"/>
    </row>
    <row r="17" spans="1:32" x14ac:dyDescent="0.3">
      <c r="A17"/>
      <c r="B17"/>
      <c r="C17"/>
      <c r="D17"/>
      <c r="E17"/>
      <c r="F17"/>
      <c r="G17"/>
      <c r="H17"/>
      <c r="J17" s="29" t="s">
        <v>54</v>
      </c>
      <c r="K17" s="139" t="s">
        <v>76</v>
      </c>
      <c r="L17" s="140" t="s">
        <v>62</v>
      </c>
      <c r="M17" s="141" t="s">
        <v>20</v>
      </c>
      <c r="O17" s="29" t="s">
        <v>54</v>
      </c>
      <c r="P17" s="139" t="s">
        <v>76</v>
      </c>
      <c r="Q17" s="140" t="s">
        <v>62</v>
      </c>
      <c r="R17" s="141" t="s">
        <v>20</v>
      </c>
      <c r="S17" s="120"/>
      <c r="T17" s="29" t="s">
        <v>54</v>
      </c>
      <c r="U17" s="139" t="s">
        <v>76</v>
      </c>
      <c r="V17" s="140" t="s">
        <v>62</v>
      </c>
      <c r="W17" s="141" t="s">
        <v>20</v>
      </c>
      <c r="Y17" s="29" t="s">
        <v>54</v>
      </c>
      <c r="Z17" s="139" t="s">
        <v>76</v>
      </c>
      <c r="AA17" s="140" t="s">
        <v>62</v>
      </c>
      <c r="AB17" s="141" t="s">
        <v>20</v>
      </c>
    </row>
    <row r="18" spans="1:32" x14ac:dyDescent="0.3">
      <c r="A18"/>
      <c r="B18"/>
      <c r="C18"/>
      <c r="D18"/>
      <c r="E18"/>
      <c r="F18"/>
      <c r="G18"/>
      <c r="H18"/>
      <c r="J18" s="297" t="s">
        <v>56</v>
      </c>
      <c r="K18" s="138">
        <v>1</v>
      </c>
      <c r="L18" s="137" t="s">
        <v>0</v>
      </c>
      <c r="M18" s="142">
        <f>VLOOKUP(L18,'CHC Sales - YTD'!C:AC,27,0)</f>
        <v>768730</v>
      </c>
      <c r="O18" s="300" t="s">
        <v>310</v>
      </c>
      <c r="P18" s="138">
        <v>1</v>
      </c>
      <c r="Q18" s="137" t="s">
        <v>6</v>
      </c>
      <c r="R18" s="142">
        <f>VLOOKUP(Q18,'CHC Sales - YTD'!C:AC,27,0)</f>
        <v>383750</v>
      </c>
      <c r="S18" s="117"/>
      <c r="T18" s="297" t="s">
        <v>56</v>
      </c>
      <c r="U18" s="138">
        <v>1</v>
      </c>
      <c r="V18" s="137" t="s">
        <v>0</v>
      </c>
      <c r="W18" s="142">
        <f>VLOOKUP(V18,'OL Sales YTD'!C:AC,27,0)</f>
        <v>7299.99</v>
      </c>
      <c r="Y18" s="300" t="s">
        <v>310</v>
      </c>
      <c r="Z18" s="138">
        <v>1</v>
      </c>
      <c r="AA18" s="137" t="s">
        <v>6</v>
      </c>
      <c r="AB18" s="142">
        <f>VLOOKUP(AA18,'OL Sales YTD'!C:AC,27,0)</f>
        <v>14100</v>
      </c>
    </row>
    <row r="19" spans="1:32" x14ac:dyDescent="0.3">
      <c r="A19"/>
      <c r="B19"/>
      <c r="C19"/>
      <c r="D19"/>
      <c r="E19"/>
      <c r="F19"/>
      <c r="G19"/>
      <c r="H19"/>
      <c r="J19" s="298"/>
      <c r="K19" s="138">
        <v>2</v>
      </c>
      <c r="L19" s="137" t="s">
        <v>304</v>
      </c>
      <c r="M19" s="142">
        <f>VLOOKUP(L19,'CHC Sales - YTD'!C:AC,27,0)</f>
        <v>823820</v>
      </c>
      <c r="O19" s="301"/>
      <c r="P19" s="138">
        <v>2</v>
      </c>
      <c r="Q19" s="137" t="s">
        <v>9</v>
      </c>
      <c r="R19" s="142">
        <f>VLOOKUP(Q19,'CHC Sales - YTD'!C:AC,27,0)</f>
        <v>228699.02</v>
      </c>
      <c r="S19" s="117"/>
      <c r="T19" s="298"/>
      <c r="U19" s="138">
        <v>2</v>
      </c>
      <c r="V19" s="137" t="s">
        <v>304</v>
      </c>
      <c r="W19" s="142">
        <f>VLOOKUP(V19,'OL Sales YTD'!C:AC,27,0)</f>
        <v>24890</v>
      </c>
      <c r="Y19" s="301"/>
      <c r="Z19" s="138">
        <v>2</v>
      </c>
      <c r="AA19" s="137" t="s">
        <v>9</v>
      </c>
      <c r="AB19" s="142">
        <f>VLOOKUP(AA19,'OL Sales YTD'!C:AC,27,0)</f>
        <v>22300</v>
      </c>
      <c r="AC19"/>
      <c r="AD19"/>
      <c r="AE19"/>
      <c r="AF19"/>
    </row>
    <row r="20" spans="1:32" ht="16.2" thickBot="1" x14ac:dyDescent="0.35">
      <c r="A20"/>
      <c r="B20"/>
      <c r="C20"/>
      <c r="D20"/>
      <c r="E20"/>
      <c r="F20"/>
      <c r="G20"/>
      <c r="H20"/>
      <c r="J20" s="298"/>
      <c r="K20" s="138">
        <v>3</v>
      </c>
      <c r="L20" s="137" t="s">
        <v>305</v>
      </c>
      <c r="M20" s="142">
        <f>VLOOKUP(L20,'CHC Sales - YTD'!C:AC,27,0)</f>
        <v>247750.69</v>
      </c>
      <c r="O20" s="302"/>
      <c r="P20" s="199" t="s">
        <v>33</v>
      </c>
      <c r="Q20" s="199"/>
      <c r="R20" s="195">
        <f>SUM(R18:R19)</f>
        <v>612449.02</v>
      </c>
      <c r="S20" s="119"/>
      <c r="T20" s="298"/>
      <c r="U20" s="138">
        <v>3</v>
      </c>
      <c r="V20" s="137" t="s">
        <v>305</v>
      </c>
      <c r="W20" s="142">
        <f>VLOOKUP(V20,'OL Sales YTD'!C:AC,27,0)</f>
        <v>16783</v>
      </c>
      <c r="Y20" s="302"/>
      <c r="Z20" s="199" t="s">
        <v>33</v>
      </c>
      <c r="AA20" s="199"/>
      <c r="AB20" s="195">
        <f>SUM(AB18:AB19)</f>
        <v>36400</v>
      </c>
      <c r="AC20"/>
      <c r="AD20"/>
      <c r="AE20"/>
      <c r="AF20"/>
    </row>
    <row r="21" spans="1:32" ht="16.2" thickBot="1" x14ac:dyDescent="0.35">
      <c r="A21"/>
      <c r="B21"/>
      <c r="C21"/>
      <c r="D21"/>
      <c r="E21"/>
      <c r="F21"/>
      <c r="G21"/>
      <c r="H21"/>
      <c r="J21" s="298"/>
      <c r="K21" s="138">
        <v>4</v>
      </c>
      <c r="L21" s="137" t="s">
        <v>306</v>
      </c>
      <c r="M21" s="142">
        <f>VLOOKUP(L21,'CHC Sales - YTD'!C:AC,27,0)</f>
        <v>160700.01999999999</v>
      </c>
      <c r="R21" s="204"/>
      <c r="S21" s="117"/>
      <c r="T21" s="298"/>
      <c r="U21" s="138">
        <v>4</v>
      </c>
      <c r="V21" s="137" t="s">
        <v>306</v>
      </c>
      <c r="W21" s="142">
        <f>VLOOKUP(V21,'OL Sales YTD'!C:AC,27,0)</f>
        <v>5000</v>
      </c>
      <c r="AB21" s="204"/>
      <c r="AC21"/>
      <c r="AD21"/>
      <c r="AE21"/>
      <c r="AF21"/>
    </row>
    <row r="22" spans="1:32" x14ac:dyDescent="0.3">
      <c r="A22"/>
      <c r="B22"/>
      <c r="C22"/>
      <c r="D22"/>
      <c r="E22"/>
      <c r="F22"/>
      <c r="G22"/>
      <c r="H22"/>
      <c r="J22" s="298"/>
      <c r="K22" s="138">
        <v>5</v>
      </c>
      <c r="L22" s="137" t="s">
        <v>299</v>
      </c>
      <c r="M22" s="142">
        <f>VLOOKUP(L22,'CHC Sales - YTD'!C:AC,27,0)</f>
        <v>3600</v>
      </c>
      <c r="O22" s="29" t="s">
        <v>54</v>
      </c>
      <c r="P22" s="139" t="s">
        <v>76</v>
      </c>
      <c r="Q22" s="140" t="s">
        <v>62</v>
      </c>
      <c r="R22" s="141" t="s">
        <v>20</v>
      </c>
      <c r="S22" s="117"/>
      <c r="T22" s="298"/>
      <c r="U22" s="138">
        <v>5</v>
      </c>
      <c r="V22" s="137" t="s">
        <v>299</v>
      </c>
      <c r="W22" s="142">
        <f>VLOOKUP(V22,'OL Sales YTD'!C:AC,27,0)</f>
        <v>0</v>
      </c>
      <c r="Y22" s="29" t="s">
        <v>54</v>
      </c>
      <c r="Z22" s="139" t="s">
        <v>76</v>
      </c>
      <c r="AA22" s="140" t="s">
        <v>62</v>
      </c>
      <c r="AB22" s="141" t="s">
        <v>20</v>
      </c>
      <c r="AC22"/>
      <c r="AD22"/>
      <c r="AE22"/>
      <c r="AF22"/>
    </row>
    <row r="23" spans="1:32" ht="16.2" thickBot="1" x14ac:dyDescent="0.35">
      <c r="J23" s="298"/>
      <c r="K23" s="138">
        <v>6</v>
      </c>
      <c r="L23" s="137" t="s">
        <v>108</v>
      </c>
      <c r="M23" s="142">
        <f>VLOOKUP(L23,'CHC Sales - YTD'!C:AC,27,0)</f>
        <v>220450</v>
      </c>
      <c r="O23" s="200" t="s">
        <v>115</v>
      </c>
      <c r="P23" s="201">
        <v>1</v>
      </c>
      <c r="Q23" s="163" t="s">
        <v>84</v>
      </c>
      <c r="R23" s="202">
        <f>VLOOKUP(Q23,'CHC Sales - YTD'!C:AC,27,0)</f>
        <v>18200</v>
      </c>
      <c r="S23" s="117"/>
      <c r="T23" s="298"/>
      <c r="U23" s="138">
        <v>6</v>
      </c>
      <c r="V23" s="137" t="s">
        <v>108</v>
      </c>
      <c r="W23" s="142">
        <f>VLOOKUP(V23,'OL Sales YTD'!C:AC,27,0)</f>
        <v>16230</v>
      </c>
      <c r="Y23" s="200" t="s">
        <v>115</v>
      </c>
      <c r="Z23" s="201">
        <v>1</v>
      </c>
      <c r="AA23" s="163" t="s">
        <v>84</v>
      </c>
      <c r="AB23" s="142">
        <f>VLOOKUP(AA23,'OL Sales YTD'!C:AC,27,0)</f>
        <v>0</v>
      </c>
      <c r="AC23"/>
      <c r="AD23"/>
      <c r="AE23"/>
      <c r="AF23"/>
    </row>
    <row r="24" spans="1:32" ht="15.6" customHeight="1" x14ac:dyDescent="0.3">
      <c r="J24" s="298"/>
      <c r="K24" s="138">
        <v>7</v>
      </c>
      <c r="L24" s="137" t="s">
        <v>280</v>
      </c>
      <c r="M24" s="142">
        <f>VLOOKUP(L24,'CHC Sales - YTD'!C:AC,27,0)</f>
        <v>64250</v>
      </c>
      <c r="R24" s="204"/>
      <c r="S24" s="117"/>
      <c r="T24" s="298"/>
      <c r="U24" s="138">
        <v>7</v>
      </c>
      <c r="V24" s="137" t="s">
        <v>280</v>
      </c>
      <c r="W24" s="142">
        <f>VLOOKUP(V24,'OL Sales YTD'!C:AC,27,0)</f>
        <v>0</v>
      </c>
      <c r="AB24" s="204"/>
      <c r="AC24"/>
      <c r="AD24"/>
      <c r="AE24"/>
      <c r="AF24"/>
    </row>
    <row r="25" spans="1:32" ht="16.2" thickBot="1" x14ac:dyDescent="0.35">
      <c r="J25" s="299"/>
      <c r="K25" s="199" t="s">
        <v>33</v>
      </c>
      <c r="L25" s="199"/>
      <c r="M25" s="195">
        <f>SUM(M18:M24)</f>
        <v>2289300.71</v>
      </c>
      <c r="R25" s="204"/>
      <c r="S25" s="117"/>
      <c r="T25" s="299"/>
      <c r="U25" s="199" t="s">
        <v>33</v>
      </c>
      <c r="V25" s="199"/>
      <c r="W25" s="195">
        <f>SUM(W18:W24)</f>
        <v>70202.989999999991</v>
      </c>
      <c r="AB25" s="204"/>
      <c r="AC25"/>
      <c r="AD25"/>
      <c r="AE25"/>
      <c r="AF25"/>
    </row>
    <row r="26" spans="1:32" ht="16.2" thickBot="1" x14ac:dyDescent="0.35">
      <c r="J26" s="44"/>
      <c r="R26" s="204"/>
      <c r="S26" s="117"/>
      <c r="T26" s="44"/>
      <c r="U26" s="14"/>
      <c r="V26" s="13"/>
      <c r="W26" s="13"/>
      <c r="AB26" s="204"/>
      <c r="AC26"/>
      <c r="AD26"/>
      <c r="AE26"/>
      <c r="AF26"/>
    </row>
    <row r="27" spans="1:32" ht="16.2" thickBot="1" x14ac:dyDescent="0.35">
      <c r="J27" s="206"/>
      <c r="K27" s="207"/>
      <c r="L27" s="207"/>
      <c r="M27" s="285" t="s">
        <v>332</v>
      </c>
      <c r="N27" s="286"/>
      <c r="O27" s="286"/>
      <c r="P27" s="203">
        <f>M15+M25+R8+R15+R20+R23</f>
        <v>7556534.5299999993</v>
      </c>
      <c r="Q27" s="207"/>
      <c r="R27" s="208"/>
      <c r="S27" s="117"/>
      <c r="T27" s="206"/>
      <c r="U27" s="207"/>
      <c r="V27" s="207"/>
      <c r="W27" s="285" t="s">
        <v>334</v>
      </c>
      <c r="X27" s="286"/>
      <c r="Y27" s="286"/>
      <c r="Z27" s="203">
        <f>W15+W25+AB8+AB15+AB20+AB23</f>
        <v>294272.99</v>
      </c>
      <c r="AA27" s="207"/>
      <c r="AB27" s="208"/>
      <c r="AC27"/>
      <c r="AD27"/>
      <c r="AE27"/>
      <c r="AF27"/>
    </row>
    <row r="28" spans="1:32" x14ac:dyDescent="0.3">
      <c r="AC28"/>
      <c r="AD28"/>
      <c r="AE28"/>
      <c r="AF28"/>
    </row>
    <row r="29" spans="1:32" x14ac:dyDescent="0.3">
      <c r="AC29"/>
      <c r="AD29"/>
      <c r="AE29"/>
      <c r="AF29"/>
    </row>
    <row r="30" spans="1:32" x14ac:dyDescent="0.3">
      <c r="AC30"/>
      <c r="AD30"/>
      <c r="AE30"/>
      <c r="AF30"/>
    </row>
    <row r="31" spans="1:32" x14ac:dyDescent="0.3">
      <c r="AC31"/>
      <c r="AD31"/>
      <c r="AE31"/>
      <c r="AF31"/>
    </row>
    <row r="34" spans="7:28" s="14" customFormat="1" x14ac:dyDescent="0.3">
      <c r="N34"/>
      <c r="O34"/>
      <c r="P34"/>
      <c r="Q34"/>
      <c r="R34"/>
      <c r="T34"/>
      <c r="U34"/>
      <c r="V34"/>
      <c r="W34"/>
      <c r="X34"/>
      <c r="Y34"/>
      <c r="Z34"/>
      <c r="AA34"/>
      <c r="AB34"/>
    </row>
    <row r="35" spans="7:28" x14ac:dyDescent="0.3">
      <c r="G35" s="15"/>
      <c r="H35" s="15"/>
    </row>
    <row r="36" spans="7:28" x14ac:dyDescent="0.3">
      <c r="G36" s="15"/>
      <c r="H36" s="15"/>
    </row>
  </sheetData>
  <mergeCells count="15">
    <mergeCell ref="T18:T25"/>
    <mergeCell ref="Y18:Y20"/>
    <mergeCell ref="W27:Y27"/>
    <mergeCell ref="J2:R2"/>
    <mergeCell ref="O11:O15"/>
    <mergeCell ref="O4:O8"/>
    <mergeCell ref="O18:O20"/>
    <mergeCell ref="J18:J25"/>
    <mergeCell ref="J5:J15"/>
    <mergeCell ref="M27:O27"/>
    <mergeCell ref="B2:H2"/>
    <mergeCell ref="T2:AB2"/>
    <mergeCell ref="Y4:Y8"/>
    <mergeCell ref="T5:T15"/>
    <mergeCell ref="Y11:Y15"/>
  </mergeCell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31"/>
  <sheetViews>
    <sheetView zoomScale="90" zoomScaleNormal="90" workbookViewId="0">
      <pane xSplit="3" ySplit="2" topLeftCell="D3" activePane="bottomRight" state="frozen"/>
      <selection sqref="A1:O1"/>
      <selection pane="topRight" sqref="A1:O1"/>
      <selection pane="bottomLeft" sqref="A1:O1"/>
      <selection pane="bottomRight"/>
    </sheetView>
  </sheetViews>
  <sheetFormatPr defaultRowHeight="14.4" x14ac:dyDescent="0.3"/>
  <cols>
    <col min="1" max="1" width="11.44140625" style="165" bestFit="1" customWidth="1"/>
    <col min="2" max="2" width="5.6640625" style="167" bestFit="1" customWidth="1"/>
    <col min="3" max="3" width="19.44140625" style="168" bestFit="1" customWidth="1"/>
    <col min="4" max="4" width="11.88671875" style="228" bestFit="1" customWidth="1"/>
    <col min="5" max="5" width="10.77734375" style="228" bestFit="1" customWidth="1"/>
    <col min="6" max="6" width="1.6640625" style="28" bestFit="1" customWidth="1"/>
    <col min="7" max="7" width="8.88671875" style="167" bestFit="1" customWidth="1"/>
    <col min="8" max="8" width="9.6640625" style="167" bestFit="1" customWidth="1"/>
    <col min="9" max="9" width="11.109375" style="167" bestFit="1" customWidth="1"/>
    <col min="10" max="10" width="7.6640625" style="167" bestFit="1" customWidth="1"/>
    <col min="11" max="11" width="11.5546875" style="167" bestFit="1" customWidth="1"/>
    <col min="12" max="12" width="1.6640625" style="167" bestFit="1" customWidth="1"/>
    <col min="13" max="13" width="9.88671875" style="167" bestFit="1" customWidth="1"/>
    <col min="14" max="15" width="9.88671875" style="167" hidden="1" customWidth="1"/>
    <col min="16" max="16" width="11" style="167" hidden="1" customWidth="1"/>
    <col min="17" max="19" width="9.88671875" style="167" hidden="1" customWidth="1"/>
    <col min="20" max="20" width="11" style="167" hidden="1" customWidth="1"/>
    <col min="21" max="23" width="9.88671875" style="167" hidden="1" customWidth="1"/>
    <col min="24" max="24" width="11" style="167" hidden="1" customWidth="1"/>
    <col min="25" max="27" width="9.88671875" style="167" hidden="1" customWidth="1"/>
    <col min="28" max="28" width="11" style="167" hidden="1" customWidth="1"/>
    <col min="29" max="29" width="11" style="167" customWidth="1"/>
    <col min="30" max="30" width="1.44140625" style="166" customWidth="1"/>
    <col min="31" max="31" width="9" style="167" bestFit="1" customWidth="1"/>
    <col min="32" max="32" width="10.77734375" style="167" bestFit="1" customWidth="1"/>
    <col min="33" max="33" width="13.44140625" style="167" bestFit="1" customWidth="1"/>
    <col min="34" max="34" width="7.44140625" style="167" bestFit="1" customWidth="1"/>
    <col min="35" max="35" width="9" style="167" bestFit="1" customWidth="1"/>
    <col min="36" max="36" width="10.77734375" style="167" bestFit="1" customWidth="1"/>
    <col min="37" max="37" width="10.21875" style="167" bestFit="1" customWidth="1"/>
    <col min="38" max="38" width="9.5546875" style="167" bestFit="1" customWidth="1"/>
    <col min="39" max="39" width="10.77734375" style="167" bestFit="1" customWidth="1"/>
    <col min="40" max="40" width="8.44140625" style="167" bestFit="1" customWidth="1"/>
    <col min="41" max="16384" width="8.88671875" style="167"/>
  </cols>
  <sheetData>
    <row r="1" spans="1:30" s="43" customFormat="1" ht="15.6" customHeight="1" thickBot="1" x14ac:dyDescent="0.35">
      <c r="A1" s="211">
        <f>'Sales Summary'!A2</f>
        <v>46117</v>
      </c>
      <c r="B1" s="212"/>
      <c r="C1" s="223" t="s">
        <v>83</v>
      </c>
      <c r="D1" s="303" t="s">
        <v>312</v>
      </c>
      <c r="E1" s="304"/>
      <c r="F1" s="169"/>
      <c r="G1" s="305" t="s">
        <v>275</v>
      </c>
      <c r="H1" s="306"/>
      <c r="I1" s="306"/>
      <c r="J1" s="306"/>
      <c r="K1" s="307"/>
      <c r="M1" s="308" t="s">
        <v>106</v>
      </c>
      <c r="N1" s="309"/>
      <c r="O1" s="309"/>
      <c r="P1" s="309"/>
      <c r="Q1" s="309"/>
      <c r="R1" s="309"/>
      <c r="S1" s="309"/>
      <c r="T1" s="309"/>
      <c r="U1" s="309"/>
      <c r="V1" s="309"/>
      <c r="W1" s="309"/>
      <c r="X1" s="309"/>
      <c r="Y1" s="309"/>
      <c r="Z1" s="309"/>
      <c r="AA1" s="309"/>
      <c r="AB1" s="309"/>
      <c r="AC1" s="310"/>
      <c r="AD1" s="151"/>
    </row>
    <row r="2" spans="1:30" s="43" customFormat="1" ht="29.4" thickBot="1" x14ac:dyDescent="0.35">
      <c r="A2" s="188" t="s">
        <v>54</v>
      </c>
      <c r="B2" s="154" t="s">
        <v>72</v>
      </c>
      <c r="C2" s="189" t="s">
        <v>85</v>
      </c>
      <c r="D2" s="224" t="s">
        <v>298</v>
      </c>
      <c r="E2" s="225" t="s">
        <v>59</v>
      </c>
      <c r="F2" s="169" t="s">
        <v>311</v>
      </c>
      <c r="G2" s="155" t="s">
        <v>79</v>
      </c>
      <c r="H2" s="156" t="s">
        <v>64</v>
      </c>
      <c r="I2" s="157" t="s">
        <v>18</v>
      </c>
      <c r="J2" s="158" t="s">
        <v>67</v>
      </c>
      <c r="K2" s="51" t="s">
        <v>94</v>
      </c>
      <c r="L2" s="42"/>
      <c r="M2" s="159" t="s">
        <v>104</v>
      </c>
      <c r="N2" s="160" t="s">
        <v>60</v>
      </c>
      <c r="O2" s="160" t="s">
        <v>102</v>
      </c>
      <c r="P2" s="161" t="s">
        <v>313</v>
      </c>
      <c r="Q2" s="159" t="s">
        <v>103</v>
      </c>
      <c r="R2" s="160" t="s">
        <v>61</v>
      </c>
      <c r="S2" s="160" t="s">
        <v>114</v>
      </c>
      <c r="T2" s="161" t="s">
        <v>33</v>
      </c>
      <c r="U2" s="159" t="s">
        <v>63</v>
      </c>
      <c r="V2" s="160" t="s">
        <v>271</v>
      </c>
      <c r="W2" s="160" t="s">
        <v>272</v>
      </c>
      <c r="X2" s="161" t="s">
        <v>33</v>
      </c>
      <c r="Y2" s="159" t="s">
        <v>285</v>
      </c>
      <c r="Z2" s="160" t="s">
        <v>286</v>
      </c>
      <c r="AA2" s="160" t="s">
        <v>287</v>
      </c>
      <c r="AB2" s="162" t="s">
        <v>33</v>
      </c>
      <c r="AC2" s="170" t="s">
        <v>41</v>
      </c>
      <c r="AD2" s="151"/>
    </row>
    <row r="3" spans="1:30" s="18" customFormat="1" ht="18" customHeight="1" thickBot="1" x14ac:dyDescent="0.35">
      <c r="A3" s="188" t="s">
        <v>310</v>
      </c>
      <c r="B3" s="152">
        <v>1</v>
      </c>
      <c r="C3" s="190" t="s">
        <v>6</v>
      </c>
      <c r="D3" s="224">
        <v>44797792</v>
      </c>
      <c r="E3" s="225">
        <v>3733000</v>
      </c>
      <c r="F3" s="169"/>
      <c r="G3" s="46">
        <f>VLOOKUP(C3,Deck[[Column27]:[Column32]],6,0)</f>
        <v>312580.7</v>
      </c>
      <c r="H3" s="50">
        <f>VLOOKUP(C3,Deck[[Column27]:[Column32]],4,0)</f>
        <v>383750</v>
      </c>
      <c r="I3" s="47">
        <f>VLOOKUP(C3,Deck[[Column27]:[Column32]],2,0)</f>
        <v>4100000</v>
      </c>
      <c r="J3" s="164">
        <f>IFERROR(H3/I3,0)</f>
        <v>9.3597560975609756E-2</v>
      </c>
      <c r="K3" s="52">
        <f>H3-G3</f>
        <v>71169.299999999988</v>
      </c>
      <c r="L3" s="42"/>
      <c r="M3" s="84">
        <f>H3</f>
        <v>383750</v>
      </c>
      <c r="N3" s="8"/>
      <c r="O3" s="8"/>
      <c r="P3" s="133">
        <f>SUM(M3:O3)</f>
        <v>383750</v>
      </c>
      <c r="Q3" s="84"/>
      <c r="R3" s="8"/>
      <c r="S3" s="8"/>
      <c r="T3" s="133">
        <f>SUM(Q3:S3)</f>
        <v>0</v>
      </c>
      <c r="U3" s="84"/>
      <c r="V3" s="8"/>
      <c r="W3" s="8"/>
      <c r="X3" s="133">
        <f>SUM(U3:W3)</f>
        <v>0</v>
      </c>
      <c r="Y3" s="84"/>
      <c r="Z3" s="8"/>
      <c r="AA3" s="8"/>
      <c r="AB3" s="83">
        <f>SUM(Y3:AA3)</f>
        <v>0</v>
      </c>
      <c r="AC3" s="144">
        <f>P3+T3+X3+AB3</f>
        <v>383750</v>
      </c>
      <c r="AD3" s="153"/>
    </row>
    <row r="4" spans="1:30" s="18" customFormat="1" ht="18" customHeight="1" thickBot="1" x14ac:dyDescent="0.35">
      <c r="A4" s="188" t="s">
        <v>310</v>
      </c>
      <c r="B4" s="152">
        <v>2</v>
      </c>
      <c r="C4" s="190" t="s">
        <v>9</v>
      </c>
      <c r="D4" s="224">
        <v>19485700</v>
      </c>
      <c r="E4" s="225">
        <v>1624000</v>
      </c>
      <c r="F4" s="169"/>
      <c r="G4" s="46">
        <f>VLOOKUP(C4,Deck[[Column27]:[Column32]],6,0)</f>
        <v>183660</v>
      </c>
      <c r="H4" s="50">
        <f>VLOOKUP(C4,Deck[[Column27]:[Column32]],4,0)</f>
        <v>228699.02</v>
      </c>
      <c r="I4" s="47">
        <f>VLOOKUP(C4,Deck[[Column27]:[Column32]],2,0)</f>
        <v>2600000</v>
      </c>
      <c r="J4" s="164">
        <f t="shared" ref="J4:J31" si="0">IFERROR(H4/I4,0)</f>
        <v>8.7961161538461535E-2</v>
      </c>
      <c r="K4" s="52">
        <f t="shared" ref="K4:K30" si="1">H4-G4</f>
        <v>45039.01999999999</v>
      </c>
      <c r="L4" s="42"/>
      <c r="M4" s="84">
        <f t="shared" ref="M4:M30" si="2">H4</f>
        <v>228699.02</v>
      </c>
      <c r="N4" s="8"/>
      <c r="O4" s="8"/>
      <c r="P4" s="133">
        <f t="shared" ref="P4:P30" si="3">SUM(M4:O4)</f>
        <v>228699.02</v>
      </c>
      <c r="Q4" s="84"/>
      <c r="R4" s="8"/>
      <c r="S4" s="8"/>
      <c r="T4" s="133">
        <f t="shared" ref="T4:T21" si="4">SUM(Q4:S4)</f>
        <v>0</v>
      </c>
      <c r="U4" s="84"/>
      <c r="V4" s="8"/>
      <c r="W4" s="8"/>
      <c r="X4" s="133">
        <f t="shared" ref="X4:X21" si="5">SUM(U4:W4)</f>
        <v>0</v>
      </c>
      <c r="Y4" s="84"/>
      <c r="Z4" s="8"/>
      <c r="AA4" s="8"/>
      <c r="AB4" s="83">
        <f t="shared" ref="AB4:AB21" si="6">SUM(Y4:AA4)</f>
        <v>0</v>
      </c>
      <c r="AC4" s="144">
        <f t="shared" ref="AC4:AC30" si="7">P4+T4+X4+AB4</f>
        <v>228699.02</v>
      </c>
      <c r="AD4" s="153"/>
    </row>
    <row r="5" spans="1:30" s="18" customFormat="1" ht="18" customHeight="1" thickBot="1" x14ac:dyDescent="0.35">
      <c r="A5" s="188" t="s">
        <v>57</v>
      </c>
      <c r="B5" s="152">
        <v>1</v>
      </c>
      <c r="C5" s="190" t="s">
        <v>273</v>
      </c>
      <c r="D5" s="224">
        <v>3363190</v>
      </c>
      <c r="E5" s="225">
        <v>561000</v>
      </c>
      <c r="F5" s="169"/>
      <c r="G5" s="46">
        <f>VLOOKUP(C5,Deck[[Column27]:[Column32]],6,0)</f>
        <v>193200.08</v>
      </c>
      <c r="H5" s="50">
        <f>VLOOKUP(C5,Deck[[Column27]:[Column32]],4,0)</f>
        <v>20550</v>
      </c>
      <c r="I5" s="47">
        <f>VLOOKUP(C5,Deck[[Column27]:[Column32]],2,0)</f>
        <v>1500000</v>
      </c>
      <c r="J5" s="164">
        <f t="shared" si="0"/>
        <v>1.37E-2</v>
      </c>
      <c r="K5" s="52">
        <f t="shared" si="1"/>
        <v>-172650.08</v>
      </c>
      <c r="L5" s="42"/>
      <c r="M5" s="84">
        <f t="shared" si="2"/>
        <v>20550</v>
      </c>
      <c r="N5" s="8"/>
      <c r="O5" s="8"/>
      <c r="P5" s="133">
        <f t="shared" si="3"/>
        <v>20550</v>
      </c>
      <c r="Q5" s="84"/>
      <c r="R5" s="8"/>
      <c r="S5" s="8"/>
      <c r="T5" s="133">
        <f t="shared" si="4"/>
        <v>0</v>
      </c>
      <c r="U5" s="84"/>
      <c r="V5" s="8"/>
      <c r="W5" s="8"/>
      <c r="X5" s="133">
        <f t="shared" si="5"/>
        <v>0</v>
      </c>
      <c r="Y5" s="84"/>
      <c r="Z5" s="8"/>
      <c r="AA5" s="8"/>
      <c r="AB5" s="83">
        <f t="shared" si="6"/>
        <v>0</v>
      </c>
      <c r="AC5" s="144">
        <f t="shared" si="7"/>
        <v>20550</v>
      </c>
      <c r="AD5" s="153"/>
    </row>
    <row r="6" spans="1:30" s="18" customFormat="1" ht="18" customHeight="1" thickBot="1" x14ac:dyDescent="0.35">
      <c r="A6" s="188" t="s">
        <v>57</v>
      </c>
      <c r="B6" s="152">
        <v>2</v>
      </c>
      <c r="C6" s="190" t="s">
        <v>7</v>
      </c>
      <c r="D6" s="224">
        <v>64149856</v>
      </c>
      <c r="E6" s="225">
        <v>5346000</v>
      </c>
      <c r="F6" s="169"/>
      <c r="G6" s="46">
        <f>VLOOKUP(C6,Deck[[Column27]:[Column32]],6,0)</f>
        <v>381600.12</v>
      </c>
      <c r="H6" s="50">
        <f>VLOOKUP(C6,Deck[[Column27]:[Column32]],4,0)</f>
        <v>365100.33</v>
      </c>
      <c r="I6" s="47">
        <f>VLOOKUP(C6,Deck[[Column27]:[Column32]],2,0)</f>
        <v>6600000</v>
      </c>
      <c r="J6" s="164">
        <f t="shared" si="0"/>
        <v>5.5318231818181823E-2</v>
      </c>
      <c r="K6" s="52">
        <f t="shared" si="1"/>
        <v>-16499.789999999979</v>
      </c>
      <c r="L6" s="42"/>
      <c r="M6" s="84">
        <f t="shared" si="2"/>
        <v>365100.33</v>
      </c>
      <c r="N6" s="8"/>
      <c r="O6" s="8"/>
      <c r="P6" s="133">
        <f t="shared" si="3"/>
        <v>365100.33</v>
      </c>
      <c r="Q6" s="84"/>
      <c r="R6" s="8"/>
      <c r="S6" s="8"/>
      <c r="T6" s="133">
        <f t="shared" si="4"/>
        <v>0</v>
      </c>
      <c r="U6" s="84"/>
      <c r="V6" s="8"/>
      <c r="W6" s="8"/>
      <c r="X6" s="133">
        <f t="shared" si="5"/>
        <v>0</v>
      </c>
      <c r="Y6" s="84"/>
      <c r="Z6" s="8"/>
      <c r="AA6" s="8"/>
      <c r="AB6" s="83">
        <f t="shared" si="6"/>
        <v>0</v>
      </c>
      <c r="AC6" s="144">
        <f t="shared" si="7"/>
        <v>365100.33</v>
      </c>
      <c r="AD6" s="153"/>
    </row>
    <row r="7" spans="1:30" s="18" customFormat="1" ht="18" customHeight="1" thickBot="1" x14ac:dyDescent="0.35">
      <c r="A7" s="188" t="s">
        <v>57</v>
      </c>
      <c r="B7" s="152">
        <v>3</v>
      </c>
      <c r="C7" s="190" t="s">
        <v>8</v>
      </c>
      <c r="D7" s="224">
        <v>25768188</v>
      </c>
      <c r="E7" s="225">
        <v>2147000</v>
      </c>
      <c r="F7" s="169"/>
      <c r="G7" s="46">
        <f>VLOOKUP(C7,Deck[[Column27]:[Column32]],6,0)</f>
        <v>106100</v>
      </c>
      <c r="H7" s="50">
        <f>VLOOKUP(C7,Deck[[Column27]:[Column32]],4,0)</f>
        <v>338850.02</v>
      </c>
      <c r="I7" s="47">
        <f>VLOOKUP(C7,Deck[[Column27]:[Column32]],2,0)</f>
        <v>2500000</v>
      </c>
      <c r="J7" s="164">
        <f t="shared" si="0"/>
        <v>0.13554000800000002</v>
      </c>
      <c r="K7" s="52">
        <f t="shared" si="1"/>
        <v>232750.02000000002</v>
      </c>
      <c r="L7" s="42"/>
      <c r="M7" s="84">
        <f t="shared" si="2"/>
        <v>338850.02</v>
      </c>
      <c r="N7" s="8"/>
      <c r="O7" s="8"/>
      <c r="P7" s="133">
        <f t="shared" si="3"/>
        <v>338850.02</v>
      </c>
      <c r="Q7" s="84"/>
      <c r="R7" s="8"/>
      <c r="S7" s="8"/>
      <c r="T7" s="133">
        <f t="shared" si="4"/>
        <v>0</v>
      </c>
      <c r="U7" s="84"/>
      <c r="V7" s="8"/>
      <c r="W7" s="8"/>
      <c r="X7" s="133">
        <f t="shared" si="5"/>
        <v>0</v>
      </c>
      <c r="Y7" s="84"/>
      <c r="Z7" s="8"/>
      <c r="AA7" s="8"/>
      <c r="AB7" s="83">
        <f t="shared" si="6"/>
        <v>0</v>
      </c>
      <c r="AC7" s="144">
        <f t="shared" si="7"/>
        <v>338850.02</v>
      </c>
      <c r="AD7" s="153"/>
    </row>
    <row r="8" spans="1:30" s="18" customFormat="1" ht="18" customHeight="1" thickBot="1" x14ac:dyDescent="0.35">
      <c r="A8" s="188" t="s">
        <v>57</v>
      </c>
      <c r="B8" s="152">
        <v>4</v>
      </c>
      <c r="C8" s="190" t="s">
        <v>266</v>
      </c>
      <c r="D8" s="224">
        <v>7152160</v>
      </c>
      <c r="E8" s="225">
        <v>1022000</v>
      </c>
      <c r="F8" s="169"/>
      <c r="G8" s="46">
        <f>VLOOKUP(C8,Deck[[Column27]:[Column32]],6,0)</f>
        <v>185800</v>
      </c>
      <c r="H8" s="50">
        <f>VLOOKUP(C8,Deck[[Column27]:[Column32]],4,0)</f>
        <v>108350</v>
      </c>
      <c r="I8" s="47">
        <f>VLOOKUP(C8,Deck[[Column27]:[Column32]],2,0)</f>
        <v>2200000</v>
      </c>
      <c r="J8" s="164">
        <f t="shared" si="0"/>
        <v>4.9250000000000002E-2</v>
      </c>
      <c r="K8" s="52">
        <f t="shared" si="1"/>
        <v>-77450</v>
      </c>
      <c r="L8" s="42"/>
      <c r="M8" s="84">
        <f t="shared" si="2"/>
        <v>108350</v>
      </c>
      <c r="N8" s="8"/>
      <c r="O8" s="8"/>
      <c r="P8" s="133">
        <f t="shared" si="3"/>
        <v>108350</v>
      </c>
      <c r="Q8" s="84"/>
      <c r="R8" s="8"/>
      <c r="S8" s="8"/>
      <c r="T8" s="133">
        <f t="shared" si="4"/>
        <v>0</v>
      </c>
      <c r="U8" s="84"/>
      <c r="V8" s="8"/>
      <c r="W8" s="8"/>
      <c r="X8" s="133">
        <f t="shared" si="5"/>
        <v>0</v>
      </c>
      <c r="Y8" s="84"/>
      <c r="Z8" s="8"/>
      <c r="AA8" s="8"/>
      <c r="AB8" s="83">
        <f t="shared" si="6"/>
        <v>0</v>
      </c>
      <c r="AC8" s="144">
        <f t="shared" si="7"/>
        <v>108350</v>
      </c>
      <c r="AD8" s="153"/>
    </row>
    <row r="9" spans="1:30" s="18" customFormat="1" ht="18" customHeight="1" thickBot="1" x14ac:dyDescent="0.35">
      <c r="A9" s="188" t="s">
        <v>116</v>
      </c>
      <c r="B9" s="152">
        <v>1</v>
      </c>
      <c r="C9" s="190" t="s">
        <v>2</v>
      </c>
      <c r="D9" s="224">
        <v>42663042</v>
      </c>
      <c r="E9" s="225">
        <v>3555000</v>
      </c>
      <c r="F9" s="169"/>
      <c r="G9" s="46">
        <f>VLOOKUP(C9,Deck[[Column27]:[Column32]],6,0)</f>
        <v>207400</v>
      </c>
      <c r="H9" s="50">
        <f>VLOOKUP(C9,Deck[[Column27]:[Column32]],4,0)</f>
        <v>242149</v>
      </c>
      <c r="I9" s="47">
        <f>VLOOKUP(C9,Deck[[Column27]:[Column32]],2,0)</f>
        <v>4000000</v>
      </c>
      <c r="J9" s="164">
        <f t="shared" si="0"/>
        <v>6.0537250000000001E-2</v>
      </c>
      <c r="K9" s="52">
        <f t="shared" si="1"/>
        <v>34749</v>
      </c>
      <c r="L9" s="42"/>
      <c r="M9" s="84">
        <f t="shared" si="2"/>
        <v>242149</v>
      </c>
      <c r="N9" s="8"/>
      <c r="O9" s="8"/>
      <c r="P9" s="133">
        <f t="shared" si="3"/>
        <v>242149</v>
      </c>
      <c r="Q9" s="84"/>
      <c r="R9" s="8"/>
      <c r="S9" s="8"/>
      <c r="T9" s="133">
        <f t="shared" si="4"/>
        <v>0</v>
      </c>
      <c r="U9" s="84"/>
      <c r="V9" s="8"/>
      <c r="W9" s="8"/>
      <c r="X9" s="133">
        <f t="shared" si="5"/>
        <v>0</v>
      </c>
      <c r="Y9" s="84"/>
      <c r="Z9" s="8"/>
      <c r="AA9" s="8"/>
      <c r="AB9" s="83">
        <f t="shared" si="6"/>
        <v>0</v>
      </c>
      <c r="AC9" s="144">
        <f t="shared" si="7"/>
        <v>242149</v>
      </c>
      <c r="AD9" s="153"/>
    </row>
    <row r="10" spans="1:30" s="18" customFormat="1" ht="18" customHeight="1" thickBot="1" x14ac:dyDescent="0.35">
      <c r="A10" s="188" t="s">
        <v>116</v>
      </c>
      <c r="B10" s="152">
        <v>2</v>
      </c>
      <c r="C10" s="190" t="s">
        <v>46</v>
      </c>
      <c r="D10" s="224">
        <v>31482617</v>
      </c>
      <c r="E10" s="225">
        <v>2624000</v>
      </c>
      <c r="F10" s="169"/>
      <c r="G10" s="46">
        <f>VLOOKUP(C10,Deck[[Column27]:[Column32]],6,0)</f>
        <v>506000</v>
      </c>
      <c r="H10" s="50">
        <f>VLOOKUP(C10,Deck[[Column27]:[Column32]],4,0)</f>
        <v>338050</v>
      </c>
      <c r="I10" s="47">
        <f>VLOOKUP(C10,Deck[[Column27]:[Column32]],2,0)</f>
        <v>2800000</v>
      </c>
      <c r="J10" s="164">
        <f t="shared" si="0"/>
        <v>0.12073214285714286</v>
      </c>
      <c r="K10" s="52">
        <f t="shared" si="1"/>
        <v>-167950</v>
      </c>
      <c r="L10" s="42"/>
      <c r="M10" s="84">
        <f t="shared" si="2"/>
        <v>338050</v>
      </c>
      <c r="N10" s="8"/>
      <c r="O10" s="8"/>
      <c r="P10" s="133">
        <f t="shared" si="3"/>
        <v>338050</v>
      </c>
      <c r="Q10" s="84"/>
      <c r="R10" s="8"/>
      <c r="S10" s="8"/>
      <c r="T10" s="133">
        <f t="shared" si="4"/>
        <v>0</v>
      </c>
      <c r="U10" s="84"/>
      <c r="V10" s="8"/>
      <c r="W10" s="8"/>
      <c r="X10" s="133">
        <f t="shared" si="5"/>
        <v>0</v>
      </c>
      <c r="Y10" s="84"/>
      <c r="Z10" s="8"/>
      <c r="AA10" s="8"/>
      <c r="AB10" s="83">
        <f t="shared" si="6"/>
        <v>0</v>
      </c>
      <c r="AC10" s="144">
        <f t="shared" si="7"/>
        <v>338050</v>
      </c>
      <c r="AD10" s="153"/>
    </row>
    <row r="11" spans="1:30" s="18" customFormat="1" ht="18" customHeight="1" thickBot="1" x14ac:dyDescent="0.35">
      <c r="A11" s="188" t="s">
        <v>116</v>
      </c>
      <c r="B11" s="152">
        <v>3</v>
      </c>
      <c r="C11" s="190" t="s">
        <v>301</v>
      </c>
      <c r="D11" s="224">
        <v>8338597</v>
      </c>
      <c r="E11" s="225">
        <v>758000</v>
      </c>
      <c r="F11" s="169"/>
      <c r="G11" s="46">
        <f>VLOOKUP(C11,Deck[[Column27]:[Column32]],6,0)</f>
        <v>74640</v>
      </c>
      <c r="H11" s="50">
        <f>VLOOKUP(C11,Deck[[Column27]:[Column32]],4,0)</f>
        <v>0</v>
      </c>
      <c r="I11" s="47">
        <f>VLOOKUP(C11,Deck[[Column27]:[Column32]],2,0)</f>
        <v>0</v>
      </c>
      <c r="J11" s="164">
        <f t="shared" si="0"/>
        <v>0</v>
      </c>
      <c r="K11" s="52">
        <f t="shared" si="1"/>
        <v>-74640</v>
      </c>
      <c r="L11" s="42"/>
      <c r="M11" s="84">
        <f t="shared" si="2"/>
        <v>0</v>
      </c>
      <c r="N11" s="8"/>
      <c r="O11" s="8"/>
      <c r="P11" s="133">
        <f t="shared" si="3"/>
        <v>0</v>
      </c>
      <c r="Q11" s="84"/>
      <c r="R11" s="8"/>
      <c r="S11" s="8"/>
      <c r="T11" s="133">
        <f t="shared" si="4"/>
        <v>0</v>
      </c>
      <c r="U11" s="84"/>
      <c r="V11" s="8"/>
      <c r="W11" s="8"/>
      <c r="X11" s="133">
        <f t="shared" si="5"/>
        <v>0</v>
      </c>
      <c r="Y11" s="84"/>
      <c r="Z11" s="8"/>
      <c r="AA11" s="8"/>
      <c r="AB11" s="83">
        <f t="shared" si="6"/>
        <v>0</v>
      </c>
      <c r="AC11" s="144">
        <f t="shared" si="7"/>
        <v>0</v>
      </c>
      <c r="AD11" s="153"/>
    </row>
    <row r="12" spans="1:30" s="18" customFormat="1" ht="18" customHeight="1" thickBot="1" x14ac:dyDescent="0.35">
      <c r="A12" s="188" t="s">
        <v>116</v>
      </c>
      <c r="B12" s="152">
        <v>4</v>
      </c>
      <c r="C12" s="190" t="s">
        <v>302</v>
      </c>
      <c r="D12" s="224">
        <v>57862575</v>
      </c>
      <c r="E12" s="225">
        <v>4822000</v>
      </c>
      <c r="F12" s="169"/>
      <c r="G12" s="46">
        <f>VLOOKUP(C12,Deck[[Column27]:[Column32]],6,0)</f>
        <v>660700</v>
      </c>
      <c r="H12" s="50">
        <f>VLOOKUP(C12,Deck[[Column27]:[Column32]],4,0)</f>
        <v>174200.31</v>
      </c>
      <c r="I12" s="47">
        <f>VLOOKUP(C12,Deck[[Column27]:[Column32]],2,0)</f>
        <v>5450000</v>
      </c>
      <c r="J12" s="164">
        <f t="shared" si="0"/>
        <v>3.1963359633027523E-2</v>
      </c>
      <c r="K12" s="52">
        <f t="shared" si="1"/>
        <v>-486499.69</v>
      </c>
      <c r="L12" s="42"/>
      <c r="M12" s="84">
        <f t="shared" si="2"/>
        <v>174200.31</v>
      </c>
      <c r="N12" s="8"/>
      <c r="O12" s="8"/>
      <c r="P12" s="133">
        <f t="shared" si="3"/>
        <v>174200.31</v>
      </c>
      <c r="Q12" s="84"/>
      <c r="R12" s="8"/>
      <c r="S12" s="8"/>
      <c r="T12" s="133">
        <f t="shared" si="4"/>
        <v>0</v>
      </c>
      <c r="U12" s="84"/>
      <c r="V12" s="8"/>
      <c r="W12" s="8"/>
      <c r="X12" s="133">
        <f t="shared" si="5"/>
        <v>0</v>
      </c>
      <c r="Y12" s="84"/>
      <c r="Z12" s="8"/>
      <c r="AA12" s="8"/>
      <c r="AB12" s="83">
        <f t="shared" si="6"/>
        <v>0</v>
      </c>
      <c r="AC12" s="144">
        <f t="shared" si="7"/>
        <v>174200.31</v>
      </c>
      <c r="AD12" s="153"/>
    </row>
    <row r="13" spans="1:30" s="18" customFormat="1" ht="18" customHeight="1" thickBot="1" x14ac:dyDescent="0.35">
      <c r="A13" s="188" t="s">
        <v>116</v>
      </c>
      <c r="B13" s="152">
        <v>5</v>
      </c>
      <c r="C13" s="190" t="s">
        <v>4</v>
      </c>
      <c r="D13" s="224">
        <v>64845350</v>
      </c>
      <c r="E13" s="225">
        <v>5404000</v>
      </c>
      <c r="F13" s="169"/>
      <c r="G13" s="46">
        <f>VLOOKUP(C13,Deck[[Column27]:[Column32]],6,0)</f>
        <v>421400</v>
      </c>
      <c r="H13" s="50">
        <f>VLOOKUP(C13,Deck[[Column27]:[Column32]],4,0)</f>
        <v>1077299</v>
      </c>
      <c r="I13" s="47">
        <f>VLOOKUP(C13,Deck[[Column27]:[Column32]],2,0)</f>
        <v>6200000</v>
      </c>
      <c r="J13" s="164">
        <f t="shared" si="0"/>
        <v>0.17375790322580645</v>
      </c>
      <c r="K13" s="52">
        <f t="shared" si="1"/>
        <v>655899</v>
      </c>
      <c r="L13" s="42"/>
      <c r="M13" s="84">
        <f t="shared" si="2"/>
        <v>1077299</v>
      </c>
      <c r="N13" s="8"/>
      <c r="O13" s="8"/>
      <c r="P13" s="133">
        <f t="shared" si="3"/>
        <v>1077299</v>
      </c>
      <c r="Q13" s="84"/>
      <c r="R13" s="8"/>
      <c r="S13" s="8"/>
      <c r="T13" s="133">
        <f t="shared" si="4"/>
        <v>0</v>
      </c>
      <c r="U13" s="84"/>
      <c r="V13" s="8"/>
      <c r="W13" s="8"/>
      <c r="X13" s="133">
        <f t="shared" si="5"/>
        <v>0</v>
      </c>
      <c r="Y13" s="84"/>
      <c r="Z13" s="8"/>
      <c r="AA13" s="8"/>
      <c r="AB13" s="83">
        <f t="shared" si="6"/>
        <v>0</v>
      </c>
      <c r="AC13" s="144">
        <f t="shared" si="7"/>
        <v>1077299</v>
      </c>
      <c r="AD13" s="153"/>
    </row>
    <row r="14" spans="1:30" s="18" customFormat="1" ht="18" customHeight="1" thickBot="1" x14ac:dyDescent="0.35">
      <c r="A14" s="188" t="s">
        <v>116</v>
      </c>
      <c r="B14" s="152">
        <v>6</v>
      </c>
      <c r="C14" s="190" t="s">
        <v>303</v>
      </c>
      <c r="D14" s="224">
        <v>78836099</v>
      </c>
      <c r="E14" s="225">
        <v>6570000</v>
      </c>
      <c r="F14" s="169"/>
      <c r="G14" s="46">
        <f>VLOOKUP(C14,Deck[[Column27]:[Column32]],6,0)</f>
        <v>496400</v>
      </c>
      <c r="H14" s="50">
        <f>VLOOKUP(C14,Deck[[Column27]:[Column32]],4,0)</f>
        <v>381320</v>
      </c>
      <c r="I14" s="47">
        <f>VLOOKUP(C14,Deck[[Column27]:[Column32]],2,0)</f>
        <v>7900000</v>
      </c>
      <c r="J14" s="164">
        <f t="shared" si="0"/>
        <v>4.8268354430379745E-2</v>
      </c>
      <c r="K14" s="52">
        <f t="shared" si="1"/>
        <v>-115080</v>
      </c>
      <c r="L14" s="42"/>
      <c r="M14" s="84">
        <f t="shared" si="2"/>
        <v>381320</v>
      </c>
      <c r="N14" s="8"/>
      <c r="O14" s="8"/>
      <c r="P14" s="133">
        <f t="shared" si="3"/>
        <v>381320</v>
      </c>
      <c r="Q14" s="84"/>
      <c r="R14" s="8"/>
      <c r="S14" s="8"/>
      <c r="T14" s="133">
        <f t="shared" si="4"/>
        <v>0</v>
      </c>
      <c r="U14" s="84"/>
      <c r="V14" s="8"/>
      <c r="W14" s="8"/>
      <c r="X14" s="133">
        <f t="shared" si="5"/>
        <v>0</v>
      </c>
      <c r="Y14" s="84"/>
      <c r="Z14" s="8"/>
      <c r="AA14" s="8"/>
      <c r="AB14" s="83">
        <f t="shared" si="6"/>
        <v>0</v>
      </c>
      <c r="AC14" s="144">
        <f t="shared" si="7"/>
        <v>381320</v>
      </c>
      <c r="AD14" s="153"/>
    </row>
    <row r="15" spans="1:30" s="18" customFormat="1" ht="18" customHeight="1" thickBot="1" x14ac:dyDescent="0.35">
      <c r="A15" s="188" t="s">
        <v>116</v>
      </c>
      <c r="B15" s="152">
        <v>7</v>
      </c>
      <c r="C15" s="190" t="s">
        <v>44</v>
      </c>
      <c r="D15" s="224">
        <v>34384120</v>
      </c>
      <c r="E15" s="225">
        <v>2865000</v>
      </c>
      <c r="F15" s="169"/>
      <c r="G15" s="46">
        <f>VLOOKUP(C15,Deck[[Column27]:[Column32]],6,0)</f>
        <v>355800</v>
      </c>
      <c r="H15" s="50">
        <f>VLOOKUP(C15,Deck[[Column27]:[Column32]],4,0)</f>
        <v>393400</v>
      </c>
      <c r="I15" s="47">
        <f>VLOOKUP(C15,Deck[[Column27]:[Column32]],2,0)</f>
        <v>4000000</v>
      </c>
      <c r="J15" s="164">
        <f t="shared" si="0"/>
        <v>9.8350000000000007E-2</v>
      </c>
      <c r="K15" s="52">
        <f t="shared" si="1"/>
        <v>37600</v>
      </c>
      <c r="L15" s="42"/>
      <c r="M15" s="84">
        <f t="shared" si="2"/>
        <v>393400</v>
      </c>
      <c r="N15" s="8"/>
      <c r="O15" s="8"/>
      <c r="P15" s="133">
        <f t="shared" si="3"/>
        <v>393400</v>
      </c>
      <c r="Q15" s="84"/>
      <c r="R15" s="8"/>
      <c r="S15" s="8"/>
      <c r="T15" s="133">
        <f t="shared" si="4"/>
        <v>0</v>
      </c>
      <c r="U15" s="84"/>
      <c r="V15" s="8"/>
      <c r="W15" s="8"/>
      <c r="X15" s="133">
        <f t="shared" si="5"/>
        <v>0</v>
      </c>
      <c r="Y15" s="84"/>
      <c r="Z15" s="8"/>
      <c r="AA15" s="8"/>
      <c r="AB15" s="83">
        <f t="shared" si="6"/>
        <v>0</v>
      </c>
      <c r="AC15" s="144">
        <f t="shared" si="7"/>
        <v>393400</v>
      </c>
      <c r="AD15" s="153"/>
    </row>
    <row r="16" spans="1:30" s="18" customFormat="1" ht="18" customHeight="1" thickBot="1" x14ac:dyDescent="0.35">
      <c r="A16" s="188" t="s">
        <v>116</v>
      </c>
      <c r="B16" s="152">
        <v>8</v>
      </c>
      <c r="C16" s="190" t="s">
        <v>10</v>
      </c>
      <c r="D16" s="224">
        <v>63018778</v>
      </c>
      <c r="E16" s="225">
        <v>5252000</v>
      </c>
      <c r="F16" s="169"/>
      <c r="G16" s="46">
        <f>VLOOKUP(C16,Deck[[Column27]:[Column32]],6,0)</f>
        <v>825975.08</v>
      </c>
      <c r="H16" s="50">
        <f>VLOOKUP(C16,Deck[[Column27]:[Column32]],4,0)</f>
        <v>531816.06000000006</v>
      </c>
      <c r="I16" s="47">
        <f>VLOOKUP(C16,Deck[[Column27]:[Column32]],2,0)</f>
        <v>6500000</v>
      </c>
      <c r="J16" s="164">
        <f t="shared" si="0"/>
        <v>8.181785538461539E-2</v>
      </c>
      <c r="K16" s="52">
        <f t="shared" si="1"/>
        <v>-294159.0199999999</v>
      </c>
      <c r="L16" s="42"/>
      <c r="M16" s="84">
        <f t="shared" si="2"/>
        <v>531816.06000000006</v>
      </c>
      <c r="N16" s="8"/>
      <c r="O16" s="8"/>
      <c r="P16" s="133">
        <f t="shared" si="3"/>
        <v>531816.06000000006</v>
      </c>
      <c r="Q16" s="84"/>
      <c r="R16" s="8"/>
      <c r="S16" s="8"/>
      <c r="T16" s="133">
        <f t="shared" si="4"/>
        <v>0</v>
      </c>
      <c r="U16" s="84"/>
      <c r="V16" s="8"/>
      <c r="W16" s="8"/>
      <c r="X16" s="133">
        <f t="shared" si="5"/>
        <v>0</v>
      </c>
      <c r="Y16" s="84"/>
      <c r="Z16" s="8"/>
      <c r="AA16" s="8"/>
      <c r="AB16" s="83">
        <f t="shared" si="6"/>
        <v>0</v>
      </c>
      <c r="AC16" s="144">
        <f t="shared" si="7"/>
        <v>531816.06000000006</v>
      </c>
      <c r="AD16" s="153"/>
    </row>
    <row r="17" spans="1:30" s="18" customFormat="1" ht="18" customHeight="1" thickBot="1" x14ac:dyDescent="0.35">
      <c r="A17" s="188" t="s">
        <v>116</v>
      </c>
      <c r="B17" s="152">
        <v>9</v>
      </c>
      <c r="C17" s="190" t="s">
        <v>45</v>
      </c>
      <c r="D17" s="224">
        <v>29277402</v>
      </c>
      <c r="E17" s="225">
        <v>2440000</v>
      </c>
      <c r="F17" s="169"/>
      <c r="G17" s="46">
        <f>VLOOKUP(C17,Deck[[Column27]:[Column32]],6,0)</f>
        <v>24700</v>
      </c>
      <c r="H17" s="50">
        <f>VLOOKUP(C17,Deck[[Column27]:[Column32]],4,0)</f>
        <v>90150</v>
      </c>
      <c r="I17" s="47">
        <f>VLOOKUP(C17,Deck[[Column27]:[Column32]],2,0)</f>
        <v>2500000</v>
      </c>
      <c r="J17" s="164">
        <f t="shared" si="0"/>
        <v>3.6060000000000002E-2</v>
      </c>
      <c r="K17" s="52">
        <f t="shared" si="1"/>
        <v>65450</v>
      </c>
      <c r="L17" s="42"/>
      <c r="M17" s="84">
        <f t="shared" si="2"/>
        <v>90150</v>
      </c>
      <c r="N17" s="8"/>
      <c r="O17" s="8"/>
      <c r="P17" s="133">
        <f t="shared" si="3"/>
        <v>90150</v>
      </c>
      <c r="Q17" s="84"/>
      <c r="R17" s="8"/>
      <c r="S17" s="8"/>
      <c r="T17" s="133">
        <f t="shared" si="4"/>
        <v>0</v>
      </c>
      <c r="U17" s="84"/>
      <c r="V17" s="8"/>
      <c r="W17" s="8"/>
      <c r="X17" s="133">
        <f t="shared" si="5"/>
        <v>0</v>
      </c>
      <c r="Y17" s="84"/>
      <c r="Z17" s="8"/>
      <c r="AA17" s="8"/>
      <c r="AB17" s="83">
        <f t="shared" si="6"/>
        <v>0</v>
      </c>
      <c r="AC17" s="144">
        <f t="shared" si="7"/>
        <v>90150</v>
      </c>
      <c r="AD17" s="153"/>
    </row>
    <row r="18" spans="1:30" s="18" customFormat="1" ht="18" customHeight="1" thickBot="1" x14ac:dyDescent="0.35">
      <c r="A18" s="188" t="s">
        <v>116</v>
      </c>
      <c r="B18" s="152">
        <v>10</v>
      </c>
      <c r="C18" s="190" t="s">
        <v>98</v>
      </c>
      <c r="D18" s="224">
        <v>16579290</v>
      </c>
      <c r="E18" s="225">
        <v>1507000</v>
      </c>
      <c r="F18" s="169"/>
      <c r="G18" s="46">
        <f>VLOOKUP(C18,Deck[[Column27]:[Column32]],6,0)</f>
        <v>86000</v>
      </c>
      <c r="H18" s="50">
        <f>VLOOKUP(C18,Deck[[Column27]:[Column32]],4,0)</f>
        <v>192750.02</v>
      </c>
      <c r="I18" s="47">
        <f>VLOOKUP(C18,Deck[[Column27]:[Column32]],2,0)</f>
        <v>2200000</v>
      </c>
      <c r="J18" s="164">
        <f t="shared" si="0"/>
        <v>8.7613645454545447E-2</v>
      </c>
      <c r="K18" s="52">
        <f t="shared" si="1"/>
        <v>106750.01999999999</v>
      </c>
      <c r="L18" s="42"/>
      <c r="M18" s="84">
        <f t="shared" si="2"/>
        <v>192750.02</v>
      </c>
      <c r="N18" s="8"/>
      <c r="O18" s="8"/>
      <c r="P18" s="133">
        <f t="shared" si="3"/>
        <v>192750.02</v>
      </c>
      <c r="Q18" s="84"/>
      <c r="R18" s="8"/>
      <c r="S18" s="8"/>
      <c r="T18" s="133">
        <f t="shared" si="4"/>
        <v>0</v>
      </c>
      <c r="U18" s="84"/>
      <c r="V18" s="8"/>
      <c r="W18" s="8"/>
      <c r="X18" s="133">
        <f t="shared" si="5"/>
        <v>0</v>
      </c>
      <c r="Y18" s="84"/>
      <c r="Z18" s="8"/>
      <c r="AA18" s="8"/>
      <c r="AB18" s="83">
        <f t="shared" si="6"/>
        <v>0</v>
      </c>
      <c r="AC18" s="144">
        <f t="shared" si="7"/>
        <v>192750.02</v>
      </c>
      <c r="AD18" s="153"/>
    </row>
    <row r="19" spans="1:30" s="18" customFormat="1" ht="18" customHeight="1" thickBot="1" x14ac:dyDescent="0.35">
      <c r="A19" s="188" t="s">
        <v>58</v>
      </c>
      <c r="B19" s="152">
        <v>1</v>
      </c>
      <c r="C19" s="190" t="s">
        <v>1</v>
      </c>
      <c r="D19" s="224">
        <v>36359350</v>
      </c>
      <c r="E19" s="225">
        <v>3030000</v>
      </c>
      <c r="F19" s="169"/>
      <c r="G19" s="46">
        <f>VLOOKUP(C19,Deck[[Column27]:[Column32]],6,0)</f>
        <v>97350.04</v>
      </c>
      <c r="H19" s="50">
        <f>VLOOKUP(C19,Deck[[Column27]:[Column32]],4,0)</f>
        <v>138100</v>
      </c>
      <c r="I19" s="47">
        <f>VLOOKUP(C19,Deck[[Column27]:[Column32]],2,0)</f>
        <v>3800000</v>
      </c>
      <c r="J19" s="164">
        <f t="shared" si="0"/>
        <v>3.6342105263157898E-2</v>
      </c>
      <c r="K19" s="52">
        <f t="shared" si="1"/>
        <v>40749.960000000006</v>
      </c>
      <c r="L19" s="42"/>
      <c r="M19" s="84">
        <f t="shared" si="2"/>
        <v>138100</v>
      </c>
      <c r="N19" s="8"/>
      <c r="O19" s="8"/>
      <c r="P19" s="133">
        <f t="shared" si="3"/>
        <v>138100</v>
      </c>
      <c r="Q19" s="84"/>
      <c r="R19" s="8"/>
      <c r="S19" s="8"/>
      <c r="T19" s="133">
        <f t="shared" si="4"/>
        <v>0</v>
      </c>
      <c r="U19" s="84"/>
      <c r="V19" s="8"/>
      <c r="W19" s="8"/>
      <c r="X19" s="133">
        <f t="shared" si="5"/>
        <v>0</v>
      </c>
      <c r="Y19" s="84"/>
      <c r="Z19" s="8"/>
      <c r="AA19" s="8"/>
      <c r="AB19" s="83">
        <f t="shared" si="6"/>
        <v>0</v>
      </c>
      <c r="AC19" s="144">
        <f t="shared" si="7"/>
        <v>138100</v>
      </c>
      <c r="AD19" s="153"/>
    </row>
    <row r="20" spans="1:30" s="18" customFormat="1" ht="18" customHeight="1" thickBot="1" x14ac:dyDescent="0.35">
      <c r="A20" s="188" t="s">
        <v>58</v>
      </c>
      <c r="B20" s="152">
        <v>2</v>
      </c>
      <c r="C20" s="190" t="s">
        <v>3</v>
      </c>
      <c r="D20" s="224">
        <v>16747110</v>
      </c>
      <c r="E20" s="225">
        <v>1396000</v>
      </c>
      <c r="F20" s="169"/>
      <c r="G20" s="46">
        <f>VLOOKUP(C20,Deck[[Column27]:[Column32]],6,0)</f>
        <v>186700</v>
      </c>
      <c r="H20" s="50">
        <f>VLOOKUP(C20,Deck[[Column27]:[Column32]],4,0)</f>
        <v>24550</v>
      </c>
      <c r="I20" s="47">
        <f>VLOOKUP(C20,Deck[[Column27]:[Column32]],2,0)</f>
        <v>2500000</v>
      </c>
      <c r="J20" s="164">
        <f t="shared" si="0"/>
        <v>9.8200000000000006E-3</v>
      </c>
      <c r="K20" s="52">
        <f t="shared" si="1"/>
        <v>-162150</v>
      </c>
      <c r="L20" s="42"/>
      <c r="M20" s="84">
        <f t="shared" si="2"/>
        <v>24550</v>
      </c>
      <c r="N20" s="8"/>
      <c r="O20" s="8"/>
      <c r="P20" s="133">
        <f t="shared" si="3"/>
        <v>24550</v>
      </c>
      <c r="Q20" s="84"/>
      <c r="R20" s="8"/>
      <c r="S20" s="8"/>
      <c r="T20" s="133">
        <f t="shared" si="4"/>
        <v>0</v>
      </c>
      <c r="U20" s="84"/>
      <c r="V20" s="8"/>
      <c r="W20" s="8"/>
      <c r="X20" s="133">
        <f t="shared" si="5"/>
        <v>0</v>
      </c>
      <c r="Y20" s="84"/>
      <c r="Z20" s="8"/>
      <c r="AA20" s="8"/>
      <c r="AB20" s="83">
        <f t="shared" si="6"/>
        <v>0</v>
      </c>
      <c r="AC20" s="144">
        <f t="shared" si="7"/>
        <v>24550</v>
      </c>
      <c r="AD20" s="153"/>
    </row>
    <row r="21" spans="1:30" s="18" customFormat="1" ht="18" customHeight="1" thickBot="1" x14ac:dyDescent="0.35">
      <c r="A21" s="188" t="s">
        <v>58</v>
      </c>
      <c r="B21" s="152">
        <v>3</v>
      </c>
      <c r="C21" s="190" t="s">
        <v>5</v>
      </c>
      <c r="D21" s="224">
        <v>36916482</v>
      </c>
      <c r="E21" s="225">
        <v>3076000</v>
      </c>
      <c r="F21" s="169"/>
      <c r="G21" s="46">
        <f>VLOOKUP(C21,Deck[[Column27]:[Column32]],6,0)</f>
        <v>259600</v>
      </c>
      <c r="H21" s="50">
        <f>VLOOKUP(C21,Deck[[Column27]:[Column32]],4,0)</f>
        <v>187950.06</v>
      </c>
      <c r="I21" s="47">
        <f>VLOOKUP(C21,Deck[[Column27]:[Column32]],2,0)</f>
        <v>3800000</v>
      </c>
      <c r="J21" s="164">
        <f t="shared" si="0"/>
        <v>4.9460542105263156E-2</v>
      </c>
      <c r="K21" s="52">
        <f t="shared" si="1"/>
        <v>-71649.94</v>
      </c>
      <c r="L21" s="42"/>
      <c r="M21" s="84">
        <f t="shared" si="2"/>
        <v>187950.06</v>
      </c>
      <c r="N21" s="8"/>
      <c r="O21" s="8"/>
      <c r="P21" s="133">
        <f t="shared" si="3"/>
        <v>187950.06</v>
      </c>
      <c r="Q21" s="84"/>
      <c r="R21" s="8"/>
      <c r="S21" s="8"/>
      <c r="T21" s="133">
        <f t="shared" si="4"/>
        <v>0</v>
      </c>
      <c r="U21" s="84"/>
      <c r="V21" s="8"/>
      <c r="W21" s="8"/>
      <c r="X21" s="133">
        <f t="shared" si="5"/>
        <v>0</v>
      </c>
      <c r="Y21" s="84"/>
      <c r="Z21" s="8"/>
      <c r="AA21" s="8"/>
      <c r="AB21" s="83">
        <f t="shared" si="6"/>
        <v>0</v>
      </c>
      <c r="AC21" s="144">
        <f t="shared" si="7"/>
        <v>187950.06</v>
      </c>
      <c r="AD21" s="153"/>
    </row>
    <row r="22" spans="1:30" s="18" customFormat="1" ht="18" customHeight="1" thickBot="1" x14ac:dyDescent="0.35">
      <c r="A22" s="188" t="s">
        <v>58</v>
      </c>
      <c r="B22" s="152">
        <v>4</v>
      </c>
      <c r="C22" s="190" t="s">
        <v>308</v>
      </c>
      <c r="D22" s="224">
        <v>6441999</v>
      </c>
      <c r="E22" s="225">
        <v>586000</v>
      </c>
      <c r="F22" s="169"/>
      <c r="G22" s="46">
        <f>VLOOKUP(C22,Deck[[Column27]:[Column32]],6,0)</f>
        <v>60000</v>
      </c>
      <c r="H22" s="50">
        <f>VLOOKUP(C22,Deck[[Column27]:[Column32]],4,0)</f>
        <v>32000</v>
      </c>
      <c r="I22" s="47">
        <f>VLOOKUP(C22,Deck[[Column27]:[Column32]],2,0)</f>
        <v>0</v>
      </c>
      <c r="J22" s="164">
        <f t="shared" si="0"/>
        <v>0</v>
      </c>
      <c r="K22" s="52">
        <f t="shared" si="1"/>
        <v>-28000</v>
      </c>
      <c r="L22" s="42"/>
      <c r="M22" s="84">
        <f t="shared" si="2"/>
        <v>32000</v>
      </c>
      <c r="N22" s="8"/>
      <c r="O22" s="8"/>
      <c r="P22" s="133">
        <f t="shared" si="3"/>
        <v>32000</v>
      </c>
      <c r="Q22" s="84"/>
      <c r="R22" s="8"/>
      <c r="S22" s="8"/>
      <c r="T22" s="133"/>
      <c r="U22" s="84"/>
      <c r="V22" s="8"/>
      <c r="W22" s="8"/>
      <c r="X22" s="133"/>
      <c r="Y22" s="84"/>
      <c r="Z22" s="8"/>
      <c r="AA22" s="8"/>
      <c r="AB22" s="83"/>
      <c r="AC22" s="144">
        <f t="shared" si="7"/>
        <v>32000</v>
      </c>
      <c r="AD22" s="153"/>
    </row>
    <row r="23" spans="1:30" s="18" customFormat="1" ht="18" customHeight="1" thickBot="1" x14ac:dyDescent="0.35">
      <c r="A23" s="188" t="s">
        <v>115</v>
      </c>
      <c r="B23" s="152">
        <v>1</v>
      </c>
      <c r="C23" s="190" t="s">
        <v>84</v>
      </c>
      <c r="D23" s="224">
        <v>6559405</v>
      </c>
      <c r="E23" s="225">
        <v>547000</v>
      </c>
      <c r="F23" s="169"/>
      <c r="G23" s="46">
        <f>VLOOKUP(C23,Deck[[Column27]:[Column32]],6,0)</f>
        <v>15400</v>
      </c>
      <c r="H23" s="50">
        <f>VLOOKUP(C23,Deck[[Column27]:[Column32]],4,0)</f>
        <v>18200</v>
      </c>
      <c r="I23" s="47">
        <f>VLOOKUP(C23,Deck[[Column27]:[Column32]],2,0)</f>
        <v>0</v>
      </c>
      <c r="J23" s="164">
        <f t="shared" si="0"/>
        <v>0</v>
      </c>
      <c r="K23" s="52">
        <f t="shared" si="1"/>
        <v>2800</v>
      </c>
      <c r="L23" s="42"/>
      <c r="M23" s="84">
        <f t="shared" si="2"/>
        <v>18200</v>
      </c>
      <c r="N23" s="8"/>
      <c r="O23" s="8"/>
      <c r="P23" s="133">
        <f t="shared" si="3"/>
        <v>18200</v>
      </c>
      <c r="Q23" s="84"/>
      <c r="R23" s="8"/>
      <c r="S23" s="8"/>
      <c r="T23" s="133"/>
      <c r="U23" s="84"/>
      <c r="V23" s="8"/>
      <c r="W23" s="8"/>
      <c r="X23" s="133"/>
      <c r="Y23" s="84"/>
      <c r="Z23" s="8"/>
      <c r="AA23" s="8"/>
      <c r="AB23" s="83"/>
      <c r="AC23" s="144">
        <f t="shared" si="7"/>
        <v>18200</v>
      </c>
      <c r="AD23" s="153"/>
    </row>
    <row r="24" spans="1:30" s="18" customFormat="1" ht="18" customHeight="1" thickBot="1" x14ac:dyDescent="0.35">
      <c r="A24" s="188" t="s">
        <v>56</v>
      </c>
      <c r="B24" s="152">
        <v>1</v>
      </c>
      <c r="C24" s="190" t="s">
        <v>0</v>
      </c>
      <c r="D24" s="224">
        <v>128618523</v>
      </c>
      <c r="E24" s="225">
        <v>10718000</v>
      </c>
      <c r="F24" s="169"/>
      <c r="G24" s="46">
        <f>VLOOKUP(C24,Deck[[Column27]:[Column32]],6,0)</f>
        <v>558300</v>
      </c>
      <c r="H24" s="50">
        <f>VLOOKUP(C24,Deck[[Column27]:[Column32]],4,0)</f>
        <v>768730</v>
      </c>
      <c r="I24" s="47">
        <f>VLOOKUP(C24,Deck[[Column27]:[Column32]],2,0)</f>
        <v>12000000</v>
      </c>
      <c r="J24" s="164">
        <f t="shared" si="0"/>
        <v>6.4060833333333331E-2</v>
      </c>
      <c r="K24" s="52">
        <f t="shared" si="1"/>
        <v>210430</v>
      </c>
      <c r="L24" s="42"/>
      <c r="M24" s="84">
        <f t="shared" si="2"/>
        <v>768730</v>
      </c>
      <c r="N24" s="8"/>
      <c r="O24" s="8"/>
      <c r="P24" s="133">
        <f t="shared" si="3"/>
        <v>768730</v>
      </c>
      <c r="Q24" s="84"/>
      <c r="R24" s="8"/>
      <c r="S24" s="8"/>
      <c r="T24" s="133"/>
      <c r="U24" s="84"/>
      <c r="V24" s="8"/>
      <c r="W24" s="8"/>
      <c r="X24" s="133"/>
      <c r="Y24" s="84"/>
      <c r="Z24" s="8"/>
      <c r="AA24" s="8"/>
      <c r="AB24" s="83"/>
      <c r="AC24" s="144">
        <f t="shared" si="7"/>
        <v>768730</v>
      </c>
      <c r="AD24" s="153"/>
    </row>
    <row r="25" spans="1:30" s="18" customFormat="1" ht="18" customHeight="1" thickBot="1" x14ac:dyDescent="0.35">
      <c r="A25" s="188" t="s">
        <v>56</v>
      </c>
      <c r="B25" s="152">
        <v>2</v>
      </c>
      <c r="C25" s="190" t="s">
        <v>304</v>
      </c>
      <c r="D25" s="224">
        <v>63423697</v>
      </c>
      <c r="E25" s="225">
        <v>5285000</v>
      </c>
      <c r="F25" s="169"/>
      <c r="G25" s="46">
        <f>VLOOKUP(C25,Deck[[Column27]:[Column32]],6,0)</f>
        <v>361200.04</v>
      </c>
      <c r="H25" s="50">
        <f>VLOOKUP(C25,Deck[[Column27]:[Column32]],4,0)</f>
        <v>823820</v>
      </c>
      <c r="I25" s="47">
        <f>VLOOKUP(C25,Deck[[Column27]:[Column32]],2,0)</f>
        <v>6000000</v>
      </c>
      <c r="J25" s="164">
        <f t="shared" si="0"/>
        <v>0.13730333333333333</v>
      </c>
      <c r="K25" s="52">
        <f t="shared" si="1"/>
        <v>462619.96</v>
      </c>
      <c r="L25" s="42"/>
      <c r="M25" s="84">
        <f t="shared" si="2"/>
        <v>823820</v>
      </c>
      <c r="N25" s="8"/>
      <c r="O25" s="8"/>
      <c r="P25" s="133">
        <f t="shared" si="3"/>
        <v>823820</v>
      </c>
      <c r="Q25" s="84"/>
      <c r="R25" s="8"/>
      <c r="S25" s="8"/>
      <c r="T25" s="133"/>
      <c r="U25" s="84"/>
      <c r="V25" s="8"/>
      <c r="W25" s="8"/>
      <c r="X25" s="133"/>
      <c r="Y25" s="84"/>
      <c r="Z25" s="8"/>
      <c r="AA25" s="8"/>
      <c r="AB25" s="83"/>
      <c r="AC25" s="144">
        <f t="shared" si="7"/>
        <v>823820</v>
      </c>
      <c r="AD25" s="153"/>
    </row>
    <row r="26" spans="1:30" s="18" customFormat="1" ht="18" customHeight="1" thickBot="1" x14ac:dyDescent="0.35">
      <c r="A26" s="188" t="s">
        <v>56</v>
      </c>
      <c r="B26" s="152">
        <v>3</v>
      </c>
      <c r="C26" s="190" t="s">
        <v>305</v>
      </c>
      <c r="D26" s="224">
        <v>69150588</v>
      </c>
      <c r="E26" s="225">
        <v>5763000</v>
      </c>
      <c r="F26" s="169"/>
      <c r="G26" s="46">
        <f>VLOOKUP(C26,Deck[[Column27]:[Column32]],6,0)</f>
        <v>583800.04</v>
      </c>
      <c r="H26" s="50">
        <f>VLOOKUP(C26,Deck[[Column27]:[Column32]],4,0)</f>
        <v>247750.69</v>
      </c>
      <c r="I26" s="47">
        <f>VLOOKUP(C26,Deck[[Column27]:[Column32]],2,0)</f>
        <v>6300000</v>
      </c>
      <c r="J26" s="164">
        <f t="shared" si="0"/>
        <v>3.9325506349206348E-2</v>
      </c>
      <c r="K26" s="52">
        <f t="shared" si="1"/>
        <v>-336049.35000000003</v>
      </c>
      <c r="L26" s="42"/>
      <c r="M26" s="84">
        <f t="shared" si="2"/>
        <v>247750.69</v>
      </c>
      <c r="N26" s="8"/>
      <c r="O26" s="8"/>
      <c r="P26" s="133">
        <f t="shared" si="3"/>
        <v>247750.69</v>
      </c>
      <c r="Q26" s="84"/>
      <c r="R26" s="8"/>
      <c r="S26" s="8"/>
      <c r="T26" s="133"/>
      <c r="U26" s="84"/>
      <c r="V26" s="8"/>
      <c r="W26" s="8"/>
      <c r="X26" s="133"/>
      <c r="Y26" s="84"/>
      <c r="Z26" s="8"/>
      <c r="AA26" s="8"/>
      <c r="AB26" s="83"/>
      <c r="AC26" s="144">
        <f t="shared" si="7"/>
        <v>247750.69</v>
      </c>
      <c r="AD26" s="153"/>
    </row>
    <row r="27" spans="1:30" s="18" customFormat="1" ht="18" customHeight="1" thickBot="1" x14ac:dyDescent="0.35">
      <c r="A27" s="188" t="s">
        <v>56</v>
      </c>
      <c r="B27" s="152">
        <v>4</v>
      </c>
      <c r="C27" s="190" t="s">
        <v>306</v>
      </c>
      <c r="D27" s="224">
        <v>11118200</v>
      </c>
      <c r="E27" s="225">
        <v>2224000</v>
      </c>
      <c r="F27" s="169"/>
      <c r="G27" s="46">
        <f>VLOOKUP(C27,Deck[[Column27]:[Column32]],6,0)</f>
        <v>204900</v>
      </c>
      <c r="H27" s="50">
        <f>VLOOKUP(C27,Deck[[Column27]:[Column32]],4,0)</f>
        <v>160700.01999999999</v>
      </c>
      <c r="I27" s="47">
        <f>VLOOKUP(C27,Deck[[Column27]:[Column32]],2,0)</f>
        <v>2500000</v>
      </c>
      <c r="J27" s="164">
        <f t="shared" si="0"/>
        <v>6.4280008E-2</v>
      </c>
      <c r="K27" s="52">
        <f t="shared" si="1"/>
        <v>-44199.98000000001</v>
      </c>
      <c r="L27" s="42"/>
      <c r="M27" s="84">
        <f t="shared" si="2"/>
        <v>160700.01999999999</v>
      </c>
      <c r="N27" s="8"/>
      <c r="O27" s="8"/>
      <c r="P27" s="133">
        <f t="shared" si="3"/>
        <v>160700.01999999999</v>
      </c>
      <c r="Q27" s="84"/>
      <c r="R27" s="8"/>
      <c r="S27" s="8"/>
      <c r="T27" s="133"/>
      <c r="U27" s="84"/>
      <c r="V27" s="8"/>
      <c r="W27" s="8"/>
      <c r="X27" s="133"/>
      <c r="Y27" s="84"/>
      <c r="Z27" s="8"/>
      <c r="AA27" s="8"/>
      <c r="AB27" s="83"/>
      <c r="AC27" s="144">
        <f t="shared" si="7"/>
        <v>160700.01999999999</v>
      </c>
      <c r="AD27" s="153"/>
    </row>
    <row r="28" spans="1:30" s="18" customFormat="1" ht="18" customHeight="1" thickBot="1" x14ac:dyDescent="0.35">
      <c r="A28" s="188" t="s">
        <v>56</v>
      </c>
      <c r="B28" s="152">
        <v>5</v>
      </c>
      <c r="C28" s="190" t="s">
        <v>299</v>
      </c>
      <c r="D28" s="224">
        <v>202800</v>
      </c>
      <c r="E28" s="225">
        <v>203000</v>
      </c>
      <c r="F28" s="169"/>
      <c r="G28" s="46">
        <f>VLOOKUP(C28,Deck[[Column27]:[Column32]],6,0)</f>
        <v>0</v>
      </c>
      <c r="H28" s="50">
        <f>VLOOKUP(C28,Deck[[Column27]:[Column32]],4,0)</f>
        <v>3600</v>
      </c>
      <c r="I28" s="47">
        <f>VLOOKUP(C28,Deck[[Column27]:[Column32]],2,0)</f>
        <v>0</v>
      </c>
      <c r="J28" s="164">
        <f t="shared" si="0"/>
        <v>0</v>
      </c>
      <c r="K28" s="52">
        <f t="shared" si="1"/>
        <v>3600</v>
      </c>
      <c r="L28" s="42"/>
      <c r="M28" s="84">
        <f t="shared" si="2"/>
        <v>3600</v>
      </c>
      <c r="N28" s="8"/>
      <c r="O28" s="8"/>
      <c r="P28" s="133">
        <f t="shared" si="3"/>
        <v>3600</v>
      </c>
      <c r="Q28" s="84"/>
      <c r="R28" s="8"/>
      <c r="S28" s="8"/>
      <c r="T28" s="133"/>
      <c r="U28" s="84"/>
      <c r="V28" s="8"/>
      <c r="W28" s="8"/>
      <c r="X28" s="133"/>
      <c r="Y28" s="84"/>
      <c r="Z28" s="8"/>
      <c r="AA28" s="8"/>
      <c r="AB28" s="83"/>
      <c r="AC28" s="144">
        <f t="shared" si="7"/>
        <v>3600</v>
      </c>
      <c r="AD28" s="153"/>
    </row>
    <row r="29" spans="1:30" s="18" customFormat="1" ht="18" customHeight="1" thickBot="1" x14ac:dyDescent="0.35">
      <c r="A29" s="188" t="s">
        <v>56</v>
      </c>
      <c r="B29" s="152">
        <v>6</v>
      </c>
      <c r="C29" s="190" t="s">
        <v>108</v>
      </c>
      <c r="D29" s="224">
        <v>15291095</v>
      </c>
      <c r="E29" s="225">
        <v>1699000</v>
      </c>
      <c r="F29" s="169"/>
      <c r="G29" s="46">
        <f>VLOOKUP(C29,Deck[[Column27]:[Column32]],6,0)</f>
        <v>160900</v>
      </c>
      <c r="H29" s="50">
        <f>VLOOKUP(C29,Deck[[Column27]:[Column32]],4,0)</f>
        <v>220450</v>
      </c>
      <c r="I29" s="47">
        <f>VLOOKUP(C29,Deck[[Column27]:[Column32]],2,0)</f>
        <v>2200000</v>
      </c>
      <c r="J29" s="164">
        <f t="shared" si="0"/>
        <v>0.10020454545454545</v>
      </c>
      <c r="K29" s="52">
        <f t="shared" si="1"/>
        <v>59550</v>
      </c>
      <c r="L29" s="42"/>
      <c r="M29" s="84">
        <f t="shared" si="2"/>
        <v>220450</v>
      </c>
      <c r="N29" s="8"/>
      <c r="O29" s="8"/>
      <c r="P29" s="133">
        <f t="shared" si="3"/>
        <v>220450</v>
      </c>
      <c r="Q29" s="84"/>
      <c r="R29" s="8"/>
      <c r="S29" s="8"/>
      <c r="T29" s="133"/>
      <c r="U29" s="84"/>
      <c r="V29" s="8"/>
      <c r="W29" s="8"/>
      <c r="X29" s="133"/>
      <c r="Y29" s="84"/>
      <c r="Z29" s="8"/>
      <c r="AA29" s="8"/>
      <c r="AB29" s="83"/>
      <c r="AC29" s="144">
        <f t="shared" si="7"/>
        <v>220450</v>
      </c>
      <c r="AD29" s="153"/>
    </row>
    <row r="30" spans="1:30" s="18" customFormat="1" ht="18" customHeight="1" thickBot="1" x14ac:dyDescent="0.35">
      <c r="A30" s="188" t="s">
        <v>56</v>
      </c>
      <c r="B30" s="152">
        <v>7</v>
      </c>
      <c r="C30" s="190" t="s">
        <v>280</v>
      </c>
      <c r="D30" s="224">
        <v>3846100</v>
      </c>
      <c r="E30" s="225">
        <v>962000</v>
      </c>
      <c r="F30" s="169"/>
      <c r="G30" s="46">
        <f>VLOOKUP(C30,Deck[[Column27]:[Column32]],6,0)</f>
        <v>776800</v>
      </c>
      <c r="H30" s="50">
        <f>VLOOKUP(C30,Deck[[Column27]:[Column32]],4,0)</f>
        <v>64250</v>
      </c>
      <c r="I30" s="47">
        <f>VLOOKUP(C30,Deck[[Column27]:[Column32]],2,0)</f>
        <v>2100000</v>
      </c>
      <c r="J30" s="164">
        <f t="shared" si="0"/>
        <v>3.0595238095238095E-2</v>
      </c>
      <c r="K30" s="52">
        <f t="shared" si="1"/>
        <v>-712550</v>
      </c>
      <c r="L30" s="42"/>
      <c r="M30" s="84">
        <f t="shared" si="2"/>
        <v>64250</v>
      </c>
      <c r="N30" s="8"/>
      <c r="O30" s="8"/>
      <c r="P30" s="133">
        <f t="shared" si="3"/>
        <v>64250</v>
      </c>
      <c r="Q30" s="84"/>
      <c r="R30" s="8"/>
      <c r="S30" s="8"/>
      <c r="T30" s="133"/>
      <c r="U30" s="84"/>
      <c r="V30" s="8"/>
      <c r="W30" s="8"/>
      <c r="X30" s="133"/>
      <c r="Y30" s="84"/>
      <c r="Z30" s="8"/>
      <c r="AA30" s="8"/>
      <c r="AB30" s="83"/>
      <c r="AC30" s="144">
        <f t="shared" si="7"/>
        <v>64250</v>
      </c>
      <c r="AD30" s="153"/>
    </row>
    <row r="31" spans="1:30" s="43" customFormat="1" ht="18" customHeight="1" thickBot="1" x14ac:dyDescent="0.35">
      <c r="A31" s="191"/>
      <c r="B31" s="192"/>
      <c r="C31" s="193" t="s">
        <v>13</v>
      </c>
      <c r="D31" s="226">
        <f>SUM(D3:D30)</f>
        <v>986680105</v>
      </c>
      <c r="E31" s="227">
        <f>SUM(E3:E30)</f>
        <v>85719000</v>
      </c>
      <c r="F31" s="209"/>
      <c r="G31" s="155">
        <f>SUM(G3:G30)</f>
        <v>8286906.0999999996</v>
      </c>
      <c r="H31" s="156">
        <f>SUM(H3:H30)</f>
        <v>7556534.5299999993</v>
      </c>
      <c r="I31" s="157">
        <f>SUM(I3:I30)</f>
        <v>102250000</v>
      </c>
      <c r="J31" s="158">
        <f t="shared" si="0"/>
        <v>7.3902538190709036E-2</v>
      </c>
      <c r="K31" s="217">
        <f>SUM(K3:K30)</f>
        <v>-730371.57</v>
      </c>
      <c r="L31" s="42"/>
      <c r="M31" s="218">
        <f>SUM(M3:M30)</f>
        <v>7556534.5299999993</v>
      </c>
      <c r="N31" s="219"/>
      <c r="O31" s="219"/>
      <c r="P31" s="220">
        <f>SUM(P3:P30)</f>
        <v>7556534.5299999993</v>
      </c>
      <c r="Q31" s="218"/>
      <c r="R31" s="219"/>
      <c r="S31" s="219"/>
      <c r="T31" s="220"/>
      <c r="U31" s="218"/>
      <c r="V31" s="219"/>
      <c r="W31" s="219"/>
      <c r="X31" s="220"/>
      <c r="Y31" s="218"/>
      <c r="Z31" s="219"/>
      <c r="AA31" s="219"/>
      <c r="AB31" s="221"/>
      <c r="AC31" s="222">
        <f>SUM(AC3:AC30)</f>
        <v>7556534.5299999993</v>
      </c>
      <c r="AD31" s="151"/>
    </row>
  </sheetData>
  <mergeCells count="3">
    <mergeCell ref="D1:E1"/>
    <mergeCell ref="G1:K1"/>
    <mergeCell ref="M1:AC1"/>
  </mergeCells>
  <conditionalFormatting sqref="K3:K1048576">
    <cfRule type="cellIs" dxfId="6" priority="11" operator="lessThan">
      <formula>0</formula>
    </cfRule>
  </conditionalFormatting>
  <conditionalFormatting sqref="K3:K1048576">
    <cfRule type="cellIs" dxfId="5" priority="10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78603-6D53-4BD4-AC55-90B364825962}">
  <sheetPr codeName="Sheet3"/>
  <dimension ref="A1:AC31"/>
  <sheetViews>
    <sheetView zoomScale="90" zoomScaleNormal="90" workbookViewId="0">
      <pane xSplit="3" ySplit="2" topLeftCell="D3" activePane="bottomRight" state="frozen"/>
      <selection sqref="A1:O1"/>
      <selection pane="topRight" sqref="A1:O1"/>
      <selection pane="bottomLeft" sqref="A1:O1"/>
      <selection pane="bottomRight" activeCell="F1" sqref="F1"/>
    </sheetView>
  </sheetViews>
  <sheetFormatPr defaultRowHeight="14.4" x14ac:dyDescent="0.3"/>
  <cols>
    <col min="1" max="1" width="11.21875" style="4" bestFit="1" customWidth="1"/>
    <col min="2" max="2" width="5.21875" style="12" customWidth="1"/>
    <col min="3" max="3" width="18.21875" style="3" customWidth="1"/>
    <col min="4" max="5" width="9.88671875" style="3" customWidth="1"/>
    <col min="6" max="6" width="1.5546875" bestFit="1" customWidth="1"/>
    <col min="7" max="7" width="8.77734375" style="3" customWidth="1"/>
    <col min="8" max="8" width="11.109375" style="3" customWidth="1"/>
    <col min="9" max="9" width="11" style="3" customWidth="1"/>
    <col min="10" max="10" width="8.21875" style="3" customWidth="1"/>
    <col min="11" max="11" width="11.109375" style="3" customWidth="1"/>
    <col min="12" max="12" width="1.44140625" style="3" customWidth="1"/>
    <col min="13" max="13" width="9.88671875" style="3" customWidth="1"/>
    <col min="14" max="14" width="9.88671875" style="3" hidden="1" customWidth="1"/>
    <col min="15" max="15" width="9.5546875" style="3" hidden="1" customWidth="1"/>
    <col min="16" max="16" width="9.88671875" style="3" hidden="1" customWidth="1"/>
    <col min="17" max="19" width="9.5546875" style="3" hidden="1" customWidth="1"/>
    <col min="20" max="28" width="9.88671875" style="3" hidden="1" customWidth="1"/>
    <col min="29" max="29" width="11.44140625" style="3" customWidth="1"/>
    <col min="30" max="30" width="1.44140625" style="3" customWidth="1"/>
    <col min="31" max="31" width="9" style="3" customWidth="1"/>
    <col min="32" max="32" width="10.77734375" style="3" bestFit="1" customWidth="1"/>
    <col min="33" max="33" width="10.21875" style="3" bestFit="1" customWidth="1"/>
    <col min="34" max="34" width="9.5546875" style="3" bestFit="1" customWidth="1"/>
    <col min="35" max="35" width="10.77734375" style="3" bestFit="1" customWidth="1"/>
    <col min="36" max="36" width="8.44140625" style="3" bestFit="1" customWidth="1"/>
    <col min="37" max="16384" width="8.88671875" style="3"/>
  </cols>
  <sheetData>
    <row r="1" spans="1:29" s="178" customFormat="1" ht="15" customHeight="1" x14ac:dyDescent="0.3">
      <c r="A1" s="229">
        <f>'Sales Summary'!A2</f>
        <v>46117</v>
      </c>
      <c r="B1" s="230"/>
      <c r="C1" s="231" t="s">
        <v>314</v>
      </c>
      <c r="D1" s="311" t="s">
        <v>312</v>
      </c>
      <c r="E1" s="312"/>
      <c r="F1" s="176"/>
      <c r="G1" s="313" t="s">
        <v>110</v>
      </c>
      <c r="H1" s="314"/>
      <c r="I1" s="314"/>
      <c r="J1" s="314"/>
      <c r="K1" s="315"/>
      <c r="L1" s="177"/>
      <c r="M1" s="316" t="s">
        <v>105</v>
      </c>
      <c r="N1" s="317"/>
      <c r="O1" s="317"/>
      <c r="P1" s="317"/>
      <c r="Q1" s="317"/>
      <c r="R1" s="317"/>
      <c r="S1" s="317"/>
      <c r="T1" s="317"/>
      <c r="U1" s="318"/>
      <c r="V1" s="318"/>
      <c r="W1" s="318"/>
      <c r="X1" s="318"/>
      <c r="Y1" s="318"/>
      <c r="Z1" s="318"/>
      <c r="AA1" s="318"/>
      <c r="AB1" s="318"/>
      <c r="AC1" s="319"/>
    </row>
    <row r="2" spans="1:29" ht="28.8" x14ac:dyDescent="0.3">
      <c r="A2" s="188" t="s">
        <v>54</v>
      </c>
      <c r="B2" s="154" t="s">
        <v>72</v>
      </c>
      <c r="C2" s="189" t="s">
        <v>85</v>
      </c>
      <c r="D2" s="213" t="s">
        <v>298</v>
      </c>
      <c r="E2" s="214" t="s">
        <v>59</v>
      </c>
      <c r="F2" t="s">
        <v>311</v>
      </c>
      <c r="G2" s="232" t="s">
        <v>96</v>
      </c>
      <c r="H2" s="172" t="s">
        <v>64</v>
      </c>
      <c r="I2" s="171" t="s">
        <v>18</v>
      </c>
      <c r="J2" s="171" t="s">
        <v>67</v>
      </c>
      <c r="K2" s="233" t="s">
        <v>94</v>
      </c>
      <c r="L2" s="41"/>
      <c r="M2" s="21" t="s">
        <v>104</v>
      </c>
      <c r="N2" s="19" t="s">
        <v>60</v>
      </c>
      <c r="O2" s="19" t="s">
        <v>102</v>
      </c>
      <c r="P2" s="22" t="s">
        <v>33</v>
      </c>
      <c r="Q2" s="21" t="s">
        <v>103</v>
      </c>
      <c r="R2" s="19" t="s">
        <v>61</v>
      </c>
      <c r="S2" s="19" t="s">
        <v>114</v>
      </c>
      <c r="T2" s="131" t="s">
        <v>33</v>
      </c>
      <c r="U2" s="21" t="s">
        <v>63</v>
      </c>
      <c r="V2" s="19" t="s">
        <v>271</v>
      </c>
      <c r="W2" s="19" t="s">
        <v>272</v>
      </c>
      <c r="X2" s="22" t="s">
        <v>33</v>
      </c>
      <c r="Y2" s="21" t="s">
        <v>285</v>
      </c>
      <c r="Z2" s="19" t="s">
        <v>286</v>
      </c>
      <c r="AA2" s="19" t="s">
        <v>287</v>
      </c>
      <c r="AB2" s="22" t="s">
        <v>33</v>
      </c>
      <c r="AC2" s="149" t="s">
        <v>41</v>
      </c>
    </row>
    <row r="3" spans="1:29" ht="18" customHeight="1" x14ac:dyDescent="0.3">
      <c r="A3" s="188" t="s">
        <v>310</v>
      </c>
      <c r="B3" s="152">
        <v>1</v>
      </c>
      <c r="C3" s="190" t="s">
        <v>6</v>
      </c>
      <c r="D3" s="213">
        <v>2269215</v>
      </c>
      <c r="E3" s="214">
        <v>189000</v>
      </c>
      <c r="F3" s="28"/>
      <c r="G3" s="234">
        <f>VLOOKUP(C3,Deck[[Column27]:[Column39]],13,0)</f>
        <v>5600</v>
      </c>
      <c r="H3" s="173">
        <f>VLOOKUP(C3,Deck[[Column27]:[Column39]],11,0)</f>
        <v>14100</v>
      </c>
      <c r="I3" s="174">
        <f>VLOOKUP(C3,Deck[[Column27]:[Column39]],10,0)</f>
        <v>270000</v>
      </c>
      <c r="J3" s="175">
        <f t="shared" ref="J3:J30" si="0">H3/I3</f>
        <v>5.2222222222222225E-2</v>
      </c>
      <c r="K3" s="235">
        <f>H3-G3</f>
        <v>8500</v>
      </c>
      <c r="L3" s="42"/>
      <c r="M3" s="84">
        <f>H3</f>
        <v>14100</v>
      </c>
      <c r="N3" s="8"/>
      <c r="O3" s="8"/>
      <c r="P3" s="83">
        <f>SUM(M3:O3)</f>
        <v>14100</v>
      </c>
      <c r="Q3" s="84"/>
      <c r="R3" s="8"/>
      <c r="S3" s="8"/>
      <c r="T3" s="133">
        <f>SUM(Q3:S3)</f>
        <v>0</v>
      </c>
      <c r="U3" s="84"/>
      <c r="V3" s="8"/>
      <c r="W3" s="8"/>
      <c r="X3" s="83">
        <f>SUM(U3:W3)</f>
        <v>0</v>
      </c>
      <c r="Y3" s="84"/>
      <c r="Z3" s="8"/>
      <c r="AA3" s="8"/>
      <c r="AB3" s="83">
        <f>SUM(Y3:AA3)</f>
        <v>0</v>
      </c>
      <c r="AC3" s="132">
        <f>P3+T3+X3+AB3</f>
        <v>14100</v>
      </c>
    </row>
    <row r="4" spans="1:29" ht="18" customHeight="1" x14ac:dyDescent="0.3">
      <c r="A4" s="188" t="s">
        <v>310</v>
      </c>
      <c r="B4" s="152">
        <v>2</v>
      </c>
      <c r="C4" s="190" t="s">
        <v>9</v>
      </c>
      <c r="D4" s="213">
        <v>1203130</v>
      </c>
      <c r="E4" s="214">
        <v>100000</v>
      </c>
      <c r="F4" s="28"/>
      <c r="G4" s="234">
        <f>VLOOKUP(C4,Deck[[Column27]:[Column39]],13,0)</f>
        <v>13245</v>
      </c>
      <c r="H4" s="173">
        <f>VLOOKUP(C4,Deck[[Column27]:[Column39]],11,0)</f>
        <v>22300</v>
      </c>
      <c r="I4" s="174">
        <f>VLOOKUP(C4,Deck[[Column27]:[Column39]],10,0)</f>
        <v>170000</v>
      </c>
      <c r="J4" s="175">
        <f t="shared" si="0"/>
        <v>0.13117647058823528</v>
      </c>
      <c r="K4" s="235">
        <f t="shared" ref="K4:K31" si="1">H4-G4</f>
        <v>9055</v>
      </c>
      <c r="L4" s="42"/>
      <c r="M4" s="84">
        <f t="shared" ref="M4:M30" si="2">H4</f>
        <v>22300</v>
      </c>
      <c r="N4" s="8"/>
      <c r="O4" s="8"/>
      <c r="P4" s="83">
        <f t="shared" ref="P4:P30" si="3">SUM(M4:O4)</f>
        <v>22300</v>
      </c>
      <c r="Q4" s="84"/>
      <c r="R4" s="8"/>
      <c r="S4" s="8"/>
      <c r="T4" s="133">
        <f t="shared" ref="T4:T21" si="4">SUM(Q4:S4)</f>
        <v>0</v>
      </c>
      <c r="U4" s="84"/>
      <c r="V4" s="8"/>
      <c r="W4" s="8"/>
      <c r="X4" s="83">
        <f t="shared" ref="X4:X21" si="5">SUM(U4:W4)</f>
        <v>0</v>
      </c>
      <c r="Y4" s="84"/>
      <c r="Z4" s="8"/>
      <c r="AA4" s="8"/>
      <c r="AB4" s="83">
        <f t="shared" ref="AB4:AB21" si="6">SUM(Y4:AA4)</f>
        <v>0</v>
      </c>
      <c r="AC4" s="132">
        <f t="shared" ref="AC4:AC30" si="7">P4+T4+X4+AB4</f>
        <v>22300</v>
      </c>
    </row>
    <row r="5" spans="1:29" ht="18" customHeight="1" x14ac:dyDescent="0.3">
      <c r="A5" s="188" t="s">
        <v>57</v>
      </c>
      <c r="B5" s="152">
        <v>1</v>
      </c>
      <c r="C5" s="190" t="s">
        <v>273</v>
      </c>
      <c r="D5" s="213">
        <v>202396</v>
      </c>
      <c r="E5" s="214">
        <v>34000</v>
      </c>
      <c r="F5" s="28"/>
      <c r="G5" s="234">
        <f>VLOOKUP(C5,Deck[[Column27]:[Column39]],13,0)</f>
        <v>11200</v>
      </c>
      <c r="H5" s="173">
        <f>VLOOKUP(C5,Deck[[Column27]:[Column39]],11,0)</f>
        <v>0</v>
      </c>
      <c r="I5" s="174">
        <f>VLOOKUP(C5,Deck[[Column27]:[Column39]],10,0)</f>
        <v>50000</v>
      </c>
      <c r="J5" s="175">
        <f t="shared" si="0"/>
        <v>0</v>
      </c>
      <c r="K5" s="235">
        <f t="shared" si="1"/>
        <v>-11200</v>
      </c>
      <c r="L5" s="42"/>
      <c r="M5" s="84">
        <f t="shared" si="2"/>
        <v>0</v>
      </c>
      <c r="N5" s="8"/>
      <c r="O5" s="8"/>
      <c r="P5" s="83">
        <f t="shared" si="3"/>
        <v>0</v>
      </c>
      <c r="Q5" s="84"/>
      <c r="R5" s="8"/>
      <c r="S5" s="8"/>
      <c r="T5" s="133">
        <f t="shared" si="4"/>
        <v>0</v>
      </c>
      <c r="U5" s="84"/>
      <c r="V5" s="8"/>
      <c r="W5" s="8"/>
      <c r="X5" s="83">
        <f t="shared" si="5"/>
        <v>0</v>
      </c>
      <c r="Y5" s="84"/>
      <c r="Z5" s="8"/>
      <c r="AA5" s="8"/>
      <c r="AB5" s="83">
        <f t="shared" si="6"/>
        <v>0</v>
      </c>
      <c r="AC5" s="132">
        <f t="shared" si="7"/>
        <v>0</v>
      </c>
    </row>
    <row r="6" spans="1:29" ht="18" customHeight="1" x14ac:dyDescent="0.3">
      <c r="A6" s="188" t="s">
        <v>57</v>
      </c>
      <c r="B6" s="152">
        <v>2</v>
      </c>
      <c r="C6" s="190" t="s">
        <v>7</v>
      </c>
      <c r="D6" s="213">
        <v>3037161</v>
      </c>
      <c r="E6" s="214">
        <v>253000</v>
      </c>
      <c r="F6" s="28"/>
      <c r="G6" s="234">
        <f>VLOOKUP(C6,Deck[[Column27]:[Column39]],13,0)</f>
        <v>10600</v>
      </c>
      <c r="H6" s="173">
        <f>VLOOKUP(C6,Deck[[Column27]:[Column39]],11,0)</f>
        <v>3050</v>
      </c>
      <c r="I6" s="174">
        <f>VLOOKUP(C6,Deck[[Column27]:[Column39]],10,0)</f>
        <v>350000</v>
      </c>
      <c r="J6" s="175">
        <f t="shared" si="0"/>
        <v>8.7142857142857143E-3</v>
      </c>
      <c r="K6" s="235">
        <f t="shared" si="1"/>
        <v>-7550</v>
      </c>
      <c r="L6" s="42"/>
      <c r="M6" s="84">
        <f t="shared" si="2"/>
        <v>3050</v>
      </c>
      <c r="N6" s="8"/>
      <c r="O6" s="8"/>
      <c r="P6" s="83">
        <f t="shared" si="3"/>
        <v>3050</v>
      </c>
      <c r="Q6" s="84"/>
      <c r="R6" s="8"/>
      <c r="S6" s="8"/>
      <c r="T6" s="133">
        <f t="shared" si="4"/>
        <v>0</v>
      </c>
      <c r="U6" s="84"/>
      <c r="V6" s="8"/>
      <c r="W6" s="8"/>
      <c r="X6" s="83">
        <f t="shared" si="5"/>
        <v>0</v>
      </c>
      <c r="Y6" s="84"/>
      <c r="Z6" s="8"/>
      <c r="AA6" s="8"/>
      <c r="AB6" s="83">
        <f t="shared" si="6"/>
        <v>0</v>
      </c>
      <c r="AC6" s="132">
        <f t="shared" si="7"/>
        <v>3050</v>
      </c>
    </row>
    <row r="7" spans="1:29" ht="18" customHeight="1" x14ac:dyDescent="0.3">
      <c r="A7" s="188" t="s">
        <v>57</v>
      </c>
      <c r="B7" s="152">
        <v>3</v>
      </c>
      <c r="C7" s="190" t="s">
        <v>8</v>
      </c>
      <c r="D7" s="213">
        <v>1293812</v>
      </c>
      <c r="E7" s="214">
        <v>108000</v>
      </c>
      <c r="F7" s="28"/>
      <c r="G7" s="234">
        <f>VLOOKUP(C7,Deck[[Column27]:[Column39]],13,0)</f>
        <v>8100</v>
      </c>
      <c r="H7" s="173">
        <f>VLOOKUP(C7,Deck[[Column27]:[Column39]],11,0)</f>
        <v>970</v>
      </c>
      <c r="I7" s="174">
        <f>VLOOKUP(C7,Deck[[Column27]:[Column39]],10,0)</f>
        <v>130000</v>
      </c>
      <c r="J7" s="175">
        <f t="shared" si="0"/>
        <v>7.4615384615384613E-3</v>
      </c>
      <c r="K7" s="235">
        <f t="shared" si="1"/>
        <v>-7130</v>
      </c>
      <c r="L7" s="42"/>
      <c r="M7" s="84">
        <f t="shared" si="2"/>
        <v>970</v>
      </c>
      <c r="N7" s="8"/>
      <c r="O7" s="8"/>
      <c r="P7" s="83">
        <f t="shared" si="3"/>
        <v>970</v>
      </c>
      <c r="Q7" s="84"/>
      <c r="R7" s="8"/>
      <c r="S7" s="8"/>
      <c r="T7" s="133">
        <f t="shared" si="4"/>
        <v>0</v>
      </c>
      <c r="U7" s="84"/>
      <c r="V7" s="8"/>
      <c r="W7" s="8"/>
      <c r="X7" s="83">
        <f t="shared" si="5"/>
        <v>0</v>
      </c>
      <c r="Y7" s="84"/>
      <c r="Z7" s="8"/>
      <c r="AA7" s="8"/>
      <c r="AB7" s="83">
        <f t="shared" si="6"/>
        <v>0</v>
      </c>
      <c r="AC7" s="132">
        <f t="shared" si="7"/>
        <v>970</v>
      </c>
    </row>
    <row r="8" spans="1:29" ht="18" customHeight="1" x14ac:dyDescent="0.3">
      <c r="A8" s="188" t="s">
        <v>57</v>
      </c>
      <c r="B8" s="152">
        <v>4</v>
      </c>
      <c r="C8" s="190" t="s">
        <v>266</v>
      </c>
      <c r="D8" s="213">
        <v>329322</v>
      </c>
      <c r="E8" s="214">
        <v>47000</v>
      </c>
      <c r="F8" s="28"/>
      <c r="G8" s="234">
        <f>VLOOKUP(C8,Deck[[Column27]:[Column39]],13,0)</f>
        <v>0</v>
      </c>
      <c r="H8" s="173">
        <f>VLOOKUP(C8,Deck[[Column27]:[Column39]],11,0)</f>
        <v>2650</v>
      </c>
      <c r="I8" s="174">
        <f>VLOOKUP(C8,Deck[[Column27]:[Column39]],10,0)</f>
        <v>150000</v>
      </c>
      <c r="J8" s="175">
        <f t="shared" si="0"/>
        <v>1.7666666666666667E-2</v>
      </c>
      <c r="K8" s="235">
        <f t="shared" si="1"/>
        <v>2650</v>
      </c>
      <c r="L8" s="42"/>
      <c r="M8" s="84">
        <f t="shared" si="2"/>
        <v>2650</v>
      </c>
      <c r="N8" s="8"/>
      <c r="O8" s="8"/>
      <c r="P8" s="83">
        <f t="shared" si="3"/>
        <v>2650</v>
      </c>
      <c r="Q8" s="84"/>
      <c r="R8" s="8"/>
      <c r="S8" s="8"/>
      <c r="T8" s="133">
        <f t="shared" si="4"/>
        <v>0</v>
      </c>
      <c r="U8" s="84"/>
      <c r="V8" s="8"/>
      <c r="W8" s="8"/>
      <c r="X8" s="83">
        <f t="shared" si="5"/>
        <v>0</v>
      </c>
      <c r="Y8" s="84"/>
      <c r="Z8" s="8"/>
      <c r="AA8" s="8"/>
      <c r="AB8" s="83">
        <f t="shared" si="6"/>
        <v>0</v>
      </c>
      <c r="AC8" s="132">
        <f t="shared" si="7"/>
        <v>2650</v>
      </c>
    </row>
    <row r="9" spans="1:29" ht="18" customHeight="1" x14ac:dyDescent="0.3">
      <c r="A9" s="188" t="s">
        <v>116</v>
      </c>
      <c r="B9" s="152">
        <v>1</v>
      </c>
      <c r="C9" s="190" t="s">
        <v>2</v>
      </c>
      <c r="D9" s="213">
        <v>2885498</v>
      </c>
      <c r="E9" s="214">
        <v>240000</v>
      </c>
      <c r="F9" s="28"/>
      <c r="G9" s="234">
        <f>VLOOKUP(C9,Deck[[Column27]:[Column39]],13,0)</f>
        <v>14835</v>
      </c>
      <c r="H9" s="173">
        <f>VLOOKUP(C9,Deck[[Column27]:[Column39]],11,0)</f>
        <v>29689</v>
      </c>
      <c r="I9" s="174">
        <f>VLOOKUP(C9,Deck[[Column27]:[Column39]],10,0)</f>
        <v>310000</v>
      </c>
      <c r="J9" s="175">
        <f t="shared" si="0"/>
        <v>9.5770967741935484E-2</v>
      </c>
      <c r="K9" s="235">
        <f t="shared" si="1"/>
        <v>14854</v>
      </c>
      <c r="L9" s="42"/>
      <c r="M9" s="84">
        <f t="shared" si="2"/>
        <v>29689</v>
      </c>
      <c r="N9" s="8"/>
      <c r="O9" s="8"/>
      <c r="P9" s="83">
        <f t="shared" si="3"/>
        <v>29689</v>
      </c>
      <c r="Q9" s="84"/>
      <c r="R9" s="8"/>
      <c r="S9" s="8"/>
      <c r="T9" s="133">
        <f t="shared" si="4"/>
        <v>0</v>
      </c>
      <c r="U9" s="84"/>
      <c r="V9" s="8"/>
      <c r="W9" s="8"/>
      <c r="X9" s="83">
        <f t="shared" si="5"/>
        <v>0</v>
      </c>
      <c r="Y9" s="84"/>
      <c r="Z9" s="8"/>
      <c r="AA9" s="8"/>
      <c r="AB9" s="83">
        <f t="shared" si="6"/>
        <v>0</v>
      </c>
      <c r="AC9" s="132">
        <f t="shared" si="7"/>
        <v>29689</v>
      </c>
    </row>
    <row r="10" spans="1:29" ht="18" customHeight="1" x14ac:dyDescent="0.3">
      <c r="A10" s="188" t="s">
        <v>116</v>
      </c>
      <c r="B10" s="152">
        <v>2</v>
      </c>
      <c r="C10" s="190" t="s">
        <v>46</v>
      </c>
      <c r="D10" s="213">
        <v>1110882</v>
      </c>
      <c r="E10" s="214">
        <v>93000</v>
      </c>
      <c r="F10" s="28"/>
      <c r="G10" s="234">
        <f>VLOOKUP(C10,Deck[[Column27]:[Column39]],13,0)</f>
        <v>0</v>
      </c>
      <c r="H10" s="173">
        <f>VLOOKUP(C10,Deck[[Column27]:[Column39]],11,0)</f>
        <v>950</v>
      </c>
      <c r="I10" s="174">
        <f>VLOOKUP(C10,Deck[[Column27]:[Column39]],10,0)</f>
        <v>130000</v>
      </c>
      <c r="J10" s="175">
        <f t="shared" si="0"/>
        <v>7.3076923076923076E-3</v>
      </c>
      <c r="K10" s="235">
        <f t="shared" si="1"/>
        <v>950</v>
      </c>
      <c r="L10" s="42"/>
      <c r="M10" s="84">
        <f t="shared" si="2"/>
        <v>950</v>
      </c>
      <c r="N10" s="8"/>
      <c r="O10" s="8"/>
      <c r="P10" s="83">
        <f t="shared" si="3"/>
        <v>950</v>
      </c>
      <c r="Q10" s="84"/>
      <c r="R10" s="8"/>
      <c r="S10" s="8"/>
      <c r="T10" s="133">
        <f t="shared" si="4"/>
        <v>0</v>
      </c>
      <c r="U10" s="84"/>
      <c r="V10" s="8"/>
      <c r="W10" s="8"/>
      <c r="X10" s="83">
        <f t="shared" si="5"/>
        <v>0</v>
      </c>
      <c r="Y10" s="84"/>
      <c r="Z10" s="8"/>
      <c r="AA10" s="8"/>
      <c r="AB10" s="83">
        <f t="shared" si="6"/>
        <v>0</v>
      </c>
      <c r="AC10" s="132">
        <f t="shared" si="7"/>
        <v>950</v>
      </c>
    </row>
    <row r="11" spans="1:29" ht="18" customHeight="1" x14ac:dyDescent="0.3">
      <c r="A11" s="188" t="s">
        <v>116</v>
      </c>
      <c r="B11" s="152">
        <v>3</v>
      </c>
      <c r="C11" s="190" t="s">
        <v>301</v>
      </c>
      <c r="D11" s="213">
        <v>238270</v>
      </c>
      <c r="E11" s="214">
        <v>22000</v>
      </c>
      <c r="F11" s="28"/>
      <c r="G11" s="234">
        <f>VLOOKUP(C11,Deck[[Column27]:[Column39]],13,0)</f>
        <v>2500</v>
      </c>
      <c r="H11" s="173">
        <f>VLOOKUP(C11,Deck[[Column27]:[Column39]],11,0)</f>
        <v>0</v>
      </c>
      <c r="I11" s="174">
        <f>VLOOKUP(C11,Deck[[Column27]:[Column39]],10,0)</f>
        <v>50000</v>
      </c>
      <c r="J11" s="175">
        <f t="shared" si="0"/>
        <v>0</v>
      </c>
      <c r="K11" s="235">
        <f t="shared" si="1"/>
        <v>-2500</v>
      </c>
      <c r="L11" s="42"/>
      <c r="M11" s="84">
        <f t="shared" si="2"/>
        <v>0</v>
      </c>
      <c r="N11" s="8"/>
      <c r="O11" s="8"/>
      <c r="P11" s="83">
        <f t="shared" si="3"/>
        <v>0</v>
      </c>
      <c r="Q11" s="84"/>
      <c r="R11" s="8"/>
      <c r="S11" s="8"/>
      <c r="T11" s="133">
        <f t="shared" si="4"/>
        <v>0</v>
      </c>
      <c r="U11" s="84"/>
      <c r="V11" s="8"/>
      <c r="W11" s="8"/>
      <c r="X11" s="83">
        <f t="shared" si="5"/>
        <v>0</v>
      </c>
      <c r="Y11" s="84"/>
      <c r="Z11" s="8"/>
      <c r="AA11" s="8"/>
      <c r="AB11" s="83">
        <f t="shared" si="6"/>
        <v>0</v>
      </c>
      <c r="AC11" s="132">
        <f t="shared" si="7"/>
        <v>0</v>
      </c>
    </row>
    <row r="12" spans="1:29" ht="18" customHeight="1" x14ac:dyDescent="0.3">
      <c r="A12" s="188" t="s">
        <v>116</v>
      </c>
      <c r="B12" s="152">
        <v>4</v>
      </c>
      <c r="C12" s="190" t="s">
        <v>302</v>
      </c>
      <c r="D12" s="213">
        <v>3099579</v>
      </c>
      <c r="E12" s="214">
        <v>258000</v>
      </c>
      <c r="F12" s="28"/>
      <c r="G12" s="234">
        <f>VLOOKUP(C12,Deck[[Column27]:[Column39]],13,0)</f>
        <v>9600</v>
      </c>
      <c r="H12" s="173">
        <f>VLOOKUP(C12,Deck[[Column27]:[Column39]],11,0)</f>
        <v>4842</v>
      </c>
      <c r="I12" s="174">
        <f>VLOOKUP(C12,Deck[[Column27]:[Column39]],10,0)</f>
        <v>330000</v>
      </c>
      <c r="J12" s="175">
        <f t="shared" si="0"/>
        <v>1.4672727272727273E-2</v>
      </c>
      <c r="K12" s="235">
        <f t="shared" si="1"/>
        <v>-4758</v>
      </c>
      <c r="L12" s="42"/>
      <c r="M12" s="84">
        <f t="shared" si="2"/>
        <v>4842</v>
      </c>
      <c r="N12" s="8"/>
      <c r="O12" s="8"/>
      <c r="P12" s="83">
        <f t="shared" si="3"/>
        <v>4842</v>
      </c>
      <c r="Q12" s="84"/>
      <c r="R12" s="8"/>
      <c r="S12" s="8"/>
      <c r="T12" s="133">
        <f t="shared" si="4"/>
        <v>0</v>
      </c>
      <c r="U12" s="84"/>
      <c r="V12" s="8"/>
      <c r="W12" s="8"/>
      <c r="X12" s="83">
        <f t="shared" si="5"/>
        <v>0</v>
      </c>
      <c r="Y12" s="84"/>
      <c r="Z12" s="8"/>
      <c r="AA12" s="8"/>
      <c r="AB12" s="83">
        <f t="shared" si="6"/>
        <v>0</v>
      </c>
      <c r="AC12" s="132">
        <f t="shared" si="7"/>
        <v>4842</v>
      </c>
    </row>
    <row r="13" spans="1:29" ht="18" customHeight="1" x14ac:dyDescent="0.3">
      <c r="A13" s="188" t="s">
        <v>116</v>
      </c>
      <c r="B13" s="152">
        <v>5</v>
      </c>
      <c r="C13" s="190" t="s">
        <v>4</v>
      </c>
      <c r="D13" s="213">
        <v>3644860</v>
      </c>
      <c r="E13" s="214">
        <v>304000</v>
      </c>
      <c r="F13" s="28"/>
      <c r="G13" s="234">
        <f>VLOOKUP(C13,Deck[[Column27]:[Column39]],13,0)</f>
        <v>30903</v>
      </c>
      <c r="H13" s="173">
        <f>VLOOKUP(C13,Deck[[Column27]:[Column39]],11,0)</f>
        <v>20800</v>
      </c>
      <c r="I13" s="174">
        <f>VLOOKUP(C13,Deck[[Column27]:[Column39]],10,0)</f>
        <v>370000</v>
      </c>
      <c r="J13" s="175">
        <f t="shared" si="0"/>
        <v>5.6216216216216218E-2</v>
      </c>
      <c r="K13" s="235">
        <f t="shared" si="1"/>
        <v>-10103</v>
      </c>
      <c r="L13" s="42"/>
      <c r="M13" s="84">
        <f t="shared" si="2"/>
        <v>20800</v>
      </c>
      <c r="N13" s="8"/>
      <c r="O13" s="8"/>
      <c r="P13" s="83">
        <f t="shared" si="3"/>
        <v>20800</v>
      </c>
      <c r="Q13" s="84"/>
      <c r="R13" s="8"/>
      <c r="S13" s="8"/>
      <c r="T13" s="133">
        <f t="shared" si="4"/>
        <v>0</v>
      </c>
      <c r="U13" s="84"/>
      <c r="V13" s="8"/>
      <c r="W13" s="8"/>
      <c r="X13" s="83">
        <f t="shared" si="5"/>
        <v>0</v>
      </c>
      <c r="Y13" s="84"/>
      <c r="Z13" s="8"/>
      <c r="AA13" s="8"/>
      <c r="AB13" s="83">
        <f t="shared" si="6"/>
        <v>0</v>
      </c>
      <c r="AC13" s="132">
        <f t="shared" si="7"/>
        <v>20800</v>
      </c>
    </row>
    <row r="14" spans="1:29" ht="18" customHeight="1" x14ac:dyDescent="0.3">
      <c r="A14" s="188" t="s">
        <v>116</v>
      </c>
      <c r="B14" s="152">
        <v>6</v>
      </c>
      <c r="C14" s="190" t="s">
        <v>303</v>
      </c>
      <c r="D14" s="213">
        <v>4967619</v>
      </c>
      <c r="E14" s="214">
        <v>414000</v>
      </c>
      <c r="F14" s="28"/>
      <c r="G14" s="234">
        <f>VLOOKUP(C14,Deck[[Column27]:[Column39]],13,0)</f>
        <v>54042</v>
      </c>
      <c r="H14" s="173">
        <f>VLOOKUP(C14,Deck[[Column27]:[Column39]],11,0)</f>
        <v>25833</v>
      </c>
      <c r="I14" s="174">
        <f>VLOOKUP(C14,Deck[[Column27]:[Column39]],10,0)</f>
        <v>490000</v>
      </c>
      <c r="J14" s="175">
        <f t="shared" si="0"/>
        <v>5.2720408163265307E-2</v>
      </c>
      <c r="K14" s="235">
        <f t="shared" si="1"/>
        <v>-28209</v>
      </c>
      <c r="L14" s="42"/>
      <c r="M14" s="84">
        <f t="shared" si="2"/>
        <v>25833</v>
      </c>
      <c r="N14" s="8"/>
      <c r="O14" s="8"/>
      <c r="P14" s="83">
        <f t="shared" si="3"/>
        <v>25833</v>
      </c>
      <c r="Q14" s="84"/>
      <c r="R14" s="8"/>
      <c r="S14" s="8"/>
      <c r="T14" s="133">
        <f t="shared" si="4"/>
        <v>0</v>
      </c>
      <c r="U14" s="84"/>
      <c r="V14" s="8"/>
      <c r="W14" s="8"/>
      <c r="X14" s="83">
        <f t="shared" si="5"/>
        <v>0</v>
      </c>
      <c r="Y14" s="84"/>
      <c r="Z14" s="8"/>
      <c r="AA14" s="8"/>
      <c r="AB14" s="83">
        <f t="shared" si="6"/>
        <v>0</v>
      </c>
      <c r="AC14" s="132">
        <f t="shared" si="7"/>
        <v>25833</v>
      </c>
    </row>
    <row r="15" spans="1:29" ht="18" customHeight="1" x14ac:dyDescent="0.3">
      <c r="A15" s="188" t="s">
        <v>116</v>
      </c>
      <c r="B15" s="152">
        <v>7</v>
      </c>
      <c r="C15" s="190" t="s">
        <v>44</v>
      </c>
      <c r="D15" s="213">
        <v>1815812</v>
      </c>
      <c r="E15" s="214">
        <v>151000</v>
      </c>
      <c r="F15" s="28"/>
      <c r="G15" s="234">
        <f>VLOOKUP(C15,Deck[[Column27]:[Column39]],13,0)</f>
        <v>16240</v>
      </c>
      <c r="H15" s="173">
        <f>VLOOKUP(C15,Deck[[Column27]:[Column39]],11,0)</f>
        <v>11465</v>
      </c>
      <c r="I15" s="174">
        <f>VLOOKUP(C15,Deck[[Column27]:[Column39]],10,0)</f>
        <v>180000</v>
      </c>
      <c r="J15" s="175">
        <f t="shared" si="0"/>
        <v>6.3694444444444442E-2</v>
      </c>
      <c r="K15" s="235">
        <f t="shared" si="1"/>
        <v>-4775</v>
      </c>
      <c r="L15" s="42"/>
      <c r="M15" s="84">
        <f t="shared" si="2"/>
        <v>11465</v>
      </c>
      <c r="N15" s="8"/>
      <c r="O15" s="8"/>
      <c r="P15" s="83">
        <f t="shared" si="3"/>
        <v>11465</v>
      </c>
      <c r="Q15" s="84"/>
      <c r="R15" s="8"/>
      <c r="S15" s="8"/>
      <c r="T15" s="133">
        <f t="shared" si="4"/>
        <v>0</v>
      </c>
      <c r="U15" s="84"/>
      <c r="V15" s="8"/>
      <c r="W15" s="8"/>
      <c r="X15" s="83">
        <f t="shared" si="5"/>
        <v>0</v>
      </c>
      <c r="Y15" s="84"/>
      <c r="Z15" s="8"/>
      <c r="AA15" s="8"/>
      <c r="AB15" s="83">
        <f t="shared" si="6"/>
        <v>0</v>
      </c>
      <c r="AC15" s="132">
        <f t="shared" si="7"/>
        <v>11465</v>
      </c>
    </row>
    <row r="16" spans="1:29" ht="18" customHeight="1" x14ac:dyDescent="0.3">
      <c r="A16" s="188" t="s">
        <v>116</v>
      </c>
      <c r="B16" s="152">
        <v>8</v>
      </c>
      <c r="C16" s="190" t="s">
        <v>10</v>
      </c>
      <c r="D16" s="213">
        <v>3256733</v>
      </c>
      <c r="E16" s="214">
        <v>271000</v>
      </c>
      <c r="F16" s="28"/>
      <c r="G16" s="234">
        <f>VLOOKUP(C16,Deck[[Column27]:[Column39]],13,0)</f>
        <v>91225</v>
      </c>
      <c r="H16" s="173">
        <f>VLOOKUP(C16,Deck[[Column27]:[Column39]],11,0)</f>
        <v>28115</v>
      </c>
      <c r="I16" s="174">
        <f>VLOOKUP(C16,Deck[[Column27]:[Column39]],10,0)</f>
        <v>350000</v>
      </c>
      <c r="J16" s="175">
        <f t="shared" si="0"/>
        <v>8.032857142857143E-2</v>
      </c>
      <c r="K16" s="235">
        <f t="shared" si="1"/>
        <v>-63110</v>
      </c>
      <c r="L16" s="42"/>
      <c r="M16" s="84">
        <f t="shared" si="2"/>
        <v>28115</v>
      </c>
      <c r="N16" s="8"/>
      <c r="O16" s="8"/>
      <c r="P16" s="83">
        <f t="shared" si="3"/>
        <v>28115</v>
      </c>
      <c r="Q16" s="84"/>
      <c r="R16" s="8"/>
      <c r="S16" s="8"/>
      <c r="T16" s="133">
        <f t="shared" si="4"/>
        <v>0</v>
      </c>
      <c r="U16" s="84"/>
      <c r="V16" s="8"/>
      <c r="W16" s="8"/>
      <c r="X16" s="83">
        <f t="shared" si="5"/>
        <v>0</v>
      </c>
      <c r="Y16" s="84"/>
      <c r="Z16" s="8"/>
      <c r="AA16" s="8"/>
      <c r="AB16" s="83">
        <f t="shared" si="6"/>
        <v>0</v>
      </c>
      <c r="AC16" s="132">
        <f t="shared" si="7"/>
        <v>28115</v>
      </c>
    </row>
    <row r="17" spans="1:29" ht="18" customHeight="1" x14ac:dyDescent="0.3">
      <c r="A17" s="188" t="s">
        <v>116</v>
      </c>
      <c r="B17" s="152">
        <v>9</v>
      </c>
      <c r="C17" s="190" t="s">
        <v>45</v>
      </c>
      <c r="D17" s="213">
        <v>2620894</v>
      </c>
      <c r="E17" s="214">
        <v>218000</v>
      </c>
      <c r="F17" s="28"/>
      <c r="G17" s="234">
        <f>VLOOKUP(C17,Deck[[Column27]:[Column39]],13,0)</f>
        <v>0</v>
      </c>
      <c r="H17" s="173">
        <f>VLOOKUP(C17,Deck[[Column27]:[Column39]],11,0)</f>
        <v>0</v>
      </c>
      <c r="I17" s="174">
        <f>VLOOKUP(C17,Deck[[Column27]:[Column39]],10,0)</f>
        <v>300000</v>
      </c>
      <c r="J17" s="175">
        <f t="shared" si="0"/>
        <v>0</v>
      </c>
      <c r="K17" s="235">
        <f t="shared" si="1"/>
        <v>0</v>
      </c>
      <c r="L17" s="42"/>
      <c r="M17" s="84">
        <f t="shared" si="2"/>
        <v>0</v>
      </c>
      <c r="N17" s="8"/>
      <c r="O17" s="8"/>
      <c r="P17" s="83">
        <f t="shared" si="3"/>
        <v>0</v>
      </c>
      <c r="Q17" s="84"/>
      <c r="R17" s="8"/>
      <c r="S17" s="8"/>
      <c r="T17" s="133">
        <f t="shared" si="4"/>
        <v>0</v>
      </c>
      <c r="U17" s="84"/>
      <c r="V17" s="8"/>
      <c r="W17" s="8"/>
      <c r="X17" s="83">
        <f t="shared" si="5"/>
        <v>0</v>
      </c>
      <c r="Y17" s="84"/>
      <c r="Z17" s="8"/>
      <c r="AA17" s="8"/>
      <c r="AB17" s="83">
        <f t="shared" si="6"/>
        <v>0</v>
      </c>
      <c r="AC17" s="132">
        <f t="shared" si="7"/>
        <v>0</v>
      </c>
    </row>
    <row r="18" spans="1:29" ht="18" customHeight="1" x14ac:dyDescent="0.3">
      <c r="A18" s="188" t="s">
        <v>116</v>
      </c>
      <c r="B18" s="152">
        <v>10</v>
      </c>
      <c r="C18" s="190" t="s">
        <v>98</v>
      </c>
      <c r="D18" s="213">
        <v>1068077</v>
      </c>
      <c r="E18" s="214">
        <v>97000</v>
      </c>
      <c r="F18" s="28"/>
      <c r="G18" s="234">
        <f>VLOOKUP(C18,Deck[[Column27]:[Column39]],13,0)</f>
        <v>2500</v>
      </c>
      <c r="H18" s="173">
        <f>VLOOKUP(C18,Deck[[Column27]:[Column39]],11,0)</f>
        <v>51273</v>
      </c>
      <c r="I18" s="174">
        <f>VLOOKUP(C18,Deck[[Column27]:[Column39]],10,0)</f>
        <v>150000</v>
      </c>
      <c r="J18" s="175">
        <f t="shared" si="0"/>
        <v>0.34182000000000001</v>
      </c>
      <c r="K18" s="235">
        <f t="shared" si="1"/>
        <v>48773</v>
      </c>
      <c r="L18" s="42"/>
      <c r="M18" s="84">
        <f t="shared" si="2"/>
        <v>51273</v>
      </c>
      <c r="N18" s="8"/>
      <c r="O18" s="8"/>
      <c r="P18" s="83">
        <f t="shared" si="3"/>
        <v>51273</v>
      </c>
      <c r="Q18" s="84"/>
      <c r="R18" s="8"/>
      <c r="S18" s="8"/>
      <c r="T18" s="133">
        <f t="shared" si="4"/>
        <v>0</v>
      </c>
      <c r="U18" s="84"/>
      <c r="V18" s="8"/>
      <c r="W18" s="8"/>
      <c r="X18" s="83">
        <f t="shared" si="5"/>
        <v>0</v>
      </c>
      <c r="Y18" s="84"/>
      <c r="Z18" s="8"/>
      <c r="AA18" s="8"/>
      <c r="AB18" s="83">
        <f t="shared" si="6"/>
        <v>0</v>
      </c>
      <c r="AC18" s="132">
        <f t="shared" si="7"/>
        <v>51273</v>
      </c>
    </row>
    <row r="19" spans="1:29" ht="18" customHeight="1" x14ac:dyDescent="0.3">
      <c r="A19" s="188" t="s">
        <v>58</v>
      </c>
      <c r="B19" s="152">
        <v>1</v>
      </c>
      <c r="C19" s="190" t="s">
        <v>1</v>
      </c>
      <c r="D19" s="213">
        <v>1678491</v>
      </c>
      <c r="E19" s="214">
        <v>140000</v>
      </c>
      <c r="F19" s="28"/>
      <c r="G19" s="234">
        <f>VLOOKUP(C19,Deck[[Column27]:[Column39]],13,0)</f>
        <v>950</v>
      </c>
      <c r="H19" s="173">
        <f>VLOOKUP(C19,Deck[[Column27]:[Column39]],11,0)</f>
        <v>8033</v>
      </c>
      <c r="I19" s="174">
        <f>VLOOKUP(C19,Deck[[Column27]:[Column39]],10,0)</f>
        <v>200000</v>
      </c>
      <c r="J19" s="175">
        <f t="shared" si="0"/>
        <v>4.0164999999999999E-2</v>
      </c>
      <c r="K19" s="235">
        <f t="shared" si="1"/>
        <v>7083</v>
      </c>
      <c r="L19" s="42"/>
      <c r="M19" s="84">
        <f t="shared" si="2"/>
        <v>8033</v>
      </c>
      <c r="N19" s="8"/>
      <c r="O19" s="8"/>
      <c r="P19" s="83">
        <f t="shared" si="3"/>
        <v>8033</v>
      </c>
      <c r="Q19" s="84"/>
      <c r="R19" s="8"/>
      <c r="S19" s="8"/>
      <c r="T19" s="133">
        <f t="shared" si="4"/>
        <v>0</v>
      </c>
      <c r="U19" s="84"/>
      <c r="V19" s="8"/>
      <c r="W19" s="8"/>
      <c r="X19" s="83">
        <f t="shared" si="5"/>
        <v>0</v>
      </c>
      <c r="Y19" s="84"/>
      <c r="Z19" s="8"/>
      <c r="AA19" s="8"/>
      <c r="AB19" s="83">
        <f t="shared" si="6"/>
        <v>0</v>
      </c>
      <c r="AC19" s="132">
        <f t="shared" si="7"/>
        <v>8033</v>
      </c>
    </row>
    <row r="20" spans="1:29" ht="18" customHeight="1" x14ac:dyDescent="0.3">
      <c r="A20" s="188" t="s">
        <v>58</v>
      </c>
      <c r="B20" s="152">
        <v>2</v>
      </c>
      <c r="C20" s="190" t="s">
        <v>3</v>
      </c>
      <c r="D20" s="213">
        <v>782800</v>
      </c>
      <c r="E20" s="214">
        <v>65000</v>
      </c>
      <c r="F20" s="28"/>
      <c r="G20" s="234">
        <f>VLOOKUP(C20,Deck[[Column27]:[Column39]],13,0)</f>
        <v>9599</v>
      </c>
      <c r="H20" s="173">
        <f>VLOOKUP(C20,Deck[[Column27]:[Column39]],11,0)</f>
        <v>0</v>
      </c>
      <c r="I20" s="174">
        <f>VLOOKUP(C20,Deck[[Column27]:[Column39]],10,0)</f>
        <v>100000</v>
      </c>
      <c r="J20" s="175">
        <f t="shared" si="0"/>
        <v>0</v>
      </c>
      <c r="K20" s="235">
        <f t="shared" si="1"/>
        <v>-9599</v>
      </c>
      <c r="L20" s="42"/>
      <c r="M20" s="84">
        <f t="shared" si="2"/>
        <v>0</v>
      </c>
      <c r="N20" s="8"/>
      <c r="O20" s="8"/>
      <c r="P20" s="83">
        <f t="shared" si="3"/>
        <v>0</v>
      </c>
      <c r="Q20" s="84"/>
      <c r="R20" s="8"/>
      <c r="S20" s="8"/>
      <c r="T20" s="133">
        <f t="shared" si="4"/>
        <v>0</v>
      </c>
      <c r="U20" s="84"/>
      <c r="V20" s="8"/>
      <c r="W20" s="8"/>
      <c r="X20" s="83">
        <f t="shared" si="5"/>
        <v>0</v>
      </c>
      <c r="Y20" s="84"/>
      <c r="Z20" s="8"/>
      <c r="AA20" s="8"/>
      <c r="AB20" s="83">
        <f t="shared" si="6"/>
        <v>0</v>
      </c>
      <c r="AC20" s="132">
        <f t="shared" si="7"/>
        <v>0</v>
      </c>
    </row>
    <row r="21" spans="1:29" ht="18" customHeight="1" x14ac:dyDescent="0.3">
      <c r="A21" s="188" t="s">
        <v>58</v>
      </c>
      <c r="B21" s="152">
        <v>3</v>
      </c>
      <c r="C21" s="190" t="s">
        <v>5</v>
      </c>
      <c r="D21" s="213">
        <v>1871341</v>
      </c>
      <c r="E21" s="214">
        <v>156000</v>
      </c>
      <c r="F21" s="28"/>
      <c r="G21" s="234">
        <f>VLOOKUP(C21,Deck[[Column27]:[Column39]],13,0)</f>
        <v>14900</v>
      </c>
      <c r="H21" s="173">
        <f>VLOOKUP(C21,Deck[[Column27]:[Column39]],11,0)</f>
        <v>0</v>
      </c>
      <c r="I21" s="174">
        <f>VLOOKUP(C21,Deck[[Column27]:[Column39]],10,0)</f>
        <v>200000</v>
      </c>
      <c r="J21" s="175">
        <f t="shared" si="0"/>
        <v>0</v>
      </c>
      <c r="K21" s="235">
        <f t="shared" si="1"/>
        <v>-14900</v>
      </c>
      <c r="L21" s="42"/>
      <c r="M21" s="84">
        <f t="shared" si="2"/>
        <v>0</v>
      </c>
      <c r="N21" s="8"/>
      <c r="O21" s="8"/>
      <c r="P21" s="83">
        <f t="shared" si="3"/>
        <v>0</v>
      </c>
      <c r="Q21" s="84"/>
      <c r="R21" s="8"/>
      <c r="S21" s="8"/>
      <c r="T21" s="133">
        <f t="shared" si="4"/>
        <v>0</v>
      </c>
      <c r="U21" s="84"/>
      <c r="V21" s="8"/>
      <c r="W21" s="8"/>
      <c r="X21" s="83">
        <f t="shared" si="5"/>
        <v>0</v>
      </c>
      <c r="Y21" s="84"/>
      <c r="Z21" s="8"/>
      <c r="AA21" s="8"/>
      <c r="AB21" s="83">
        <f t="shared" si="6"/>
        <v>0</v>
      </c>
      <c r="AC21" s="132">
        <f t="shared" si="7"/>
        <v>0</v>
      </c>
    </row>
    <row r="22" spans="1:29" ht="18" customHeight="1" x14ac:dyDescent="0.3">
      <c r="A22" s="188" t="s">
        <v>58</v>
      </c>
      <c r="B22" s="152">
        <v>4</v>
      </c>
      <c r="C22" s="190" t="s">
        <v>308</v>
      </c>
      <c r="D22" s="213">
        <v>0</v>
      </c>
      <c r="E22" s="214">
        <v>0</v>
      </c>
      <c r="F22" s="28"/>
      <c r="G22" s="234">
        <f>VLOOKUP(C22,Deck[[Column27]:[Column39]],13,0)</f>
        <v>0</v>
      </c>
      <c r="H22" s="173">
        <f>VLOOKUP(C22,Deck[[Column27]:[Column39]],11,0)</f>
        <v>0</v>
      </c>
      <c r="I22" s="174">
        <f>VLOOKUP(C22,Deck[[Column27]:[Column39]],10,0)</f>
        <v>0</v>
      </c>
      <c r="J22" s="175" t="e">
        <f t="shared" si="0"/>
        <v>#DIV/0!</v>
      </c>
      <c r="K22" s="235">
        <f t="shared" si="1"/>
        <v>0</v>
      </c>
      <c r="L22" s="42"/>
      <c r="M22" s="84">
        <f t="shared" si="2"/>
        <v>0</v>
      </c>
      <c r="N22" s="8"/>
      <c r="O22" s="8"/>
      <c r="P22" s="83">
        <f t="shared" si="3"/>
        <v>0</v>
      </c>
      <c r="Q22" s="84"/>
      <c r="R22" s="8"/>
      <c r="S22" s="8"/>
      <c r="T22" s="133"/>
      <c r="U22" s="84"/>
      <c r="V22" s="8"/>
      <c r="W22" s="8"/>
      <c r="X22" s="83"/>
      <c r="Y22" s="84"/>
      <c r="Z22" s="8"/>
      <c r="AA22" s="8"/>
      <c r="AB22" s="83"/>
      <c r="AC22" s="132">
        <f t="shared" si="7"/>
        <v>0</v>
      </c>
    </row>
    <row r="23" spans="1:29" ht="18" customHeight="1" x14ac:dyDescent="0.3">
      <c r="A23" s="188" t="s">
        <v>115</v>
      </c>
      <c r="B23" s="152">
        <v>1</v>
      </c>
      <c r="C23" s="190" t="s">
        <v>84</v>
      </c>
      <c r="D23" s="213">
        <v>311880</v>
      </c>
      <c r="E23" s="214">
        <v>26000</v>
      </c>
      <c r="F23" s="28"/>
      <c r="G23" s="234">
        <f>VLOOKUP(C23,Deck[[Column27]:[Column39]],13,0)</f>
        <v>0</v>
      </c>
      <c r="H23" s="173">
        <f>VLOOKUP(C23,Deck[[Column27]:[Column39]],11,0)</f>
        <v>0</v>
      </c>
      <c r="I23" s="174">
        <f>VLOOKUP(C23,Deck[[Column27]:[Column39]],10,0)</f>
        <v>65000</v>
      </c>
      <c r="J23" s="175">
        <f t="shared" si="0"/>
        <v>0</v>
      </c>
      <c r="K23" s="235">
        <f t="shared" si="1"/>
        <v>0</v>
      </c>
      <c r="L23" s="42"/>
      <c r="M23" s="84">
        <f t="shared" si="2"/>
        <v>0</v>
      </c>
      <c r="N23" s="8"/>
      <c r="O23" s="8"/>
      <c r="P23" s="83">
        <f t="shared" si="3"/>
        <v>0</v>
      </c>
      <c r="Q23" s="84"/>
      <c r="R23" s="8"/>
      <c r="S23" s="8"/>
      <c r="T23" s="133"/>
      <c r="U23" s="84"/>
      <c r="V23" s="8"/>
      <c r="W23" s="8"/>
      <c r="X23" s="83"/>
      <c r="Y23" s="84"/>
      <c r="Z23" s="8"/>
      <c r="AA23" s="8"/>
      <c r="AB23" s="83"/>
      <c r="AC23" s="132">
        <f t="shared" si="7"/>
        <v>0</v>
      </c>
    </row>
    <row r="24" spans="1:29" ht="18" customHeight="1" x14ac:dyDescent="0.3">
      <c r="A24" s="188" t="s">
        <v>56</v>
      </c>
      <c r="B24" s="152">
        <v>1</v>
      </c>
      <c r="C24" s="190" t="s">
        <v>0</v>
      </c>
      <c r="D24" s="213">
        <v>5662933</v>
      </c>
      <c r="E24" s="214">
        <v>472000</v>
      </c>
      <c r="F24" s="28"/>
      <c r="G24" s="234">
        <f>VLOOKUP(C24,Deck[[Column27]:[Column39]],13,0)</f>
        <v>27465</v>
      </c>
      <c r="H24" s="173">
        <f>VLOOKUP(C24,Deck[[Column27]:[Column39]],11,0)</f>
        <v>7299.99</v>
      </c>
      <c r="I24" s="174">
        <f>VLOOKUP(C24,Deck[[Column27]:[Column39]],10,0)</f>
        <v>700000</v>
      </c>
      <c r="J24" s="175">
        <f t="shared" si="0"/>
        <v>1.0428557142857143E-2</v>
      </c>
      <c r="K24" s="235">
        <f t="shared" si="1"/>
        <v>-20165.010000000002</v>
      </c>
      <c r="L24" s="42"/>
      <c r="M24" s="84">
        <f t="shared" si="2"/>
        <v>7299.99</v>
      </c>
      <c r="N24" s="8"/>
      <c r="O24" s="8"/>
      <c r="P24" s="83">
        <f t="shared" si="3"/>
        <v>7299.99</v>
      </c>
      <c r="Q24" s="84"/>
      <c r="R24" s="8"/>
      <c r="S24" s="8"/>
      <c r="T24" s="133"/>
      <c r="U24" s="84"/>
      <c r="V24" s="8"/>
      <c r="W24" s="8"/>
      <c r="X24" s="83"/>
      <c r="Y24" s="84"/>
      <c r="Z24" s="8"/>
      <c r="AA24" s="8"/>
      <c r="AB24" s="83"/>
      <c r="AC24" s="132">
        <f t="shared" si="7"/>
        <v>7299.99</v>
      </c>
    </row>
    <row r="25" spans="1:29" ht="18" customHeight="1" x14ac:dyDescent="0.3">
      <c r="A25" s="188" t="s">
        <v>56</v>
      </c>
      <c r="B25" s="152">
        <v>2</v>
      </c>
      <c r="C25" s="190" t="s">
        <v>304</v>
      </c>
      <c r="D25" s="213">
        <v>2702554</v>
      </c>
      <c r="E25" s="214">
        <v>225000</v>
      </c>
      <c r="F25" s="28"/>
      <c r="G25" s="234">
        <f>VLOOKUP(C25,Deck[[Column27]:[Column39]],13,0)</f>
        <v>0</v>
      </c>
      <c r="H25" s="173">
        <f>VLOOKUP(C25,Deck[[Column27]:[Column39]],11,0)</f>
        <v>24890</v>
      </c>
      <c r="I25" s="174">
        <f>VLOOKUP(C25,Deck[[Column27]:[Column39]],10,0)</f>
        <v>350000</v>
      </c>
      <c r="J25" s="175">
        <f t="shared" si="0"/>
        <v>7.1114285714285713E-2</v>
      </c>
      <c r="K25" s="235">
        <f t="shared" si="1"/>
        <v>24890</v>
      </c>
      <c r="L25" s="42"/>
      <c r="M25" s="84">
        <f t="shared" si="2"/>
        <v>24890</v>
      </c>
      <c r="N25" s="8"/>
      <c r="O25" s="8"/>
      <c r="P25" s="83">
        <f t="shared" si="3"/>
        <v>24890</v>
      </c>
      <c r="Q25" s="84"/>
      <c r="R25" s="8"/>
      <c r="S25" s="8"/>
      <c r="T25" s="133"/>
      <c r="U25" s="84"/>
      <c r="V25" s="8"/>
      <c r="W25" s="8"/>
      <c r="X25" s="83"/>
      <c r="Y25" s="84"/>
      <c r="Z25" s="8"/>
      <c r="AA25" s="8"/>
      <c r="AB25" s="83"/>
      <c r="AC25" s="132">
        <f t="shared" si="7"/>
        <v>24890</v>
      </c>
    </row>
    <row r="26" spans="1:29" ht="18" customHeight="1" x14ac:dyDescent="0.3">
      <c r="A26" s="188" t="s">
        <v>56</v>
      </c>
      <c r="B26" s="152">
        <v>3</v>
      </c>
      <c r="C26" s="190" t="s">
        <v>305</v>
      </c>
      <c r="D26" s="213">
        <v>3449018</v>
      </c>
      <c r="E26" s="214">
        <v>287000</v>
      </c>
      <c r="F26" s="28"/>
      <c r="G26" s="234">
        <f>VLOOKUP(C26,Deck[[Column27]:[Column39]],13,0)</f>
        <v>23833</v>
      </c>
      <c r="H26" s="173">
        <f>VLOOKUP(C26,Deck[[Column27]:[Column39]],11,0)</f>
        <v>16783</v>
      </c>
      <c r="I26" s="174">
        <f>VLOOKUP(C26,Deck[[Column27]:[Column39]],10,0)</f>
        <v>370000</v>
      </c>
      <c r="J26" s="175">
        <f t="shared" si="0"/>
        <v>4.5359459459459461E-2</v>
      </c>
      <c r="K26" s="235">
        <f t="shared" si="1"/>
        <v>-7050</v>
      </c>
      <c r="L26" s="42"/>
      <c r="M26" s="84">
        <f t="shared" si="2"/>
        <v>16783</v>
      </c>
      <c r="N26" s="8"/>
      <c r="O26" s="8"/>
      <c r="P26" s="83">
        <f t="shared" si="3"/>
        <v>16783</v>
      </c>
      <c r="Q26" s="84"/>
      <c r="R26" s="8"/>
      <c r="S26" s="8"/>
      <c r="T26" s="133"/>
      <c r="U26" s="84"/>
      <c r="V26" s="8"/>
      <c r="W26" s="8"/>
      <c r="X26" s="83"/>
      <c r="Y26" s="84"/>
      <c r="Z26" s="8"/>
      <c r="AA26" s="8"/>
      <c r="AB26" s="83"/>
      <c r="AC26" s="132">
        <f t="shared" si="7"/>
        <v>16783</v>
      </c>
    </row>
    <row r="27" spans="1:29" ht="18" customHeight="1" x14ac:dyDescent="0.3">
      <c r="A27" s="188" t="s">
        <v>56</v>
      </c>
      <c r="B27" s="152">
        <v>4</v>
      </c>
      <c r="C27" s="190" t="s">
        <v>306</v>
      </c>
      <c r="D27" s="213">
        <v>369954</v>
      </c>
      <c r="E27" s="214">
        <v>74000</v>
      </c>
      <c r="F27" s="28"/>
      <c r="G27" s="234">
        <f>VLOOKUP(C27,Deck[[Column27]:[Column39]],13,0)</f>
        <v>2370</v>
      </c>
      <c r="H27" s="173">
        <f>VLOOKUP(C27,Deck[[Column27]:[Column39]],11,0)</f>
        <v>5000</v>
      </c>
      <c r="I27" s="174">
        <f>VLOOKUP(C27,Deck[[Column27]:[Column39]],10,0)</f>
        <v>100000</v>
      </c>
      <c r="J27" s="175">
        <f t="shared" si="0"/>
        <v>0.05</v>
      </c>
      <c r="K27" s="235">
        <f t="shared" si="1"/>
        <v>2630</v>
      </c>
      <c r="L27" s="42"/>
      <c r="M27" s="84">
        <f t="shared" si="2"/>
        <v>5000</v>
      </c>
      <c r="N27" s="8"/>
      <c r="O27" s="8"/>
      <c r="P27" s="83">
        <f t="shared" si="3"/>
        <v>5000</v>
      </c>
      <c r="Q27" s="84"/>
      <c r="R27" s="8"/>
      <c r="S27" s="8"/>
      <c r="T27" s="133"/>
      <c r="U27" s="84"/>
      <c r="V27" s="8"/>
      <c r="W27" s="8"/>
      <c r="X27" s="83"/>
      <c r="Y27" s="84"/>
      <c r="Z27" s="8"/>
      <c r="AA27" s="8"/>
      <c r="AB27" s="83"/>
      <c r="AC27" s="132">
        <f t="shared" si="7"/>
        <v>5000</v>
      </c>
    </row>
    <row r="28" spans="1:29" ht="18" customHeight="1" x14ac:dyDescent="0.3">
      <c r="A28" s="188" t="s">
        <v>56</v>
      </c>
      <c r="B28" s="152">
        <v>5</v>
      </c>
      <c r="C28" s="190" t="s">
        <v>299</v>
      </c>
      <c r="D28" s="213">
        <v>0</v>
      </c>
      <c r="E28" s="214">
        <v>0</v>
      </c>
      <c r="F28" s="28"/>
      <c r="G28" s="234">
        <f>VLOOKUP(C28,Deck[[Column27]:[Column39]],13,0)</f>
        <v>0</v>
      </c>
      <c r="H28" s="173">
        <f>VLOOKUP(C28,Deck[[Column27]:[Column39]],11,0)</f>
        <v>0</v>
      </c>
      <c r="I28" s="174">
        <f>VLOOKUP(C28,Deck[[Column27]:[Column39]],10,0)</f>
        <v>0</v>
      </c>
      <c r="J28" s="175" t="e">
        <f t="shared" si="0"/>
        <v>#DIV/0!</v>
      </c>
      <c r="K28" s="235">
        <f t="shared" si="1"/>
        <v>0</v>
      </c>
      <c r="L28" s="42"/>
      <c r="M28" s="84">
        <f t="shared" si="2"/>
        <v>0</v>
      </c>
      <c r="N28" s="8"/>
      <c r="O28" s="8"/>
      <c r="P28" s="83">
        <f t="shared" si="3"/>
        <v>0</v>
      </c>
      <c r="Q28" s="84"/>
      <c r="R28" s="8"/>
      <c r="S28" s="8"/>
      <c r="T28" s="133"/>
      <c r="U28" s="84"/>
      <c r="V28" s="8"/>
      <c r="W28" s="8"/>
      <c r="X28" s="83"/>
      <c r="Y28" s="84"/>
      <c r="Z28" s="8"/>
      <c r="AA28" s="8"/>
      <c r="AB28" s="83"/>
      <c r="AC28" s="132">
        <f t="shared" si="7"/>
        <v>0</v>
      </c>
    </row>
    <row r="29" spans="1:29" ht="18" customHeight="1" x14ac:dyDescent="0.3">
      <c r="A29" s="188" t="s">
        <v>56</v>
      </c>
      <c r="B29" s="152">
        <v>6</v>
      </c>
      <c r="C29" s="190" t="s">
        <v>108</v>
      </c>
      <c r="D29" s="213">
        <v>1139673</v>
      </c>
      <c r="E29" s="214">
        <v>127000</v>
      </c>
      <c r="F29" s="28"/>
      <c r="G29" s="234">
        <f>VLOOKUP(C29,Deck[[Column27]:[Column39]],13,0)</f>
        <v>14170</v>
      </c>
      <c r="H29" s="173">
        <f>VLOOKUP(C29,Deck[[Column27]:[Column39]],11,0)</f>
        <v>16230</v>
      </c>
      <c r="I29" s="174">
        <f>VLOOKUP(C29,Deck[[Column27]:[Column39]],10,0)</f>
        <v>150000</v>
      </c>
      <c r="J29" s="175">
        <f t="shared" si="0"/>
        <v>0.1082</v>
      </c>
      <c r="K29" s="235">
        <f t="shared" si="1"/>
        <v>2060</v>
      </c>
      <c r="L29" s="42"/>
      <c r="M29" s="84">
        <f t="shared" si="2"/>
        <v>16230</v>
      </c>
      <c r="N29" s="8"/>
      <c r="O29" s="8"/>
      <c r="P29" s="83">
        <f t="shared" si="3"/>
        <v>16230</v>
      </c>
      <c r="Q29" s="84"/>
      <c r="R29" s="8"/>
      <c r="S29" s="8"/>
      <c r="T29" s="133"/>
      <c r="U29" s="84"/>
      <c r="V29" s="8"/>
      <c r="W29" s="8"/>
      <c r="X29" s="83"/>
      <c r="Y29" s="84"/>
      <c r="Z29" s="8"/>
      <c r="AA29" s="8"/>
      <c r="AB29" s="83"/>
      <c r="AC29" s="132">
        <f t="shared" si="7"/>
        <v>16230</v>
      </c>
    </row>
    <row r="30" spans="1:29" ht="18" customHeight="1" x14ac:dyDescent="0.3">
      <c r="A30" s="188" t="s">
        <v>56</v>
      </c>
      <c r="B30" s="152">
        <v>7</v>
      </c>
      <c r="C30" s="190" t="s">
        <v>280</v>
      </c>
      <c r="D30" s="213">
        <v>90506</v>
      </c>
      <c r="E30" s="214">
        <v>23000</v>
      </c>
      <c r="F30" s="28"/>
      <c r="G30" s="234">
        <f>VLOOKUP(C30,Deck[[Column27]:[Column39]],13,0)</f>
        <v>9320</v>
      </c>
      <c r="H30" s="173">
        <f>VLOOKUP(C30,Deck[[Column27]:[Column39]],11,0)</f>
        <v>0</v>
      </c>
      <c r="I30" s="174">
        <f>VLOOKUP(C30,Deck[[Column27]:[Column39]],10,0)</f>
        <v>50000</v>
      </c>
      <c r="J30" s="175">
        <f t="shared" si="0"/>
        <v>0</v>
      </c>
      <c r="K30" s="235">
        <f t="shared" si="1"/>
        <v>-9320</v>
      </c>
      <c r="L30" s="42"/>
      <c r="M30" s="84">
        <f t="shared" si="2"/>
        <v>0</v>
      </c>
      <c r="N30" s="8"/>
      <c r="O30" s="8"/>
      <c r="P30" s="83">
        <f t="shared" si="3"/>
        <v>0</v>
      </c>
      <c r="Q30" s="84"/>
      <c r="R30" s="8"/>
      <c r="S30" s="8"/>
      <c r="T30" s="133"/>
      <c r="U30" s="84"/>
      <c r="V30" s="8"/>
      <c r="W30" s="8"/>
      <c r="X30" s="83"/>
      <c r="Y30" s="84"/>
      <c r="Z30" s="8"/>
      <c r="AA30" s="8"/>
      <c r="AB30" s="83"/>
      <c r="AC30" s="132">
        <f t="shared" si="7"/>
        <v>0</v>
      </c>
    </row>
    <row r="31" spans="1:29" s="5" customFormat="1" ht="18" customHeight="1" thickBot="1" x14ac:dyDescent="0.35">
      <c r="A31" s="191"/>
      <c r="B31" s="192"/>
      <c r="C31" s="193" t="s">
        <v>13</v>
      </c>
      <c r="D31" s="215">
        <f>SUM(D3:D30)</f>
        <v>51102410</v>
      </c>
      <c r="E31" s="216">
        <f>SUM(E3:E30)</f>
        <v>4394000</v>
      </c>
      <c r="F31" s="210"/>
      <c r="G31" s="236">
        <f>SUM(G3:G30)</f>
        <v>373197</v>
      </c>
      <c r="H31" s="237">
        <f t="shared" ref="H31:I31" si="8">SUM(H3:H30)</f>
        <v>294272.99</v>
      </c>
      <c r="I31" s="238">
        <f t="shared" si="8"/>
        <v>6065000</v>
      </c>
      <c r="J31" s="239">
        <f t="shared" ref="J31" si="9">H31/I31</f>
        <v>4.851986644682605E-2</v>
      </c>
      <c r="K31" s="240">
        <f t="shared" si="1"/>
        <v>-78924.010000000009</v>
      </c>
      <c r="L31" s="42"/>
      <c r="M31" s="218">
        <f>SUM(M3:M30)</f>
        <v>294272.99</v>
      </c>
      <c r="N31" s="218">
        <f t="shared" ref="N31:P31" si="10">SUM(N3:N30)</f>
        <v>0</v>
      </c>
      <c r="O31" s="218">
        <f t="shared" si="10"/>
        <v>0</v>
      </c>
      <c r="P31" s="218">
        <f t="shared" si="10"/>
        <v>294272.99</v>
      </c>
      <c r="Q31" s="218"/>
      <c r="R31" s="219"/>
      <c r="S31" s="219"/>
      <c r="T31" s="220"/>
      <c r="U31" s="218"/>
      <c r="V31" s="219"/>
      <c r="W31" s="219"/>
      <c r="X31" s="221"/>
      <c r="Y31" s="218"/>
      <c r="Z31" s="219"/>
      <c r="AA31" s="219"/>
      <c r="AB31" s="221"/>
      <c r="AC31" s="241">
        <f>SUM(AC3:AC30)</f>
        <v>294272.99</v>
      </c>
    </row>
  </sheetData>
  <mergeCells count="3">
    <mergeCell ref="D1:E1"/>
    <mergeCell ref="G1:K1"/>
    <mergeCell ref="M1:AC1"/>
  </mergeCells>
  <conditionalFormatting sqref="K3:K1048576">
    <cfRule type="cellIs" dxfId="4" priority="7" operator="lessThan">
      <formula>0</formula>
    </cfRule>
  </conditionalFormatting>
  <conditionalFormatting sqref="K3:K1048576">
    <cfRule type="cellIs" dxfId="3" priority="6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830DB-BBFE-495C-B265-5879B6DAF59B}">
  <sheetPr codeName="Sheet4"/>
  <dimension ref="A1:Z32"/>
  <sheetViews>
    <sheetView workbookViewId="0">
      <pane xSplit="3" ySplit="3" topLeftCell="D4" activePane="bottomRight" state="frozen"/>
      <selection sqref="A1:O1"/>
      <selection pane="topRight" sqref="A1:O1"/>
      <selection pane="bottomLeft" sqref="A1:O1"/>
      <selection pane="bottomRight" activeCell="H8" sqref="H8"/>
    </sheetView>
  </sheetViews>
  <sheetFormatPr defaultColWidth="1.44140625" defaultRowHeight="14.4" x14ac:dyDescent="0.3"/>
  <cols>
    <col min="1" max="1" width="10" style="4" bestFit="1" customWidth="1"/>
    <col min="2" max="2" width="5.33203125" style="4" bestFit="1" customWidth="1"/>
    <col min="3" max="3" width="18.21875" style="5" customWidth="1"/>
    <col min="4" max="4" width="7.21875" style="3" bestFit="1" customWidth="1"/>
    <col min="5" max="5" width="8.21875" style="3" bestFit="1" customWidth="1"/>
    <col min="6" max="6" width="9.5546875" style="3" bestFit="1" customWidth="1"/>
    <col min="7" max="7" width="6.109375" style="3" bestFit="1" customWidth="1"/>
    <col min="8" max="8" width="7.5546875" style="3" bestFit="1" customWidth="1"/>
    <col min="9" max="9" width="1.5546875" bestFit="1" customWidth="1"/>
    <col min="10" max="10" width="7.33203125" style="5" customWidth="1"/>
    <col min="11" max="11" width="3.6640625" style="3" bestFit="1" customWidth="1"/>
    <col min="12" max="12" width="6" style="3" customWidth="1"/>
    <col min="13" max="13" width="5.109375" style="3" customWidth="1"/>
    <col min="14" max="14" width="6.77734375" style="3" customWidth="1"/>
    <col min="15" max="15" width="1.44140625" style="3" customWidth="1"/>
    <col min="16" max="16" width="7.33203125" style="3" customWidth="1"/>
    <col min="17" max="17" width="3.6640625" style="3" bestFit="1" customWidth="1"/>
    <col min="18" max="18" width="6" style="3" bestFit="1" customWidth="1"/>
    <col min="19" max="19" width="5.109375" style="3" customWidth="1"/>
    <col min="20" max="20" width="6.77734375" style="3" customWidth="1"/>
    <col min="21" max="21" width="1.44140625" style="3" customWidth="1"/>
    <col min="22" max="22" width="7.33203125" style="5" bestFit="1" customWidth="1"/>
    <col min="23" max="23" width="3.6640625" style="3" bestFit="1" customWidth="1"/>
    <col min="24" max="24" width="6" style="3" bestFit="1" customWidth="1"/>
    <col min="25" max="25" width="5.109375" style="3" bestFit="1" customWidth="1"/>
    <col min="26" max="26" width="6" style="6" bestFit="1" customWidth="1"/>
    <col min="27" max="27" width="8.88671875" style="3" customWidth="1"/>
    <col min="28" max="28" width="7.77734375" style="3" bestFit="1" customWidth="1"/>
    <col min="29" max="29" width="8.88671875" style="3" bestFit="1" customWidth="1"/>
    <col min="30" max="30" width="7.44140625" style="3" bestFit="1" customWidth="1"/>
    <col min="31" max="31" width="6.21875" style="3" customWidth="1"/>
    <col min="32" max="32" width="9.109375" style="3" customWidth="1"/>
    <col min="33" max="33" width="9" style="3" bestFit="1" customWidth="1"/>
    <col min="34" max="34" width="10.77734375" style="3" bestFit="1" customWidth="1"/>
    <col min="35" max="35" width="13.44140625" style="3" bestFit="1" customWidth="1"/>
    <col min="36" max="36" width="7.44140625" style="3" bestFit="1" customWidth="1"/>
    <col min="37" max="37" width="9" style="3" bestFit="1" customWidth="1"/>
    <col min="38" max="38" width="10.77734375" style="3" bestFit="1" customWidth="1"/>
    <col min="39" max="39" width="10.21875" style="3" bestFit="1" customWidth="1"/>
    <col min="40" max="40" width="9.5546875" style="3" bestFit="1" customWidth="1"/>
    <col min="41" max="41" width="10.77734375" style="3" bestFit="1" customWidth="1"/>
    <col min="42" max="42" width="8.44140625" style="3" bestFit="1" customWidth="1"/>
    <col min="43" max="16384" width="1.44140625" style="3"/>
  </cols>
  <sheetData>
    <row r="1" spans="1:26" s="5" customFormat="1" ht="15" thickBot="1" x14ac:dyDescent="0.35">
      <c r="A1" s="244">
        <f>'Sales Summary'!A2</f>
        <v>46117</v>
      </c>
      <c r="B1" s="245"/>
      <c r="C1" s="320" t="s">
        <v>324</v>
      </c>
      <c r="D1" s="320"/>
      <c r="E1" s="320"/>
      <c r="F1" s="320"/>
      <c r="G1" s="320"/>
      <c r="H1" s="320"/>
      <c r="I1" s="321"/>
      <c r="J1" s="320"/>
      <c r="K1" s="320"/>
      <c r="L1" s="320"/>
      <c r="M1" s="320"/>
      <c r="N1" s="320"/>
      <c r="O1" s="321"/>
      <c r="P1" s="320"/>
      <c r="Q1" s="320"/>
      <c r="R1" s="320"/>
      <c r="S1" s="320"/>
      <c r="T1" s="320"/>
      <c r="U1" s="321"/>
      <c r="V1" s="320"/>
      <c r="W1" s="320"/>
      <c r="X1" s="320"/>
      <c r="Y1" s="320"/>
      <c r="Z1" s="320"/>
    </row>
    <row r="2" spans="1:26" x14ac:dyDescent="0.3">
      <c r="A2" s="194"/>
      <c r="B2" s="246"/>
      <c r="C2" s="116" t="s">
        <v>109</v>
      </c>
      <c r="D2" s="328" t="s">
        <v>320</v>
      </c>
      <c r="E2" s="329"/>
      <c r="F2" s="329"/>
      <c r="G2" s="329"/>
      <c r="H2" s="330"/>
      <c r="I2" t="s">
        <v>311</v>
      </c>
      <c r="J2" s="322" t="s">
        <v>316</v>
      </c>
      <c r="K2" s="323"/>
      <c r="L2" s="323"/>
      <c r="M2" s="323"/>
      <c r="N2" s="324"/>
      <c r="O2" s="4"/>
      <c r="P2" s="325" t="s">
        <v>104</v>
      </c>
      <c r="Q2" s="326"/>
      <c r="R2" s="326"/>
      <c r="S2" s="326"/>
      <c r="T2" s="327"/>
      <c r="U2" s="4"/>
      <c r="V2" s="325" t="s">
        <v>69</v>
      </c>
      <c r="W2" s="326"/>
      <c r="X2" s="326"/>
      <c r="Y2" s="326"/>
      <c r="Z2" s="327"/>
    </row>
    <row r="3" spans="1:26" s="4" customFormat="1" ht="28.8" x14ac:dyDescent="0.3">
      <c r="A3" s="188" t="s">
        <v>54</v>
      </c>
      <c r="B3" s="154" t="s">
        <v>72</v>
      </c>
      <c r="C3" s="189" t="s">
        <v>85</v>
      </c>
      <c r="D3" s="247" t="s">
        <v>315</v>
      </c>
      <c r="E3" s="242" t="s">
        <v>68</v>
      </c>
      <c r="F3" s="242" t="s">
        <v>66</v>
      </c>
      <c r="G3" s="242" t="s">
        <v>33</v>
      </c>
      <c r="H3" s="248" t="s">
        <v>323</v>
      </c>
      <c r="I3"/>
      <c r="J3" s="30" t="s">
        <v>75</v>
      </c>
      <c r="K3" s="31" t="s">
        <v>15</v>
      </c>
      <c r="L3" s="31" t="s">
        <v>73</v>
      </c>
      <c r="M3" s="31" t="s">
        <v>16</v>
      </c>
      <c r="N3" s="32" t="s">
        <v>74</v>
      </c>
      <c r="O3" s="41"/>
      <c r="P3" s="21" t="s">
        <v>75</v>
      </c>
      <c r="Q3" s="19" t="s">
        <v>15</v>
      </c>
      <c r="R3" s="19" t="s">
        <v>73</v>
      </c>
      <c r="S3" s="19" t="s">
        <v>16</v>
      </c>
      <c r="T3" s="22" t="s">
        <v>74</v>
      </c>
      <c r="V3" s="21" t="s">
        <v>75</v>
      </c>
      <c r="W3" s="19" t="s">
        <v>15</v>
      </c>
      <c r="X3" s="19" t="s">
        <v>73</v>
      </c>
      <c r="Y3" s="19" t="s">
        <v>16</v>
      </c>
      <c r="Z3" s="24" t="s">
        <v>70</v>
      </c>
    </row>
    <row r="4" spans="1:26" ht="18" customHeight="1" x14ac:dyDescent="0.3">
      <c r="A4" s="188" t="s">
        <v>310</v>
      </c>
      <c r="B4" s="152">
        <v>1</v>
      </c>
      <c r="C4" s="190" t="s">
        <v>6</v>
      </c>
      <c r="D4" s="224">
        <v>505</v>
      </c>
      <c r="E4" s="243">
        <v>21</v>
      </c>
      <c r="F4" s="243">
        <v>21</v>
      </c>
      <c r="G4" s="243">
        <f>E4+F4</f>
        <v>42</v>
      </c>
      <c r="H4" s="249">
        <f>F4/G4</f>
        <v>0.5</v>
      </c>
      <c r="J4" s="33">
        <f>M4+K4</f>
        <v>5</v>
      </c>
      <c r="K4" s="121">
        <f>VLOOKUP(C4,Deck[[Column43]:[Column46]],3,0)</f>
        <v>2</v>
      </c>
      <c r="L4" s="34">
        <f>IFERROR(K4/J4,0)</f>
        <v>0.4</v>
      </c>
      <c r="M4" s="121">
        <f>VLOOKUP(C4,Deck[[Column43]:[Column46]],4,0)</f>
        <v>3</v>
      </c>
      <c r="N4" s="130">
        <f>IFERROR(M4/J4,0)</f>
        <v>0.6</v>
      </c>
      <c r="O4" s="42"/>
      <c r="P4" s="20">
        <f>Q4+S4</f>
        <v>5</v>
      </c>
      <c r="Q4" s="8">
        <f>K4</f>
        <v>2</v>
      </c>
      <c r="R4" s="9">
        <f>IFERROR(Q4/P4,0)</f>
        <v>0.4</v>
      </c>
      <c r="S4" s="8">
        <f>M4</f>
        <v>3</v>
      </c>
      <c r="T4" s="23">
        <f>IFERROR(S4/P4,0)</f>
        <v>0.6</v>
      </c>
      <c r="U4" s="45"/>
      <c r="V4" s="25">
        <f>W4+Y4</f>
        <v>5</v>
      </c>
      <c r="W4" s="10">
        <f>Q4</f>
        <v>2</v>
      </c>
      <c r="X4" s="11">
        <f>IFERROR(W4/V4,0)</f>
        <v>0.4</v>
      </c>
      <c r="Y4" s="10">
        <f>S4</f>
        <v>3</v>
      </c>
      <c r="Z4" s="26">
        <f>IFERROR(Y4/V4,0)</f>
        <v>0.6</v>
      </c>
    </row>
    <row r="5" spans="1:26" ht="18" customHeight="1" x14ac:dyDescent="0.3">
      <c r="A5" s="188" t="s">
        <v>310</v>
      </c>
      <c r="B5" s="152">
        <v>2</v>
      </c>
      <c r="C5" s="190" t="s">
        <v>9</v>
      </c>
      <c r="D5" s="224">
        <v>239</v>
      </c>
      <c r="E5" s="243">
        <v>11</v>
      </c>
      <c r="F5" s="243">
        <v>9</v>
      </c>
      <c r="G5" s="243">
        <f t="shared" ref="G5:G31" si="0">E5+F5</f>
        <v>20</v>
      </c>
      <c r="H5" s="249">
        <f t="shared" ref="H5:H32" si="1">F5/G5</f>
        <v>0.45</v>
      </c>
      <c r="J5" s="33">
        <f t="shared" ref="J5:J31" si="2">M5+K5</f>
        <v>7</v>
      </c>
      <c r="K5" s="121">
        <f>VLOOKUP(C5,Deck[[Column43]:[Column46]],3,0)</f>
        <v>2</v>
      </c>
      <c r="L5" s="34">
        <f t="shared" ref="L5:L32" si="3">IFERROR(K5/J5,0)</f>
        <v>0.2857142857142857</v>
      </c>
      <c r="M5" s="121">
        <f>VLOOKUP(C5,Deck[[Column43]:[Column46]],4,0)</f>
        <v>5</v>
      </c>
      <c r="N5" s="130">
        <f t="shared" ref="N5:N32" si="4">IFERROR(M5/J5,0)</f>
        <v>0.7142857142857143</v>
      </c>
      <c r="O5" s="42"/>
      <c r="P5" s="20">
        <f t="shared" ref="P5:P32" si="5">Q5+S5</f>
        <v>7</v>
      </c>
      <c r="Q5" s="8">
        <f t="shared" ref="Q5:Q32" si="6">K5</f>
        <v>2</v>
      </c>
      <c r="R5" s="9">
        <f t="shared" ref="R5:R32" si="7">IFERROR(Q5/P5,0)</f>
        <v>0.2857142857142857</v>
      </c>
      <c r="S5" s="8">
        <f t="shared" ref="S5:S32" si="8">M5</f>
        <v>5</v>
      </c>
      <c r="T5" s="23">
        <f t="shared" ref="T5:T32" si="9">IFERROR(S5/P5,0)</f>
        <v>0.7142857142857143</v>
      </c>
      <c r="U5" s="45"/>
      <c r="V5" s="25">
        <f t="shared" ref="V5:V32" si="10">W5+Y5</f>
        <v>7</v>
      </c>
      <c r="W5" s="10">
        <f t="shared" ref="W5:W32" si="11">Q5</f>
        <v>2</v>
      </c>
      <c r="X5" s="11">
        <f t="shared" ref="X5:X32" si="12">IFERROR(W5/V5,0)</f>
        <v>0.2857142857142857</v>
      </c>
      <c r="Y5" s="10">
        <f t="shared" ref="Y5:Y32" si="13">S5</f>
        <v>5</v>
      </c>
      <c r="Z5" s="26">
        <f t="shared" ref="Z5:Z32" si="14">IFERROR(Y5/V5,0)</f>
        <v>0.7142857142857143</v>
      </c>
    </row>
    <row r="6" spans="1:26" ht="18" customHeight="1" x14ac:dyDescent="0.3">
      <c r="A6" s="188" t="s">
        <v>57</v>
      </c>
      <c r="B6" s="152">
        <v>1</v>
      </c>
      <c r="C6" s="190" t="s">
        <v>273</v>
      </c>
      <c r="D6" s="224">
        <v>72</v>
      </c>
      <c r="E6" s="243">
        <v>7</v>
      </c>
      <c r="F6" s="243">
        <v>5</v>
      </c>
      <c r="G6" s="243">
        <f t="shared" si="0"/>
        <v>12</v>
      </c>
      <c r="H6" s="249">
        <f t="shared" si="1"/>
        <v>0.41666666666666669</v>
      </c>
      <c r="J6" s="33">
        <f t="shared" si="2"/>
        <v>4</v>
      </c>
      <c r="K6" s="121">
        <f>VLOOKUP(C6,Deck[[Column43]:[Column46]],3,0)</f>
        <v>1</v>
      </c>
      <c r="L6" s="34">
        <f t="shared" si="3"/>
        <v>0.25</v>
      </c>
      <c r="M6" s="121">
        <f>VLOOKUP(C6,Deck[[Column43]:[Column46]],4,0)</f>
        <v>3</v>
      </c>
      <c r="N6" s="130">
        <f t="shared" si="4"/>
        <v>0.75</v>
      </c>
      <c r="O6" s="42"/>
      <c r="P6" s="20">
        <f t="shared" si="5"/>
        <v>4</v>
      </c>
      <c r="Q6" s="8">
        <f t="shared" si="6"/>
        <v>1</v>
      </c>
      <c r="R6" s="9">
        <f t="shared" si="7"/>
        <v>0.25</v>
      </c>
      <c r="S6" s="8">
        <f t="shared" si="8"/>
        <v>3</v>
      </c>
      <c r="T6" s="23">
        <f t="shared" si="9"/>
        <v>0.75</v>
      </c>
      <c r="U6" s="45"/>
      <c r="V6" s="25">
        <f t="shared" si="10"/>
        <v>4</v>
      </c>
      <c r="W6" s="10">
        <f t="shared" si="11"/>
        <v>1</v>
      </c>
      <c r="X6" s="11">
        <f t="shared" si="12"/>
        <v>0.25</v>
      </c>
      <c r="Y6" s="10">
        <f t="shared" si="13"/>
        <v>3</v>
      </c>
      <c r="Z6" s="26">
        <f t="shared" si="14"/>
        <v>0.75</v>
      </c>
    </row>
    <row r="7" spans="1:26" ht="18" customHeight="1" x14ac:dyDescent="0.3">
      <c r="A7" s="188" t="s">
        <v>57</v>
      </c>
      <c r="B7" s="152">
        <v>2</v>
      </c>
      <c r="C7" s="190" t="s">
        <v>7</v>
      </c>
      <c r="D7" s="224">
        <v>580</v>
      </c>
      <c r="E7" s="243">
        <v>30</v>
      </c>
      <c r="F7" s="243">
        <v>19</v>
      </c>
      <c r="G7" s="243">
        <f t="shared" si="0"/>
        <v>49</v>
      </c>
      <c r="H7" s="249">
        <f t="shared" si="1"/>
        <v>0.38775510204081631</v>
      </c>
      <c r="J7" s="33">
        <f t="shared" si="2"/>
        <v>8</v>
      </c>
      <c r="K7" s="121">
        <f>VLOOKUP(C7,Deck[[Column43]:[Column46]],3,0)</f>
        <v>6</v>
      </c>
      <c r="L7" s="34">
        <f t="shared" si="3"/>
        <v>0.75</v>
      </c>
      <c r="M7" s="121">
        <f>VLOOKUP(C7,Deck[[Column43]:[Column46]],4,0)</f>
        <v>2</v>
      </c>
      <c r="N7" s="130">
        <f t="shared" si="4"/>
        <v>0.25</v>
      </c>
      <c r="O7" s="42"/>
      <c r="P7" s="20">
        <f t="shared" si="5"/>
        <v>8</v>
      </c>
      <c r="Q7" s="8">
        <f t="shared" si="6"/>
        <v>6</v>
      </c>
      <c r="R7" s="9">
        <f t="shared" si="7"/>
        <v>0.75</v>
      </c>
      <c r="S7" s="8">
        <f t="shared" si="8"/>
        <v>2</v>
      </c>
      <c r="T7" s="23">
        <f t="shared" si="9"/>
        <v>0.25</v>
      </c>
      <c r="U7" s="45"/>
      <c r="V7" s="25">
        <f t="shared" si="10"/>
        <v>8</v>
      </c>
      <c r="W7" s="10">
        <f t="shared" si="11"/>
        <v>6</v>
      </c>
      <c r="X7" s="11">
        <f t="shared" si="12"/>
        <v>0.75</v>
      </c>
      <c r="Y7" s="10">
        <f t="shared" si="13"/>
        <v>2</v>
      </c>
      <c r="Z7" s="26">
        <f t="shared" si="14"/>
        <v>0.25</v>
      </c>
    </row>
    <row r="8" spans="1:26" ht="18" customHeight="1" x14ac:dyDescent="0.3">
      <c r="A8" s="188" t="s">
        <v>57</v>
      </c>
      <c r="B8" s="152">
        <v>3</v>
      </c>
      <c r="C8" s="190" t="s">
        <v>8</v>
      </c>
      <c r="D8" s="224">
        <v>422</v>
      </c>
      <c r="E8" s="243">
        <v>18</v>
      </c>
      <c r="F8" s="243">
        <v>18</v>
      </c>
      <c r="G8" s="243">
        <f t="shared" si="0"/>
        <v>36</v>
      </c>
      <c r="H8" s="249">
        <f t="shared" si="1"/>
        <v>0.5</v>
      </c>
      <c r="J8" s="33">
        <f t="shared" si="2"/>
        <v>7</v>
      </c>
      <c r="K8" s="121">
        <f>VLOOKUP(C8,Deck[[Column43]:[Column46]],3,0)</f>
        <v>4</v>
      </c>
      <c r="L8" s="34">
        <f t="shared" si="3"/>
        <v>0.5714285714285714</v>
      </c>
      <c r="M8" s="121">
        <f>VLOOKUP(C8,Deck[[Column43]:[Column46]],4,0)</f>
        <v>3</v>
      </c>
      <c r="N8" s="130">
        <f t="shared" si="4"/>
        <v>0.42857142857142855</v>
      </c>
      <c r="O8" s="42"/>
      <c r="P8" s="20">
        <f t="shared" si="5"/>
        <v>7</v>
      </c>
      <c r="Q8" s="8">
        <f t="shared" si="6"/>
        <v>4</v>
      </c>
      <c r="R8" s="9">
        <f t="shared" si="7"/>
        <v>0.5714285714285714</v>
      </c>
      <c r="S8" s="8">
        <f t="shared" si="8"/>
        <v>3</v>
      </c>
      <c r="T8" s="23">
        <f t="shared" si="9"/>
        <v>0.42857142857142855</v>
      </c>
      <c r="U8" s="45"/>
      <c r="V8" s="25">
        <f t="shared" si="10"/>
        <v>7</v>
      </c>
      <c r="W8" s="10">
        <f t="shared" si="11"/>
        <v>4</v>
      </c>
      <c r="X8" s="11">
        <f t="shared" si="12"/>
        <v>0.5714285714285714</v>
      </c>
      <c r="Y8" s="10">
        <f t="shared" si="13"/>
        <v>3</v>
      </c>
      <c r="Z8" s="26">
        <f t="shared" si="14"/>
        <v>0.42857142857142855</v>
      </c>
    </row>
    <row r="9" spans="1:26" ht="18" customHeight="1" x14ac:dyDescent="0.3">
      <c r="A9" s="188" t="s">
        <v>57</v>
      </c>
      <c r="B9" s="152">
        <v>4</v>
      </c>
      <c r="C9" s="190" t="s">
        <v>266</v>
      </c>
      <c r="D9" s="224">
        <v>123</v>
      </c>
      <c r="E9" s="243">
        <v>10</v>
      </c>
      <c r="F9" s="243">
        <v>7</v>
      </c>
      <c r="G9" s="243">
        <f t="shared" si="0"/>
        <v>17</v>
      </c>
      <c r="H9" s="249">
        <f t="shared" si="1"/>
        <v>0.41176470588235292</v>
      </c>
      <c r="J9" s="33">
        <f t="shared" si="2"/>
        <v>4</v>
      </c>
      <c r="K9" s="121">
        <f>VLOOKUP(C9,Deck[[Column43]:[Column46]],3,0)</f>
        <v>2</v>
      </c>
      <c r="L9" s="34">
        <f t="shared" si="3"/>
        <v>0.5</v>
      </c>
      <c r="M9" s="121">
        <f>VLOOKUP(C9,Deck[[Column43]:[Column46]],4,0)</f>
        <v>2</v>
      </c>
      <c r="N9" s="130">
        <f t="shared" si="4"/>
        <v>0.5</v>
      </c>
      <c r="O9" s="42"/>
      <c r="P9" s="20">
        <f t="shared" si="5"/>
        <v>4</v>
      </c>
      <c r="Q9" s="8">
        <f t="shared" si="6"/>
        <v>2</v>
      </c>
      <c r="R9" s="9">
        <f t="shared" si="7"/>
        <v>0.5</v>
      </c>
      <c r="S9" s="8">
        <f t="shared" si="8"/>
        <v>2</v>
      </c>
      <c r="T9" s="23">
        <f t="shared" si="9"/>
        <v>0.5</v>
      </c>
      <c r="U9" s="45"/>
      <c r="V9" s="25">
        <f t="shared" si="10"/>
        <v>4</v>
      </c>
      <c r="W9" s="10">
        <f t="shared" si="11"/>
        <v>2</v>
      </c>
      <c r="X9" s="11">
        <f t="shared" si="12"/>
        <v>0.5</v>
      </c>
      <c r="Y9" s="10">
        <f t="shared" si="13"/>
        <v>2</v>
      </c>
      <c r="Z9" s="26">
        <f t="shared" si="14"/>
        <v>0.5</v>
      </c>
    </row>
    <row r="10" spans="1:26" ht="18" customHeight="1" x14ac:dyDescent="0.3">
      <c r="A10" s="188" t="s">
        <v>116</v>
      </c>
      <c r="B10" s="152">
        <v>1</v>
      </c>
      <c r="C10" s="190" t="s">
        <v>2</v>
      </c>
      <c r="D10" s="224">
        <v>364</v>
      </c>
      <c r="E10" s="243">
        <v>17</v>
      </c>
      <c r="F10" s="243">
        <v>14</v>
      </c>
      <c r="G10" s="243">
        <f t="shared" si="0"/>
        <v>31</v>
      </c>
      <c r="H10" s="249">
        <f t="shared" si="1"/>
        <v>0.45161290322580644</v>
      </c>
      <c r="J10" s="33">
        <f t="shared" si="2"/>
        <v>8</v>
      </c>
      <c r="K10" s="121">
        <f>VLOOKUP(C10,Deck[[Column43]:[Column46]],3,0)</f>
        <v>4</v>
      </c>
      <c r="L10" s="34">
        <f t="shared" si="3"/>
        <v>0.5</v>
      </c>
      <c r="M10" s="121">
        <f>VLOOKUP(C10,Deck[[Column43]:[Column46]],4,0)</f>
        <v>4</v>
      </c>
      <c r="N10" s="130">
        <f t="shared" si="4"/>
        <v>0.5</v>
      </c>
      <c r="O10" s="42"/>
      <c r="P10" s="20">
        <f t="shared" si="5"/>
        <v>8</v>
      </c>
      <c r="Q10" s="8">
        <f t="shared" si="6"/>
        <v>4</v>
      </c>
      <c r="R10" s="9">
        <f t="shared" si="7"/>
        <v>0.5</v>
      </c>
      <c r="S10" s="8">
        <f t="shared" si="8"/>
        <v>4</v>
      </c>
      <c r="T10" s="23">
        <f t="shared" si="9"/>
        <v>0.5</v>
      </c>
      <c r="U10" s="45"/>
      <c r="V10" s="25">
        <f t="shared" si="10"/>
        <v>8</v>
      </c>
      <c r="W10" s="10">
        <f t="shared" si="11"/>
        <v>4</v>
      </c>
      <c r="X10" s="11">
        <f t="shared" si="12"/>
        <v>0.5</v>
      </c>
      <c r="Y10" s="10">
        <f t="shared" si="13"/>
        <v>4</v>
      </c>
      <c r="Z10" s="26">
        <f t="shared" si="14"/>
        <v>0.5</v>
      </c>
    </row>
    <row r="11" spans="1:26" ht="18" customHeight="1" x14ac:dyDescent="0.3">
      <c r="A11" s="188" t="s">
        <v>116</v>
      </c>
      <c r="B11" s="152">
        <v>2</v>
      </c>
      <c r="C11" s="190" t="s">
        <v>46</v>
      </c>
      <c r="D11" s="224">
        <v>243</v>
      </c>
      <c r="E11" s="243">
        <v>14</v>
      </c>
      <c r="F11" s="243">
        <v>6</v>
      </c>
      <c r="G11" s="243">
        <f t="shared" si="0"/>
        <v>20</v>
      </c>
      <c r="H11" s="249">
        <f t="shared" si="1"/>
        <v>0.3</v>
      </c>
      <c r="J11" s="33">
        <f t="shared" si="2"/>
        <v>1</v>
      </c>
      <c r="K11" s="121">
        <f>VLOOKUP(C11,Deck[[Column43]:[Column46]],3,0)</f>
        <v>1</v>
      </c>
      <c r="L11" s="34">
        <f t="shared" si="3"/>
        <v>1</v>
      </c>
      <c r="M11" s="121">
        <f>VLOOKUP(C11,Deck[[Column43]:[Column46]],4,0)</f>
        <v>0</v>
      </c>
      <c r="N11" s="130">
        <f t="shared" si="4"/>
        <v>0</v>
      </c>
      <c r="O11" s="42"/>
      <c r="P11" s="20">
        <f t="shared" si="5"/>
        <v>1</v>
      </c>
      <c r="Q11" s="8">
        <f t="shared" si="6"/>
        <v>1</v>
      </c>
      <c r="R11" s="9">
        <f t="shared" si="7"/>
        <v>1</v>
      </c>
      <c r="S11" s="8">
        <f t="shared" si="8"/>
        <v>0</v>
      </c>
      <c r="T11" s="23">
        <f t="shared" si="9"/>
        <v>0</v>
      </c>
      <c r="U11" s="45"/>
      <c r="V11" s="25">
        <f t="shared" si="10"/>
        <v>1</v>
      </c>
      <c r="W11" s="10">
        <f t="shared" si="11"/>
        <v>1</v>
      </c>
      <c r="X11" s="11">
        <f t="shared" si="12"/>
        <v>1</v>
      </c>
      <c r="Y11" s="10">
        <f t="shared" si="13"/>
        <v>0</v>
      </c>
      <c r="Z11" s="26">
        <f t="shared" si="14"/>
        <v>0</v>
      </c>
    </row>
    <row r="12" spans="1:26" ht="18" customHeight="1" x14ac:dyDescent="0.3">
      <c r="A12" s="188" t="s">
        <v>116</v>
      </c>
      <c r="B12" s="152">
        <v>3</v>
      </c>
      <c r="C12" s="190" t="s">
        <v>301</v>
      </c>
      <c r="D12" s="224">
        <v>118</v>
      </c>
      <c r="E12" s="243">
        <v>4</v>
      </c>
      <c r="F12" s="243">
        <v>6</v>
      </c>
      <c r="G12" s="243">
        <f t="shared" si="0"/>
        <v>10</v>
      </c>
      <c r="H12" s="249">
        <f t="shared" si="1"/>
        <v>0.6</v>
      </c>
      <c r="J12" s="33">
        <f t="shared" si="2"/>
        <v>0</v>
      </c>
      <c r="K12" s="121">
        <f>VLOOKUP(C12,Deck[[Column43]:[Column46]],3,0)</f>
        <v>0</v>
      </c>
      <c r="L12" s="34">
        <f t="shared" si="3"/>
        <v>0</v>
      </c>
      <c r="M12" s="121">
        <f>VLOOKUP(C12,Deck[[Column43]:[Column46]],4,0)</f>
        <v>0</v>
      </c>
      <c r="N12" s="130">
        <f t="shared" si="4"/>
        <v>0</v>
      </c>
      <c r="O12" s="42"/>
      <c r="P12" s="20">
        <f t="shared" si="5"/>
        <v>0</v>
      </c>
      <c r="Q12" s="8">
        <f t="shared" si="6"/>
        <v>0</v>
      </c>
      <c r="R12" s="9">
        <f t="shared" si="7"/>
        <v>0</v>
      </c>
      <c r="S12" s="8">
        <f t="shared" si="8"/>
        <v>0</v>
      </c>
      <c r="T12" s="23">
        <f t="shared" si="9"/>
        <v>0</v>
      </c>
      <c r="U12" s="45"/>
      <c r="V12" s="25">
        <f t="shared" si="10"/>
        <v>0</v>
      </c>
      <c r="W12" s="10">
        <f t="shared" si="11"/>
        <v>0</v>
      </c>
      <c r="X12" s="11">
        <f t="shared" si="12"/>
        <v>0</v>
      </c>
      <c r="Y12" s="10">
        <f t="shared" si="13"/>
        <v>0</v>
      </c>
      <c r="Z12" s="26">
        <f t="shared" si="14"/>
        <v>0</v>
      </c>
    </row>
    <row r="13" spans="1:26" ht="18" customHeight="1" x14ac:dyDescent="0.3">
      <c r="A13" s="188" t="s">
        <v>116</v>
      </c>
      <c r="B13" s="152">
        <v>4</v>
      </c>
      <c r="C13" s="190" t="s">
        <v>302</v>
      </c>
      <c r="D13" s="224">
        <v>555</v>
      </c>
      <c r="E13" s="243">
        <v>23</v>
      </c>
      <c r="F13" s="243">
        <v>24</v>
      </c>
      <c r="G13" s="243">
        <f t="shared" si="0"/>
        <v>47</v>
      </c>
      <c r="H13" s="249">
        <f t="shared" si="1"/>
        <v>0.51063829787234039</v>
      </c>
      <c r="J13" s="33">
        <f t="shared" si="2"/>
        <v>5</v>
      </c>
      <c r="K13" s="121">
        <f>VLOOKUP(C13,Deck[[Column43]:[Column46]],3,0)</f>
        <v>1</v>
      </c>
      <c r="L13" s="34">
        <f t="shared" si="3"/>
        <v>0.2</v>
      </c>
      <c r="M13" s="121">
        <f>VLOOKUP(C13,Deck[[Column43]:[Column46]],4,0)</f>
        <v>4</v>
      </c>
      <c r="N13" s="130">
        <f t="shared" si="4"/>
        <v>0.8</v>
      </c>
      <c r="O13" s="42"/>
      <c r="P13" s="20">
        <f t="shared" si="5"/>
        <v>5</v>
      </c>
      <c r="Q13" s="8">
        <f t="shared" si="6"/>
        <v>1</v>
      </c>
      <c r="R13" s="9">
        <f t="shared" si="7"/>
        <v>0.2</v>
      </c>
      <c r="S13" s="8">
        <f t="shared" si="8"/>
        <v>4</v>
      </c>
      <c r="T13" s="23">
        <f t="shared" si="9"/>
        <v>0.8</v>
      </c>
      <c r="U13" s="45"/>
      <c r="V13" s="25">
        <f t="shared" si="10"/>
        <v>5</v>
      </c>
      <c r="W13" s="10">
        <f t="shared" si="11"/>
        <v>1</v>
      </c>
      <c r="X13" s="11">
        <f t="shared" si="12"/>
        <v>0.2</v>
      </c>
      <c r="Y13" s="10">
        <f t="shared" si="13"/>
        <v>4</v>
      </c>
      <c r="Z13" s="26">
        <f t="shared" si="14"/>
        <v>0.8</v>
      </c>
    </row>
    <row r="14" spans="1:26" ht="18" customHeight="1" x14ac:dyDescent="0.3">
      <c r="A14" s="188" t="s">
        <v>116</v>
      </c>
      <c r="B14" s="152">
        <v>5</v>
      </c>
      <c r="C14" s="190" t="s">
        <v>4</v>
      </c>
      <c r="D14" s="224">
        <v>567</v>
      </c>
      <c r="E14" s="243">
        <v>22</v>
      </c>
      <c r="F14" s="243">
        <v>26</v>
      </c>
      <c r="G14" s="243">
        <f t="shared" si="0"/>
        <v>48</v>
      </c>
      <c r="H14" s="249">
        <f t="shared" si="1"/>
        <v>0.54166666666666663</v>
      </c>
      <c r="J14" s="33">
        <f t="shared" si="2"/>
        <v>9</v>
      </c>
      <c r="K14" s="121">
        <f>VLOOKUP(C14,Deck[[Column43]:[Column46]],3,0)</f>
        <v>4</v>
      </c>
      <c r="L14" s="34">
        <f t="shared" si="3"/>
        <v>0.44444444444444442</v>
      </c>
      <c r="M14" s="121">
        <f>VLOOKUP(C14,Deck[[Column43]:[Column46]],4,0)</f>
        <v>5</v>
      </c>
      <c r="N14" s="130">
        <f t="shared" si="4"/>
        <v>0.55555555555555558</v>
      </c>
      <c r="O14" s="42"/>
      <c r="P14" s="20">
        <f t="shared" si="5"/>
        <v>9</v>
      </c>
      <c r="Q14" s="8">
        <f t="shared" si="6"/>
        <v>4</v>
      </c>
      <c r="R14" s="9">
        <f t="shared" si="7"/>
        <v>0.44444444444444442</v>
      </c>
      <c r="S14" s="8">
        <f t="shared" si="8"/>
        <v>5</v>
      </c>
      <c r="T14" s="23">
        <f t="shared" si="9"/>
        <v>0.55555555555555558</v>
      </c>
      <c r="U14" s="45"/>
      <c r="V14" s="25">
        <f t="shared" si="10"/>
        <v>9</v>
      </c>
      <c r="W14" s="10">
        <f t="shared" si="11"/>
        <v>4</v>
      </c>
      <c r="X14" s="11">
        <f t="shared" si="12"/>
        <v>0.44444444444444442</v>
      </c>
      <c r="Y14" s="10">
        <f t="shared" si="13"/>
        <v>5</v>
      </c>
      <c r="Z14" s="26">
        <f t="shared" si="14"/>
        <v>0.55555555555555558</v>
      </c>
    </row>
    <row r="15" spans="1:26" ht="18" customHeight="1" x14ac:dyDescent="0.3">
      <c r="A15" s="188" t="s">
        <v>116</v>
      </c>
      <c r="B15" s="152">
        <v>6</v>
      </c>
      <c r="C15" s="190" t="s">
        <v>303</v>
      </c>
      <c r="D15" s="224">
        <v>690</v>
      </c>
      <c r="E15" s="243">
        <v>27</v>
      </c>
      <c r="F15" s="243">
        <v>31</v>
      </c>
      <c r="G15" s="243">
        <f t="shared" si="0"/>
        <v>58</v>
      </c>
      <c r="H15" s="249">
        <f t="shared" si="1"/>
        <v>0.53448275862068961</v>
      </c>
      <c r="J15" s="33">
        <f t="shared" si="2"/>
        <v>8</v>
      </c>
      <c r="K15" s="121">
        <f>VLOOKUP(C15,Deck[[Column43]:[Column46]],3,0)</f>
        <v>3</v>
      </c>
      <c r="L15" s="34">
        <f t="shared" si="3"/>
        <v>0.375</v>
      </c>
      <c r="M15" s="121">
        <f>VLOOKUP(C15,Deck[[Column43]:[Column46]],4,0)</f>
        <v>5</v>
      </c>
      <c r="N15" s="130">
        <f t="shared" si="4"/>
        <v>0.625</v>
      </c>
      <c r="O15" s="42"/>
      <c r="P15" s="20">
        <f t="shared" si="5"/>
        <v>8</v>
      </c>
      <c r="Q15" s="8">
        <f t="shared" si="6"/>
        <v>3</v>
      </c>
      <c r="R15" s="9">
        <f t="shared" si="7"/>
        <v>0.375</v>
      </c>
      <c r="S15" s="8">
        <f t="shared" si="8"/>
        <v>5</v>
      </c>
      <c r="T15" s="23">
        <f t="shared" si="9"/>
        <v>0.625</v>
      </c>
      <c r="U15" s="45"/>
      <c r="V15" s="25">
        <f t="shared" si="10"/>
        <v>8</v>
      </c>
      <c r="W15" s="10">
        <f t="shared" si="11"/>
        <v>3</v>
      </c>
      <c r="X15" s="11">
        <f t="shared" si="12"/>
        <v>0.375</v>
      </c>
      <c r="Y15" s="10">
        <f t="shared" si="13"/>
        <v>5</v>
      </c>
      <c r="Z15" s="26">
        <f t="shared" si="14"/>
        <v>0.625</v>
      </c>
    </row>
    <row r="16" spans="1:26" ht="18" customHeight="1" x14ac:dyDescent="0.3">
      <c r="A16" s="188" t="s">
        <v>116</v>
      </c>
      <c r="B16" s="152">
        <v>7</v>
      </c>
      <c r="C16" s="190" t="s">
        <v>44</v>
      </c>
      <c r="D16" s="224">
        <v>551</v>
      </c>
      <c r="E16" s="243">
        <v>22</v>
      </c>
      <c r="F16" s="243">
        <v>24</v>
      </c>
      <c r="G16" s="243">
        <f t="shared" si="0"/>
        <v>46</v>
      </c>
      <c r="H16" s="249">
        <f t="shared" si="1"/>
        <v>0.52173913043478259</v>
      </c>
      <c r="J16" s="33">
        <f t="shared" si="2"/>
        <v>5</v>
      </c>
      <c r="K16" s="121">
        <f>VLOOKUP(C16,Deck[[Column43]:[Column46]],3,0)</f>
        <v>1</v>
      </c>
      <c r="L16" s="34">
        <f t="shared" si="3"/>
        <v>0.2</v>
      </c>
      <c r="M16" s="121">
        <f>VLOOKUP(C16,Deck[[Column43]:[Column46]],4,0)</f>
        <v>4</v>
      </c>
      <c r="N16" s="130">
        <f t="shared" si="4"/>
        <v>0.8</v>
      </c>
      <c r="O16" s="42"/>
      <c r="P16" s="20">
        <f t="shared" si="5"/>
        <v>5</v>
      </c>
      <c r="Q16" s="8">
        <f t="shared" si="6"/>
        <v>1</v>
      </c>
      <c r="R16" s="9">
        <f t="shared" si="7"/>
        <v>0.2</v>
      </c>
      <c r="S16" s="8">
        <f t="shared" si="8"/>
        <v>4</v>
      </c>
      <c r="T16" s="23">
        <f t="shared" si="9"/>
        <v>0.8</v>
      </c>
      <c r="U16" s="45"/>
      <c r="V16" s="25">
        <f t="shared" si="10"/>
        <v>5</v>
      </c>
      <c r="W16" s="10">
        <f t="shared" si="11"/>
        <v>1</v>
      </c>
      <c r="X16" s="11">
        <f t="shared" si="12"/>
        <v>0.2</v>
      </c>
      <c r="Y16" s="10">
        <f t="shared" si="13"/>
        <v>4</v>
      </c>
      <c r="Z16" s="26">
        <f t="shared" si="14"/>
        <v>0.8</v>
      </c>
    </row>
    <row r="17" spans="1:26" ht="18" customHeight="1" x14ac:dyDescent="0.3">
      <c r="A17" s="188" t="s">
        <v>116</v>
      </c>
      <c r="B17" s="152">
        <v>8</v>
      </c>
      <c r="C17" s="190" t="s">
        <v>10</v>
      </c>
      <c r="D17" s="224">
        <v>768</v>
      </c>
      <c r="E17" s="243">
        <v>32</v>
      </c>
      <c r="F17" s="243">
        <v>32</v>
      </c>
      <c r="G17" s="243">
        <f t="shared" si="0"/>
        <v>64</v>
      </c>
      <c r="H17" s="249">
        <f t="shared" si="1"/>
        <v>0.5</v>
      </c>
      <c r="J17" s="33">
        <f t="shared" si="2"/>
        <v>11</v>
      </c>
      <c r="K17" s="121">
        <f>VLOOKUP(C17,Deck[[Column43]:[Column46]],3,0)</f>
        <v>5</v>
      </c>
      <c r="L17" s="34">
        <f t="shared" si="3"/>
        <v>0.45454545454545453</v>
      </c>
      <c r="M17" s="121">
        <f>VLOOKUP(C17,Deck[[Column43]:[Column46]],4,0)</f>
        <v>6</v>
      </c>
      <c r="N17" s="130">
        <f t="shared" si="4"/>
        <v>0.54545454545454541</v>
      </c>
      <c r="O17" s="42"/>
      <c r="P17" s="20">
        <f t="shared" si="5"/>
        <v>11</v>
      </c>
      <c r="Q17" s="8">
        <f t="shared" si="6"/>
        <v>5</v>
      </c>
      <c r="R17" s="9">
        <f t="shared" si="7"/>
        <v>0.45454545454545453</v>
      </c>
      <c r="S17" s="8">
        <f t="shared" si="8"/>
        <v>6</v>
      </c>
      <c r="T17" s="23">
        <f t="shared" si="9"/>
        <v>0.54545454545454541</v>
      </c>
      <c r="U17" s="45"/>
      <c r="V17" s="25">
        <f t="shared" si="10"/>
        <v>11</v>
      </c>
      <c r="W17" s="10">
        <f t="shared" si="11"/>
        <v>5</v>
      </c>
      <c r="X17" s="11">
        <f t="shared" si="12"/>
        <v>0.45454545454545453</v>
      </c>
      <c r="Y17" s="10">
        <f t="shared" si="13"/>
        <v>6</v>
      </c>
      <c r="Z17" s="26">
        <f t="shared" si="14"/>
        <v>0.54545454545454541</v>
      </c>
    </row>
    <row r="18" spans="1:26" ht="18" customHeight="1" x14ac:dyDescent="0.3">
      <c r="A18" s="188" t="s">
        <v>116</v>
      </c>
      <c r="B18" s="152">
        <v>9</v>
      </c>
      <c r="C18" s="190" t="s">
        <v>45</v>
      </c>
      <c r="D18" s="224">
        <v>205</v>
      </c>
      <c r="E18" s="243">
        <v>9</v>
      </c>
      <c r="F18" s="243">
        <v>8</v>
      </c>
      <c r="G18" s="243">
        <f t="shared" si="0"/>
        <v>17</v>
      </c>
      <c r="H18" s="249">
        <f t="shared" si="1"/>
        <v>0.47058823529411764</v>
      </c>
      <c r="J18" s="33">
        <f t="shared" si="2"/>
        <v>3</v>
      </c>
      <c r="K18" s="121">
        <f>VLOOKUP(C18,Deck[[Column43]:[Column46]],3,0)</f>
        <v>2</v>
      </c>
      <c r="L18" s="34">
        <f t="shared" si="3"/>
        <v>0.66666666666666663</v>
      </c>
      <c r="M18" s="121">
        <f>VLOOKUP(C18,Deck[[Column43]:[Column46]],4,0)</f>
        <v>1</v>
      </c>
      <c r="N18" s="130">
        <f t="shared" si="4"/>
        <v>0.33333333333333331</v>
      </c>
      <c r="O18" s="42"/>
      <c r="P18" s="20">
        <f t="shared" si="5"/>
        <v>3</v>
      </c>
      <c r="Q18" s="8">
        <f t="shared" si="6"/>
        <v>2</v>
      </c>
      <c r="R18" s="9">
        <f t="shared" si="7"/>
        <v>0.66666666666666663</v>
      </c>
      <c r="S18" s="8">
        <f t="shared" si="8"/>
        <v>1</v>
      </c>
      <c r="T18" s="23">
        <f t="shared" si="9"/>
        <v>0.33333333333333331</v>
      </c>
      <c r="U18" s="45"/>
      <c r="V18" s="25">
        <f t="shared" si="10"/>
        <v>3</v>
      </c>
      <c r="W18" s="10">
        <f t="shared" si="11"/>
        <v>2</v>
      </c>
      <c r="X18" s="11">
        <f t="shared" si="12"/>
        <v>0.66666666666666663</v>
      </c>
      <c r="Y18" s="10">
        <f t="shared" si="13"/>
        <v>1</v>
      </c>
      <c r="Z18" s="26">
        <f t="shared" si="14"/>
        <v>0.33333333333333331</v>
      </c>
    </row>
    <row r="19" spans="1:26" ht="18" customHeight="1" x14ac:dyDescent="0.3">
      <c r="A19" s="188" t="s">
        <v>116</v>
      </c>
      <c r="B19" s="152">
        <v>10</v>
      </c>
      <c r="C19" s="190" t="s">
        <v>98</v>
      </c>
      <c r="D19" s="224">
        <v>321</v>
      </c>
      <c r="E19" s="243">
        <v>15</v>
      </c>
      <c r="F19" s="243">
        <v>15</v>
      </c>
      <c r="G19" s="243">
        <f t="shared" si="0"/>
        <v>30</v>
      </c>
      <c r="H19" s="249">
        <f t="shared" si="1"/>
        <v>0.5</v>
      </c>
      <c r="J19" s="33">
        <f t="shared" si="2"/>
        <v>6</v>
      </c>
      <c r="K19" s="121">
        <f>VLOOKUP(C19,Deck[[Column43]:[Column46]],3,0)</f>
        <v>5</v>
      </c>
      <c r="L19" s="34">
        <f t="shared" si="3"/>
        <v>0.83333333333333337</v>
      </c>
      <c r="M19" s="121">
        <f>VLOOKUP(C19,Deck[[Column43]:[Column46]],4,0)</f>
        <v>1</v>
      </c>
      <c r="N19" s="130">
        <f t="shared" si="4"/>
        <v>0.16666666666666666</v>
      </c>
      <c r="O19" s="42"/>
      <c r="P19" s="20">
        <f t="shared" si="5"/>
        <v>6</v>
      </c>
      <c r="Q19" s="8">
        <f t="shared" si="6"/>
        <v>5</v>
      </c>
      <c r="R19" s="9">
        <f t="shared" si="7"/>
        <v>0.83333333333333337</v>
      </c>
      <c r="S19" s="8">
        <f t="shared" si="8"/>
        <v>1</v>
      </c>
      <c r="T19" s="23">
        <f t="shared" si="9"/>
        <v>0.16666666666666666</v>
      </c>
      <c r="U19" s="45"/>
      <c r="V19" s="25">
        <f t="shared" si="10"/>
        <v>6</v>
      </c>
      <c r="W19" s="10">
        <f t="shared" si="11"/>
        <v>5</v>
      </c>
      <c r="X19" s="11">
        <f t="shared" si="12"/>
        <v>0.83333333333333337</v>
      </c>
      <c r="Y19" s="10">
        <f t="shared" si="13"/>
        <v>1</v>
      </c>
      <c r="Z19" s="26">
        <f t="shared" si="14"/>
        <v>0.16666666666666666</v>
      </c>
    </row>
    <row r="20" spans="1:26" ht="18" customHeight="1" x14ac:dyDescent="0.3">
      <c r="A20" s="188" t="s">
        <v>58</v>
      </c>
      <c r="B20" s="152">
        <v>1</v>
      </c>
      <c r="C20" s="190" t="s">
        <v>1</v>
      </c>
      <c r="D20" s="224">
        <v>374</v>
      </c>
      <c r="E20" s="243">
        <v>15</v>
      </c>
      <c r="F20" s="243">
        <v>16</v>
      </c>
      <c r="G20" s="243">
        <f t="shared" si="0"/>
        <v>31</v>
      </c>
      <c r="H20" s="249">
        <f t="shared" si="1"/>
        <v>0.5161290322580645</v>
      </c>
      <c r="J20" s="33">
        <f t="shared" si="2"/>
        <v>7</v>
      </c>
      <c r="K20" s="121">
        <f>VLOOKUP(C20,Deck[[Column43]:[Column46]],3,0)</f>
        <v>1</v>
      </c>
      <c r="L20" s="34">
        <f t="shared" si="3"/>
        <v>0.14285714285714285</v>
      </c>
      <c r="M20" s="121">
        <f>VLOOKUP(C20,Deck[[Column43]:[Column46]],4,0)</f>
        <v>6</v>
      </c>
      <c r="N20" s="130">
        <f t="shared" si="4"/>
        <v>0.8571428571428571</v>
      </c>
      <c r="O20" s="42"/>
      <c r="P20" s="20">
        <f t="shared" si="5"/>
        <v>7</v>
      </c>
      <c r="Q20" s="8">
        <f t="shared" si="6"/>
        <v>1</v>
      </c>
      <c r="R20" s="9">
        <f t="shared" si="7"/>
        <v>0.14285714285714285</v>
      </c>
      <c r="S20" s="8">
        <f t="shared" si="8"/>
        <v>6</v>
      </c>
      <c r="T20" s="23">
        <f t="shared" si="9"/>
        <v>0.8571428571428571</v>
      </c>
      <c r="U20" s="45"/>
      <c r="V20" s="25">
        <f t="shared" si="10"/>
        <v>7</v>
      </c>
      <c r="W20" s="10">
        <f t="shared" si="11"/>
        <v>1</v>
      </c>
      <c r="X20" s="11">
        <f t="shared" si="12"/>
        <v>0.14285714285714285</v>
      </c>
      <c r="Y20" s="10">
        <f t="shared" si="13"/>
        <v>6</v>
      </c>
      <c r="Z20" s="26">
        <f t="shared" si="14"/>
        <v>0.8571428571428571</v>
      </c>
    </row>
    <row r="21" spans="1:26" ht="18" customHeight="1" x14ac:dyDescent="0.3">
      <c r="A21" s="188" t="s">
        <v>58</v>
      </c>
      <c r="B21" s="152">
        <v>2</v>
      </c>
      <c r="C21" s="190" t="s">
        <v>3</v>
      </c>
      <c r="D21" s="224">
        <v>212</v>
      </c>
      <c r="E21" s="243">
        <v>8</v>
      </c>
      <c r="F21" s="243">
        <v>10</v>
      </c>
      <c r="G21" s="243">
        <f t="shared" si="0"/>
        <v>18</v>
      </c>
      <c r="H21" s="249">
        <f t="shared" si="1"/>
        <v>0.55555555555555558</v>
      </c>
      <c r="J21" s="33">
        <f t="shared" si="2"/>
        <v>4</v>
      </c>
      <c r="K21" s="121">
        <f>VLOOKUP(C21,Deck[[Column43]:[Column46]],3,0)</f>
        <v>2</v>
      </c>
      <c r="L21" s="34">
        <f t="shared" si="3"/>
        <v>0.5</v>
      </c>
      <c r="M21" s="121">
        <f>VLOOKUP(C21,Deck[[Column43]:[Column46]],4,0)</f>
        <v>2</v>
      </c>
      <c r="N21" s="130">
        <f t="shared" si="4"/>
        <v>0.5</v>
      </c>
      <c r="O21" s="42"/>
      <c r="P21" s="20">
        <f t="shared" si="5"/>
        <v>4</v>
      </c>
      <c r="Q21" s="8">
        <f t="shared" si="6"/>
        <v>2</v>
      </c>
      <c r="R21" s="9">
        <f t="shared" si="7"/>
        <v>0.5</v>
      </c>
      <c r="S21" s="8">
        <f t="shared" si="8"/>
        <v>2</v>
      </c>
      <c r="T21" s="23">
        <f t="shared" si="9"/>
        <v>0.5</v>
      </c>
      <c r="U21" s="45"/>
      <c r="V21" s="25">
        <f t="shared" si="10"/>
        <v>4</v>
      </c>
      <c r="W21" s="10">
        <f t="shared" si="11"/>
        <v>2</v>
      </c>
      <c r="X21" s="11">
        <f t="shared" si="12"/>
        <v>0.5</v>
      </c>
      <c r="Y21" s="10">
        <f t="shared" si="13"/>
        <v>2</v>
      </c>
      <c r="Z21" s="26">
        <f t="shared" si="14"/>
        <v>0.5</v>
      </c>
    </row>
    <row r="22" spans="1:26" s="5" customFormat="1" ht="18" customHeight="1" x14ac:dyDescent="0.3">
      <c r="A22" s="188" t="s">
        <v>58</v>
      </c>
      <c r="B22" s="152">
        <v>3</v>
      </c>
      <c r="C22" s="190" t="s">
        <v>5</v>
      </c>
      <c r="D22" s="224">
        <v>426</v>
      </c>
      <c r="E22" s="243">
        <v>18</v>
      </c>
      <c r="F22" s="243">
        <v>18</v>
      </c>
      <c r="G22" s="243">
        <f t="shared" si="0"/>
        <v>36</v>
      </c>
      <c r="H22" s="249">
        <f t="shared" si="1"/>
        <v>0.5</v>
      </c>
      <c r="I22"/>
      <c r="J22" s="33">
        <f t="shared" si="2"/>
        <v>3</v>
      </c>
      <c r="K22" s="121">
        <f>VLOOKUP(C22,Deck[[Column43]:[Column46]],3,0)</f>
        <v>1</v>
      </c>
      <c r="L22" s="34">
        <f t="shared" si="3"/>
        <v>0.33333333333333331</v>
      </c>
      <c r="M22" s="121">
        <f>VLOOKUP(C22,Deck[[Column43]:[Column46]],4,0)</f>
        <v>2</v>
      </c>
      <c r="N22" s="130">
        <f t="shared" si="4"/>
        <v>0.66666666666666663</v>
      </c>
      <c r="O22" s="42"/>
      <c r="P22" s="20">
        <f t="shared" si="5"/>
        <v>3</v>
      </c>
      <c r="Q22" s="8">
        <f t="shared" si="6"/>
        <v>1</v>
      </c>
      <c r="R22" s="9">
        <f t="shared" si="7"/>
        <v>0.33333333333333331</v>
      </c>
      <c r="S22" s="8">
        <f t="shared" si="8"/>
        <v>2</v>
      </c>
      <c r="T22" s="23">
        <f t="shared" si="9"/>
        <v>0.66666666666666663</v>
      </c>
      <c r="U22" s="45"/>
      <c r="V22" s="25">
        <f t="shared" si="10"/>
        <v>3</v>
      </c>
      <c r="W22" s="10">
        <f t="shared" si="11"/>
        <v>1</v>
      </c>
      <c r="X22" s="11">
        <f t="shared" si="12"/>
        <v>0.33333333333333331</v>
      </c>
      <c r="Y22" s="10">
        <f t="shared" si="13"/>
        <v>2</v>
      </c>
      <c r="Z22" s="26">
        <f t="shared" si="14"/>
        <v>0.66666666666666663</v>
      </c>
    </row>
    <row r="23" spans="1:26" x14ac:dyDescent="0.3">
      <c r="A23" s="188" t="s">
        <v>58</v>
      </c>
      <c r="B23" s="152">
        <v>4</v>
      </c>
      <c r="C23" s="190" t="s">
        <v>308</v>
      </c>
      <c r="D23" s="224">
        <v>122</v>
      </c>
      <c r="E23" s="243">
        <v>7</v>
      </c>
      <c r="F23" s="243">
        <v>4</v>
      </c>
      <c r="G23" s="243">
        <f t="shared" si="0"/>
        <v>11</v>
      </c>
      <c r="H23" s="249">
        <f t="shared" si="1"/>
        <v>0.36363636363636365</v>
      </c>
      <c r="J23" s="33">
        <f t="shared" si="2"/>
        <v>1</v>
      </c>
      <c r="K23" s="121">
        <f>VLOOKUP(C23,Deck[[Column43]:[Column46]],3,0)</f>
        <v>1</v>
      </c>
      <c r="L23" s="34">
        <f t="shared" si="3"/>
        <v>1</v>
      </c>
      <c r="M23" s="121">
        <f>VLOOKUP(C23,Deck[[Column43]:[Column46]],4,0)</f>
        <v>0</v>
      </c>
      <c r="N23" s="130">
        <f t="shared" si="4"/>
        <v>0</v>
      </c>
      <c r="P23" s="20">
        <f t="shared" si="5"/>
        <v>1</v>
      </c>
      <c r="Q23" s="8">
        <f t="shared" si="6"/>
        <v>1</v>
      </c>
      <c r="R23" s="9">
        <f t="shared" si="7"/>
        <v>1</v>
      </c>
      <c r="S23" s="8">
        <f t="shared" si="8"/>
        <v>0</v>
      </c>
      <c r="T23" s="23">
        <f t="shared" si="9"/>
        <v>0</v>
      </c>
      <c r="V23" s="25">
        <f t="shared" si="10"/>
        <v>1</v>
      </c>
      <c r="W23" s="10">
        <f t="shared" si="11"/>
        <v>1</v>
      </c>
      <c r="X23" s="11">
        <f t="shared" si="12"/>
        <v>1</v>
      </c>
      <c r="Y23" s="10">
        <f t="shared" si="13"/>
        <v>0</v>
      </c>
      <c r="Z23" s="26">
        <f t="shared" si="14"/>
        <v>0</v>
      </c>
    </row>
    <row r="24" spans="1:26" x14ac:dyDescent="0.3">
      <c r="A24" s="188" t="s">
        <v>115</v>
      </c>
      <c r="B24" s="152">
        <v>1</v>
      </c>
      <c r="C24" s="190" t="s">
        <v>84</v>
      </c>
      <c r="D24" s="224">
        <v>765</v>
      </c>
      <c r="E24" s="243">
        <v>18</v>
      </c>
      <c r="F24" s="243">
        <v>46</v>
      </c>
      <c r="G24" s="243">
        <f t="shared" si="0"/>
        <v>64</v>
      </c>
      <c r="H24" s="249">
        <f t="shared" si="1"/>
        <v>0.71875</v>
      </c>
      <c r="J24" s="33">
        <f t="shared" si="2"/>
        <v>6</v>
      </c>
      <c r="K24" s="121">
        <f>VLOOKUP(C24,Deck[[Column43]:[Column46]],3,0)</f>
        <v>0</v>
      </c>
      <c r="L24" s="34">
        <f t="shared" si="3"/>
        <v>0</v>
      </c>
      <c r="M24" s="121">
        <f>VLOOKUP(C24,Deck[[Column43]:[Column46]],4,0)</f>
        <v>6</v>
      </c>
      <c r="N24" s="130">
        <f t="shared" si="4"/>
        <v>1</v>
      </c>
      <c r="P24" s="20">
        <f t="shared" si="5"/>
        <v>6</v>
      </c>
      <c r="Q24" s="8">
        <f t="shared" si="6"/>
        <v>0</v>
      </c>
      <c r="R24" s="9">
        <f t="shared" si="7"/>
        <v>0</v>
      </c>
      <c r="S24" s="8">
        <f t="shared" si="8"/>
        <v>6</v>
      </c>
      <c r="T24" s="23">
        <f t="shared" si="9"/>
        <v>1</v>
      </c>
      <c r="V24" s="25">
        <f t="shared" si="10"/>
        <v>6</v>
      </c>
      <c r="W24" s="10">
        <f t="shared" si="11"/>
        <v>0</v>
      </c>
      <c r="X24" s="11">
        <f t="shared" si="12"/>
        <v>0</v>
      </c>
      <c r="Y24" s="10">
        <f t="shared" si="13"/>
        <v>6</v>
      </c>
      <c r="Z24" s="26">
        <f t="shared" si="14"/>
        <v>1</v>
      </c>
    </row>
    <row r="25" spans="1:26" x14ac:dyDescent="0.3">
      <c r="A25" s="188" t="s">
        <v>56</v>
      </c>
      <c r="B25" s="152">
        <v>1</v>
      </c>
      <c r="C25" s="190" t="s">
        <v>0</v>
      </c>
      <c r="D25" s="224">
        <v>692</v>
      </c>
      <c r="E25" s="243">
        <v>27</v>
      </c>
      <c r="F25" s="243">
        <v>30</v>
      </c>
      <c r="G25" s="243">
        <f t="shared" si="0"/>
        <v>57</v>
      </c>
      <c r="H25" s="249">
        <f t="shared" si="1"/>
        <v>0.52631578947368418</v>
      </c>
      <c r="J25" s="33">
        <f t="shared" si="2"/>
        <v>6</v>
      </c>
      <c r="K25" s="121">
        <f>VLOOKUP(C25,Deck[[Column43]:[Column46]],3,0)</f>
        <v>0</v>
      </c>
      <c r="L25" s="34">
        <f t="shared" si="3"/>
        <v>0</v>
      </c>
      <c r="M25" s="121">
        <f>VLOOKUP(C25,Deck[[Column43]:[Column46]],4,0)</f>
        <v>6</v>
      </c>
      <c r="N25" s="130">
        <f t="shared" si="4"/>
        <v>1</v>
      </c>
      <c r="P25" s="20">
        <f t="shared" si="5"/>
        <v>6</v>
      </c>
      <c r="Q25" s="8">
        <f t="shared" si="6"/>
        <v>0</v>
      </c>
      <c r="R25" s="9">
        <f t="shared" si="7"/>
        <v>0</v>
      </c>
      <c r="S25" s="8">
        <f t="shared" si="8"/>
        <v>6</v>
      </c>
      <c r="T25" s="23">
        <f t="shared" si="9"/>
        <v>1</v>
      </c>
      <c r="V25" s="25">
        <f t="shared" si="10"/>
        <v>6</v>
      </c>
      <c r="W25" s="10">
        <f t="shared" si="11"/>
        <v>0</v>
      </c>
      <c r="X25" s="11">
        <f t="shared" si="12"/>
        <v>0</v>
      </c>
      <c r="Y25" s="10">
        <f t="shared" si="13"/>
        <v>6</v>
      </c>
      <c r="Z25" s="26">
        <f t="shared" si="14"/>
        <v>1</v>
      </c>
    </row>
    <row r="26" spans="1:26" x14ac:dyDescent="0.3">
      <c r="A26" s="188" t="s">
        <v>56</v>
      </c>
      <c r="B26" s="152">
        <v>2</v>
      </c>
      <c r="C26" s="190" t="s">
        <v>304</v>
      </c>
      <c r="D26" s="224">
        <v>409</v>
      </c>
      <c r="E26" s="243">
        <v>15</v>
      </c>
      <c r="F26" s="243">
        <v>19</v>
      </c>
      <c r="G26" s="243">
        <f t="shared" si="0"/>
        <v>34</v>
      </c>
      <c r="H26" s="249">
        <f t="shared" si="1"/>
        <v>0.55882352941176472</v>
      </c>
      <c r="J26" s="33">
        <f t="shared" si="2"/>
        <v>6</v>
      </c>
      <c r="K26" s="121">
        <f>VLOOKUP(C26,Deck[[Column43]:[Column46]],3,0)</f>
        <v>1</v>
      </c>
      <c r="L26" s="34">
        <f t="shared" si="3"/>
        <v>0.16666666666666666</v>
      </c>
      <c r="M26" s="121">
        <f>VLOOKUP(C26,Deck[[Column43]:[Column46]],4,0)</f>
        <v>5</v>
      </c>
      <c r="N26" s="130">
        <f t="shared" si="4"/>
        <v>0.83333333333333337</v>
      </c>
      <c r="P26" s="20">
        <f t="shared" si="5"/>
        <v>6</v>
      </c>
      <c r="Q26" s="8">
        <f t="shared" si="6"/>
        <v>1</v>
      </c>
      <c r="R26" s="9">
        <f t="shared" si="7"/>
        <v>0.16666666666666666</v>
      </c>
      <c r="S26" s="8">
        <f t="shared" si="8"/>
        <v>5</v>
      </c>
      <c r="T26" s="23">
        <f t="shared" si="9"/>
        <v>0.83333333333333337</v>
      </c>
      <c r="V26" s="25">
        <f t="shared" si="10"/>
        <v>6</v>
      </c>
      <c r="W26" s="10">
        <f t="shared" si="11"/>
        <v>1</v>
      </c>
      <c r="X26" s="11">
        <f t="shared" si="12"/>
        <v>0.16666666666666666</v>
      </c>
      <c r="Y26" s="10">
        <f t="shared" si="13"/>
        <v>5</v>
      </c>
      <c r="Z26" s="26">
        <f t="shared" si="14"/>
        <v>0.83333333333333337</v>
      </c>
    </row>
    <row r="27" spans="1:26" x14ac:dyDescent="0.3">
      <c r="A27" s="188" t="s">
        <v>56</v>
      </c>
      <c r="B27" s="152">
        <v>3</v>
      </c>
      <c r="C27" s="190" t="s">
        <v>305</v>
      </c>
      <c r="D27" s="224">
        <v>650</v>
      </c>
      <c r="E27" s="243">
        <v>28</v>
      </c>
      <c r="F27" s="243">
        <v>26</v>
      </c>
      <c r="G27" s="243">
        <f t="shared" si="0"/>
        <v>54</v>
      </c>
      <c r="H27" s="249">
        <f t="shared" si="1"/>
        <v>0.48148148148148145</v>
      </c>
      <c r="J27" s="33">
        <f t="shared" si="2"/>
        <v>4</v>
      </c>
      <c r="K27" s="121">
        <f>VLOOKUP(C27,Deck[[Column43]:[Column46]],3,0)</f>
        <v>0</v>
      </c>
      <c r="L27" s="34">
        <f t="shared" si="3"/>
        <v>0</v>
      </c>
      <c r="M27" s="121">
        <f>VLOOKUP(C27,Deck[[Column43]:[Column46]],4,0)</f>
        <v>4</v>
      </c>
      <c r="N27" s="130">
        <f t="shared" si="4"/>
        <v>1</v>
      </c>
      <c r="P27" s="20">
        <f t="shared" si="5"/>
        <v>4</v>
      </c>
      <c r="Q27" s="8">
        <f t="shared" si="6"/>
        <v>0</v>
      </c>
      <c r="R27" s="9">
        <f t="shared" si="7"/>
        <v>0</v>
      </c>
      <c r="S27" s="8">
        <f t="shared" si="8"/>
        <v>4</v>
      </c>
      <c r="T27" s="23">
        <f t="shared" si="9"/>
        <v>1</v>
      </c>
      <c r="V27" s="25">
        <f t="shared" si="10"/>
        <v>4</v>
      </c>
      <c r="W27" s="10">
        <f t="shared" si="11"/>
        <v>0</v>
      </c>
      <c r="X27" s="11">
        <f t="shared" si="12"/>
        <v>0</v>
      </c>
      <c r="Y27" s="10">
        <f t="shared" si="13"/>
        <v>4</v>
      </c>
      <c r="Z27" s="26">
        <f t="shared" si="14"/>
        <v>1</v>
      </c>
    </row>
    <row r="28" spans="1:26" x14ac:dyDescent="0.3">
      <c r="A28" s="188" t="s">
        <v>56</v>
      </c>
      <c r="B28" s="152">
        <v>4</v>
      </c>
      <c r="C28" s="190" t="s">
        <v>306</v>
      </c>
      <c r="D28" s="224">
        <v>151</v>
      </c>
      <c r="E28" s="243">
        <v>11</v>
      </c>
      <c r="F28" s="243">
        <v>19</v>
      </c>
      <c r="G28" s="243">
        <f t="shared" si="0"/>
        <v>30</v>
      </c>
      <c r="H28" s="249">
        <f t="shared" si="1"/>
        <v>0.6333333333333333</v>
      </c>
      <c r="J28" s="33">
        <f t="shared" si="2"/>
        <v>5</v>
      </c>
      <c r="K28" s="121">
        <f>VLOOKUP(C28,Deck[[Column43]:[Column46]],3,0)</f>
        <v>3</v>
      </c>
      <c r="L28" s="34">
        <f t="shared" si="3"/>
        <v>0.6</v>
      </c>
      <c r="M28" s="121">
        <f>VLOOKUP(C28,Deck[[Column43]:[Column46]],4,0)</f>
        <v>2</v>
      </c>
      <c r="N28" s="130">
        <f t="shared" si="4"/>
        <v>0.4</v>
      </c>
      <c r="P28" s="20">
        <f t="shared" si="5"/>
        <v>5</v>
      </c>
      <c r="Q28" s="8">
        <f t="shared" si="6"/>
        <v>3</v>
      </c>
      <c r="R28" s="9">
        <f t="shared" si="7"/>
        <v>0.6</v>
      </c>
      <c r="S28" s="8">
        <f t="shared" si="8"/>
        <v>2</v>
      </c>
      <c r="T28" s="23">
        <f t="shared" si="9"/>
        <v>0.4</v>
      </c>
      <c r="V28" s="25">
        <f t="shared" si="10"/>
        <v>5</v>
      </c>
      <c r="W28" s="10">
        <f t="shared" si="11"/>
        <v>3</v>
      </c>
      <c r="X28" s="11">
        <f t="shared" si="12"/>
        <v>0.6</v>
      </c>
      <c r="Y28" s="10">
        <f t="shared" si="13"/>
        <v>2</v>
      </c>
      <c r="Z28" s="26">
        <f t="shared" si="14"/>
        <v>0.4</v>
      </c>
    </row>
    <row r="29" spans="1:26" x14ac:dyDescent="0.3">
      <c r="A29" s="188" t="s">
        <v>56</v>
      </c>
      <c r="B29" s="152">
        <v>5</v>
      </c>
      <c r="C29" s="190" t="s">
        <v>299</v>
      </c>
      <c r="D29" s="224">
        <v>1</v>
      </c>
      <c r="E29" s="243">
        <v>0</v>
      </c>
      <c r="F29" s="243">
        <v>1</v>
      </c>
      <c r="G29" s="243">
        <f t="shared" si="0"/>
        <v>1</v>
      </c>
      <c r="H29" s="249">
        <f t="shared" si="1"/>
        <v>1</v>
      </c>
      <c r="J29" s="33">
        <f t="shared" si="2"/>
        <v>3</v>
      </c>
      <c r="K29" s="121">
        <f>VLOOKUP(C29,Deck[[Column43]:[Column46]],3,0)</f>
        <v>0</v>
      </c>
      <c r="L29" s="34">
        <f t="shared" si="3"/>
        <v>0</v>
      </c>
      <c r="M29" s="121">
        <f>VLOOKUP(C29,Deck[[Column43]:[Column46]],4,0)</f>
        <v>3</v>
      </c>
      <c r="N29" s="130">
        <f t="shared" si="4"/>
        <v>1</v>
      </c>
      <c r="P29" s="20">
        <f t="shared" si="5"/>
        <v>3</v>
      </c>
      <c r="Q29" s="8">
        <f t="shared" si="6"/>
        <v>0</v>
      </c>
      <c r="R29" s="9">
        <f t="shared" si="7"/>
        <v>0</v>
      </c>
      <c r="S29" s="8">
        <f t="shared" si="8"/>
        <v>3</v>
      </c>
      <c r="T29" s="23">
        <f t="shared" si="9"/>
        <v>1</v>
      </c>
      <c r="V29" s="25">
        <f t="shared" si="10"/>
        <v>3</v>
      </c>
      <c r="W29" s="10">
        <f t="shared" si="11"/>
        <v>0</v>
      </c>
      <c r="X29" s="11">
        <f t="shared" si="12"/>
        <v>0</v>
      </c>
      <c r="Y29" s="10">
        <f t="shared" si="13"/>
        <v>3</v>
      </c>
      <c r="Z29" s="26">
        <f t="shared" si="14"/>
        <v>1</v>
      </c>
    </row>
    <row r="30" spans="1:26" x14ac:dyDescent="0.3">
      <c r="A30" s="188" t="s">
        <v>56</v>
      </c>
      <c r="B30" s="152">
        <v>6</v>
      </c>
      <c r="C30" s="190" t="s">
        <v>108</v>
      </c>
      <c r="D30" s="224">
        <v>226</v>
      </c>
      <c r="E30" s="243">
        <v>11</v>
      </c>
      <c r="F30" s="243">
        <v>14</v>
      </c>
      <c r="G30" s="243">
        <f t="shared" si="0"/>
        <v>25</v>
      </c>
      <c r="H30" s="249">
        <f t="shared" si="1"/>
        <v>0.56000000000000005</v>
      </c>
      <c r="J30" s="33">
        <f t="shared" si="2"/>
        <v>4</v>
      </c>
      <c r="K30" s="121">
        <f>VLOOKUP(C30,Deck[[Column43]:[Column46]],3,0)</f>
        <v>0</v>
      </c>
      <c r="L30" s="34">
        <f t="shared" si="3"/>
        <v>0</v>
      </c>
      <c r="M30" s="121">
        <f>VLOOKUP(C30,Deck[[Column43]:[Column46]],4,0)</f>
        <v>4</v>
      </c>
      <c r="N30" s="130">
        <f t="shared" si="4"/>
        <v>1</v>
      </c>
      <c r="P30" s="20">
        <f t="shared" si="5"/>
        <v>4</v>
      </c>
      <c r="Q30" s="8">
        <f t="shared" si="6"/>
        <v>0</v>
      </c>
      <c r="R30" s="9">
        <f t="shared" si="7"/>
        <v>0</v>
      </c>
      <c r="S30" s="8">
        <f t="shared" si="8"/>
        <v>4</v>
      </c>
      <c r="T30" s="23">
        <f t="shared" si="9"/>
        <v>1</v>
      </c>
      <c r="V30" s="25">
        <f t="shared" si="10"/>
        <v>4</v>
      </c>
      <c r="W30" s="10">
        <f t="shared" si="11"/>
        <v>0</v>
      </c>
      <c r="X30" s="11">
        <f t="shared" si="12"/>
        <v>0</v>
      </c>
      <c r="Y30" s="10">
        <f t="shared" si="13"/>
        <v>4</v>
      </c>
      <c r="Z30" s="26">
        <f t="shared" si="14"/>
        <v>1</v>
      </c>
    </row>
    <row r="31" spans="1:26" x14ac:dyDescent="0.3">
      <c r="A31" s="188" t="s">
        <v>56</v>
      </c>
      <c r="B31" s="152">
        <v>7</v>
      </c>
      <c r="C31" s="190" t="s">
        <v>280</v>
      </c>
      <c r="D31" s="224">
        <v>52</v>
      </c>
      <c r="E31" s="243">
        <v>7</v>
      </c>
      <c r="F31" s="243">
        <v>6</v>
      </c>
      <c r="G31" s="243">
        <f t="shared" si="0"/>
        <v>13</v>
      </c>
      <c r="H31" s="249">
        <f t="shared" si="1"/>
        <v>0.46153846153846156</v>
      </c>
      <c r="J31" s="33">
        <f t="shared" si="2"/>
        <v>3</v>
      </c>
      <c r="K31" s="121">
        <f>VLOOKUP(C31,Deck[[Column43]:[Column46]],3,0)</f>
        <v>1</v>
      </c>
      <c r="L31" s="34">
        <f t="shared" si="3"/>
        <v>0.33333333333333331</v>
      </c>
      <c r="M31" s="121">
        <f>VLOOKUP(C31,Deck[[Column43]:[Column46]],4,0)</f>
        <v>2</v>
      </c>
      <c r="N31" s="130">
        <f t="shared" si="4"/>
        <v>0.66666666666666663</v>
      </c>
      <c r="P31" s="20">
        <f t="shared" si="5"/>
        <v>3</v>
      </c>
      <c r="Q31" s="8">
        <f t="shared" si="6"/>
        <v>1</v>
      </c>
      <c r="R31" s="9">
        <f t="shared" si="7"/>
        <v>0.33333333333333331</v>
      </c>
      <c r="S31" s="8">
        <f t="shared" si="8"/>
        <v>2</v>
      </c>
      <c r="T31" s="23">
        <f t="shared" si="9"/>
        <v>0.66666666666666663</v>
      </c>
      <c r="V31" s="25">
        <f t="shared" si="10"/>
        <v>3</v>
      </c>
      <c r="W31" s="10">
        <f t="shared" si="11"/>
        <v>1</v>
      </c>
      <c r="X31" s="11">
        <f t="shared" si="12"/>
        <v>0.33333333333333331</v>
      </c>
      <c r="Y31" s="10">
        <f t="shared" si="13"/>
        <v>2</v>
      </c>
      <c r="Z31" s="26">
        <f t="shared" si="14"/>
        <v>0.66666666666666663</v>
      </c>
    </row>
    <row r="32" spans="1:26" s="5" customFormat="1" ht="15" thickBot="1" x14ac:dyDescent="0.35">
      <c r="A32" s="191"/>
      <c r="B32" s="192"/>
      <c r="C32" s="193" t="s">
        <v>13</v>
      </c>
      <c r="D32" s="226">
        <f>SUM(D4:D31)</f>
        <v>10403</v>
      </c>
      <c r="E32" s="250">
        <f t="shared" ref="E32:G32" si="15">SUM(E4:E31)</f>
        <v>447</v>
      </c>
      <c r="F32" s="250">
        <f t="shared" si="15"/>
        <v>474</v>
      </c>
      <c r="G32" s="250">
        <f t="shared" si="15"/>
        <v>921</v>
      </c>
      <c r="H32" s="251">
        <f t="shared" si="1"/>
        <v>0.51465798045602607</v>
      </c>
      <c r="I32" s="36"/>
      <c r="J32" s="252">
        <f>SUM(J4:J31)</f>
        <v>143</v>
      </c>
      <c r="K32" s="253">
        <f>SUM(K4:K31)</f>
        <v>53</v>
      </c>
      <c r="L32" s="254">
        <f t="shared" si="3"/>
        <v>0.37062937062937062</v>
      </c>
      <c r="M32" s="253">
        <f>SUM(M4:M31)</f>
        <v>90</v>
      </c>
      <c r="N32" s="255">
        <f t="shared" si="4"/>
        <v>0.62937062937062938</v>
      </c>
      <c r="P32" s="218">
        <f t="shared" si="5"/>
        <v>143</v>
      </c>
      <c r="Q32" s="219">
        <f t="shared" si="6"/>
        <v>53</v>
      </c>
      <c r="R32" s="256">
        <f t="shared" si="7"/>
        <v>0.37062937062937062</v>
      </c>
      <c r="S32" s="219">
        <f t="shared" si="8"/>
        <v>90</v>
      </c>
      <c r="T32" s="257">
        <f t="shared" si="9"/>
        <v>0.62937062937062938</v>
      </c>
      <c r="V32" s="258">
        <f t="shared" si="10"/>
        <v>143</v>
      </c>
      <c r="W32" s="259">
        <f t="shared" si="11"/>
        <v>53</v>
      </c>
      <c r="X32" s="260">
        <f t="shared" si="12"/>
        <v>0.37062937062937062</v>
      </c>
      <c r="Y32" s="259">
        <f t="shared" si="13"/>
        <v>90</v>
      </c>
      <c r="Z32" s="261">
        <f t="shared" si="14"/>
        <v>0.62937062937062938</v>
      </c>
    </row>
  </sheetData>
  <mergeCells count="5">
    <mergeCell ref="C1:Z1"/>
    <mergeCell ref="J2:N2"/>
    <mergeCell ref="P2:T2"/>
    <mergeCell ref="V2:Z2"/>
    <mergeCell ref="D2:H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481AD-E819-41B0-80B0-13FEFC4DCE10}">
  <sheetPr codeName="Sheet5"/>
  <dimension ref="A1:T32"/>
  <sheetViews>
    <sheetView workbookViewId="0">
      <pane xSplit="2" ySplit="3" topLeftCell="C10" activePane="bottomRight" state="frozen"/>
      <selection sqref="A1:O1"/>
      <selection pane="topRight" sqref="A1:O1"/>
      <selection pane="bottomLeft" sqref="A1:O1"/>
      <selection pane="bottomRight" activeCell="C1" sqref="C1:K1"/>
    </sheetView>
  </sheetViews>
  <sheetFormatPr defaultRowHeight="14.4" x14ac:dyDescent="0.3"/>
  <cols>
    <col min="1" max="1" width="7.77734375" style="36" bestFit="1" customWidth="1"/>
    <col min="2" max="2" width="18.88671875" bestFit="1" customWidth="1"/>
    <col min="3" max="3" width="3.6640625" bestFit="1" customWidth="1"/>
    <col min="4" max="4" width="9.6640625" bestFit="1" customWidth="1"/>
    <col min="5" max="5" width="7.6640625" bestFit="1" customWidth="1"/>
    <col min="6" max="6" width="4.33203125" bestFit="1" customWidth="1"/>
    <col min="7" max="7" width="9.6640625" bestFit="1" customWidth="1"/>
    <col min="8" max="8" width="7.6640625" bestFit="1" customWidth="1"/>
    <col min="9" max="9" width="4.33203125" bestFit="1" customWidth="1"/>
    <col min="10" max="10" width="9.6640625" bestFit="1" customWidth="1"/>
    <col min="11" max="11" width="7.6640625" bestFit="1" customWidth="1"/>
    <col min="12" max="12" width="3.6640625" bestFit="1" customWidth="1"/>
    <col min="13" max="13" width="9.6640625" bestFit="1" customWidth="1"/>
    <col min="14" max="14" width="7.6640625" bestFit="1" customWidth="1"/>
    <col min="15" max="15" width="4.33203125" bestFit="1" customWidth="1"/>
    <col min="16" max="16" width="9.6640625" bestFit="1" customWidth="1"/>
    <col min="17" max="17" width="7.6640625" bestFit="1" customWidth="1"/>
    <col min="18" max="18" width="4.33203125" bestFit="1" customWidth="1"/>
    <col min="19" max="19" width="9.6640625" bestFit="1" customWidth="1"/>
    <col min="20" max="20" width="6.5546875" bestFit="1" customWidth="1"/>
  </cols>
  <sheetData>
    <row r="1" spans="1:20" s="16" customFormat="1" ht="15" thickBot="1" x14ac:dyDescent="0.35">
      <c r="A1" s="335"/>
      <c r="B1" s="179" t="s">
        <v>19</v>
      </c>
      <c r="C1" s="342" t="s">
        <v>11</v>
      </c>
      <c r="D1" s="343"/>
      <c r="E1" s="343"/>
      <c r="F1" s="343"/>
      <c r="G1" s="343"/>
      <c r="H1" s="343"/>
      <c r="I1" s="343"/>
      <c r="J1" s="343"/>
      <c r="K1" s="344"/>
      <c r="L1" s="337" t="s">
        <v>12</v>
      </c>
      <c r="M1" s="338"/>
      <c r="N1" s="338"/>
      <c r="O1" s="338"/>
      <c r="P1" s="338"/>
      <c r="Q1" s="338"/>
      <c r="R1" s="338"/>
      <c r="S1" s="338"/>
      <c r="T1" s="339"/>
    </row>
    <row r="2" spans="1:20" s="16" customFormat="1" x14ac:dyDescent="0.3">
      <c r="A2" s="336"/>
      <c r="B2" s="61">
        <f>'Sales Summary'!A2</f>
        <v>46117</v>
      </c>
      <c r="C2" s="340" t="s">
        <v>17</v>
      </c>
      <c r="D2" s="340"/>
      <c r="E2" s="340"/>
      <c r="F2" s="340" t="s">
        <v>14</v>
      </c>
      <c r="G2" s="340"/>
      <c r="H2" s="340"/>
      <c r="I2" s="331" t="s">
        <v>100</v>
      </c>
      <c r="J2" s="332"/>
      <c r="K2" s="332"/>
      <c r="L2" s="341" t="s">
        <v>17</v>
      </c>
      <c r="M2" s="333"/>
      <c r="N2" s="333"/>
      <c r="O2" s="333" t="s">
        <v>14</v>
      </c>
      <c r="P2" s="333"/>
      <c r="Q2" s="333"/>
      <c r="R2" s="333" t="s">
        <v>100</v>
      </c>
      <c r="S2" s="333"/>
      <c r="T2" s="334"/>
    </row>
    <row r="3" spans="1:20" s="16" customFormat="1" ht="15" thickBot="1" x14ac:dyDescent="0.35">
      <c r="A3" s="59" t="s">
        <v>54</v>
      </c>
      <c r="B3" s="93" t="s">
        <v>85</v>
      </c>
      <c r="C3" s="62" t="s">
        <v>15</v>
      </c>
      <c r="D3" s="62" t="s">
        <v>20</v>
      </c>
      <c r="E3" s="62" t="s">
        <v>43</v>
      </c>
      <c r="F3" s="62" t="s">
        <v>15</v>
      </c>
      <c r="G3" s="62" t="s">
        <v>20</v>
      </c>
      <c r="H3" s="62" t="s">
        <v>43</v>
      </c>
      <c r="I3" s="62" t="s">
        <v>15</v>
      </c>
      <c r="J3" s="62" t="s">
        <v>20</v>
      </c>
      <c r="K3" s="145" t="s">
        <v>43</v>
      </c>
      <c r="L3" s="147" t="s">
        <v>15</v>
      </c>
      <c r="M3" s="7" t="s">
        <v>20</v>
      </c>
      <c r="N3" s="7" t="s">
        <v>43</v>
      </c>
      <c r="O3" s="7" t="s">
        <v>15</v>
      </c>
      <c r="P3" s="7" t="s">
        <v>20</v>
      </c>
      <c r="Q3" s="7" t="s">
        <v>43</v>
      </c>
      <c r="R3" s="7" t="s">
        <v>15</v>
      </c>
      <c r="S3" s="7" t="s">
        <v>20</v>
      </c>
      <c r="T3" s="143" t="s">
        <v>43</v>
      </c>
    </row>
    <row r="4" spans="1:20" x14ac:dyDescent="0.3">
      <c r="A4" s="150" t="s">
        <v>310</v>
      </c>
      <c r="B4" s="163" t="s">
        <v>6</v>
      </c>
      <c r="C4" s="60">
        <f>VLOOKUP($B4,Deck[[Column63]:[Column81]],COLUMN(B1),0)</f>
        <v>2</v>
      </c>
      <c r="D4" s="60">
        <f>VLOOKUP($B4,Deck[[Column63]:[Column81]],COLUMN(C1),0)</f>
        <v>128450</v>
      </c>
      <c r="E4" s="122">
        <f>IFERROR(D4/C4,0)</f>
        <v>64225</v>
      </c>
      <c r="F4" s="60">
        <f>VLOOKUP($B4,Deck[[Column63]:[Column81]],COLUMN(E1),0)</f>
        <v>5</v>
      </c>
      <c r="G4" s="60">
        <f>VLOOKUP($B4,Deck[[Column63]:[Column81]],COLUMN(F1),0)</f>
        <v>255300</v>
      </c>
      <c r="H4" s="122">
        <f>IFERROR(G4/F4,0)</f>
        <v>51060</v>
      </c>
      <c r="I4" s="60">
        <f t="shared" ref="I4" si="0">C4+F4</f>
        <v>7</v>
      </c>
      <c r="J4" s="60">
        <f t="shared" ref="J4" si="1">D4+G4</f>
        <v>383750</v>
      </c>
      <c r="K4" s="146">
        <f>IFERROR(J4/I4,0)</f>
        <v>54821.428571428572</v>
      </c>
      <c r="L4" s="123">
        <f>VLOOKUP($B4,Deck[[Column63]:[Column81]],COLUMN(K1),0)</f>
        <v>0</v>
      </c>
      <c r="M4" s="10">
        <f>VLOOKUP($B4,Deck[[Column63]:[Column81]],COLUMN(L1),0)</f>
        <v>23700</v>
      </c>
      <c r="N4" s="72">
        <f>IFERROR(M4/L4,0)</f>
        <v>0</v>
      </c>
      <c r="O4" s="10">
        <f>VLOOKUP($B4,Deck[[Column63]:[Column81]],COLUMN(N1),0)</f>
        <v>8</v>
      </c>
      <c r="P4" s="10">
        <f>VLOOKUP($B4,Deck[[Column63]:[Column81]],COLUMN(O1),0)</f>
        <v>288880.7</v>
      </c>
      <c r="Q4" s="72">
        <f>IFERROR(P4/O4,0)</f>
        <v>36110.087500000001</v>
      </c>
      <c r="R4" s="10">
        <f>L4+O4</f>
        <v>8</v>
      </c>
      <c r="S4" s="10">
        <f>M4+P4</f>
        <v>312580.7</v>
      </c>
      <c r="T4" s="136">
        <f>IFERROR(S4/R4,0)</f>
        <v>39072.587500000001</v>
      </c>
    </row>
    <row r="5" spans="1:20" x14ac:dyDescent="0.3">
      <c r="A5" s="150" t="s">
        <v>310</v>
      </c>
      <c r="B5" s="163" t="s">
        <v>9</v>
      </c>
      <c r="C5" s="60">
        <f>VLOOKUP($B5,Deck[[Column63]:[Column81]],COLUMN(B2),0)</f>
        <v>2</v>
      </c>
      <c r="D5" s="60">
        <f>VLOOKUP($B5,Deck[[Column63]:[Column81]],COLUMN(C2),0)</f>
        <v>88150</v>
      </c>
      <c r="E5" s="122">
        <f t="shared" ref="E5:E32" si="2">IFERROR(D5/C5,0)</f>
        <v>44075</v>
      </c>
      <c r="F5" s="60">
        <f>VLOOKUP($B5,Deck[[Column63]:[Column81]],COLUMN(E2),0)</f>
        <v>4</v>
      </c>
      <c r="G5" s="60">
        <f>VLOOKUP($B5,Deck[[Column63]:[Column81]],COLUMN(F2),0)</f>
        <v>140549.01999999999</v>
      </c>
      <c r="H5" s="122">
        <f t="shared" ref="H5:H32" si="3">IFERROR(G5/F5,0)</f>
        <v>35137.254999999997</v>
      </c>
      <c r="I5" s="60">
        <f t="shared" ref="I5:I31" si="4">C5+F5</f>
        <v>6</v>
      </c>
      <c r="J5" s="60">
        <f t="shared" ref="J5:J31" si="5">D5+G5</f>
        <v>228699.02</v>
      </c>
      <c r="K5" s="146">
        <f t="shared" ref="K5:K32" si="6">IFERROR(J5/I5,0)</f>
        <v>38116.503333333334</v>
      </c>
      <c r="L5" s="123">
        <f>VLOOKUP($B5,Deck[[Column63]:[Column81]],COLUMN(K2),0)</f>
        <v>1</v>
      </c>
      <c r="M5" s="10">
        <f>VLOOKUP($B5,Deck[[Column63]:[Column81]],COLUMN(L2),0)</f>
        <v>69800</v>
      </c>
      <c r="N5" s="72">
        <f t="shared" ref="N5:N32" si="7">IFERROR(M5/L5,0)</f>
        <v>69800</v>
      </c>
      <c r="O5" s="10">
        <f>VLOOKUP($B5,Deck[[Column63]:[Column81]],COLUMN(N2),0)</f>
        <v>2</v>
      </c>
      <c r="P5" s="10">
        <f>VLOOKUP($B5,Deck[[Column63]:[Column81]],COLUMN(O2),0)</f>
        <v>113860</v>
      </c>
      <c r="Q5" s="72">
        <f t="shared" ref="Q5:Q32" si="8">IFERROR(P5/O5,0)</f>
        <v>56930</v>
      </c>
      <c r="R5" s="10">
        <f t="shared" ref="R5:R31" si="9">L5+O5</f>
        <v>3</v>
      </c>
      <c r="S5" s="10">
        <f t="shared" ref="S5:S31" si="10">M5+P5</f>
        <v>183660</v>
      </c>
      <c r="T5" s="136">
        <f t="shared" ref="T5:T32" si="11">IFERROR(S5/R5,0)</f>
        <v>61220</v>
      </c>
    </row>
    <row r="6" spans="1:20" x14ac:dyDescent="0.3">
      <c r="A6" s="150" t="s">
        <v>57</v>
      </c>
      <c r="B6" s="163" t="s">
        <v>273</v>
      </c>
      <c r="C6" s="60">
        <f>VLOOKUP($B6,Deck[[Column63]:[Column81]],COLUMN(B3),0)</f>
        <v>1</v>
      </c>
      <c r="D6" s="60">
        <f>VLOOKUP($B6,Deck[[Column63]:[Column81]],COLUMN(C3),0)</f>
        <v>20550</v>
      </c>
      <c r="E6" s="122">
        <f t="shared" si="2"/>
        <v>20550</v>
      </c>
      <c r="F6" s="60">
        <f>VLOOKUP($B6,Deck[[Column63]:[Column81]],COLUMN(E3),0)</f>
        <v>0</v>
      </c>
      <c r="G6" s="60">
        <f>VLOOKUP($B6,Deck[[Column63]:[Column81]],COLUMN(F3),0)</f>
        <v>0</v>
      </c>
      <c r="H6" s="122">
        <f t="shared" si="3"/>
        <v>0</v>
      </c>
      <c r="I6" s="60">
        <f t="shared" si="4"/>
        <v>1</v>
      </c>
      <c r="J6" s="60">
        <f t="shared" si="5"/>
        <v>20550</v>
      </c>
      <c r="K6" s="146">
        <f t="shared" si="6"/>
        <v>20550</v>
      </c>
      <c r="L6" s="123">
        <f>VLOOKUP($B6,Deck[[Column63]:[Column81]],COLUMN(K3),0)</f>
        <v>1</v>
      </c>
      <c r="M6" s="10">
        <f>VLOOKUP($B6,Deck[[Column63]:[Column81]],COLUMN(L3),0)</f>
        <v>36300</v>
      </c>
      <c r="N6" s="72">
        <f t="shared" si="7"/>
        <v>36300</v>
      </c>
      <c r="O6" s="10">
        <f>VLOOKUP($B6,Deck[[Column63]:[Column81]],COLUMN(N3),0)</f>
        <v>3</v>
      </c>
      <c r="P6" s="10">
        <f>VLOOKUP($B6,Deck[[Column63]:[Column81]],COLUMN(O3),0)</f>
        <v>156900.07999999999</v>
      </c>
      <c r="Q6" s="72">
        <f t="shared" si="8"/>
        <v>52300.026666666665</v>
      </c>
      <c r="R6" s="10">
        <f t="shared" si="9"/>
        <v>4</v>
      </c>
      <c r="S6" s="10">
        <f t="shared" si="10"/>
        <v>193200.08</v>
      </c>
      <c r="T6" s="136">
        <f t="shared" si="11"/>
        <v>48300.02</v>
      </c>
    </row>
    <row r="7" spans="1:20" x14ac:dyDescent="0.3">
      <c r="A7" s="150" t="s">
        <v>57</v>
      </c>
      <c r="B7" s="163" t="s">
        <v>7</v>
      </c>
      <c r="C7" s="60">
        <f>VLOOKUP($B7,Deck[[Column63]:[Column81]],COLUMN(B4),0)</f>
        <v>6</v>
      </c>
      <c r="D7" s="60">
        <f>VLOOKUP($B7,Deck[[Column63]:[Column81]],COLUMN(C4),0)</f>
        <v>175250.02</v>
      </c>
      <c r="E7" s="122">
        <f t="shared" si="2"/>
        <v>29208.336666666666</v>
      </c>
      <c r="F7" s="60">
        <f>VLOOKUP($B7,Deck[[Column63]:[Column81]],COLUMN(E4),0)</f>
        <v>6</v>
      </c>
      <c r="G7" s="60">
        <f>VLOOKUP($B7,Deck[[Column63]:[Column81]],COLUMN(F4),0)</f>
        <v>189850.31</v>
      </c>
      <c r="H7" s="122">
        <f t="shared" si="3"/>
        <v>31641.718333333334</v>
      </c>
      <c r="I7" s="60">
        <f t="shared" si="4"/>
        <v>12</v>
      </c>
      <c r="J7" s="60">
        <f t="shared" si="5"/>
        <v>365100.32999999996</v>
      </c>
      <c r="K7" s="146">
        <f t="shared" si="6"/>
        <v>30425.027499999997</v>
      </c>
      <c r="L7" s="123">
        <f>VLOOKUP($B7,Deck[[Column63]:[Column81]],COLUMN(K4),0)</f>
        <v>1</v>
      </c>
      <c r="M7" s="10">
        <f>VLOOKUP($B7,Deck[[Column63]:[Column81]],COLUMN(L4),0)</f>
        <v>27300</v>
      </c>
      <c r="N7" s="72">
        <f t="shared" si="7"/>
        <v>27300</v>
      </c>
      <c r="O7" s="10">
        <f>VLOOKUP($B7,Deck[[Column63]:[Column81]],COLUMN(N4),0)</f>
        <v>9</v>
      </c>
      <c r="P7" s="10">
        <f>VLOOKUP($B7,Deck[[Column63]:[Column81]],COLUMN(O4),0)</f>
        <v>354300.12</v>
      </c>
      <c r="Q7" s="72">
        <f t="shared" si="8"/>
        <v>39366.68</v>
      </c>
      <c r="R7" s="10">
        <f t="shared" si="9"/>
        <v>10</v>
      </c>
      <c r="S7" s="10">
        <f t="shared" si="10"/>
        <v>381600.12</v>
      </c>
      <c r="T7" s="136">
        <f t="shared" si="11"/>
        <v>38160.012000000002</v>
      </c>
    </row>
    <row r="8" spans="1:20" x14ac:dyDescent="0.3">
      <c r="A8" s="150" t="s">
        <v>57</v>
      </c>
      <c r="B8" s="163" t="s">
        <v>8</v>
      </c>
      <c r="C8" s="60">
        <f>VLOOKUP($B8,Deck[[Column63]:[Column81]],COLUMN(B5),0)</f>
        <v>4</v>
      </c>
      <c r="D8" s="60">
        <f>VLOOKUP($B8,Deck[[Column63]:[Column81]],COLUMN(C5),0)</f>
        <v>159400</v>
      </c>
      <c r="E8" s="122">
        <f t="shared" si="2"/>
        <v>39850</v>
      </c>
      <c r="F8" s="60">
        <f>VLOOKUP($B8,Deck[[Column63]:[Column81]],COLUMN(E5),0)</f>
        <v>4</v>
      </c>
      <c r="G8" s="60">
        <f>VLOOKUP($B8,Deck[[Column63]:[Column81]],COLUMN(F5),0)</f>
        <v>179450.02</v>
      </c>
      <c r="H8" s="122">
        <f t="shared" si="3"/>
        <v>44862.504999999997</v>
      </c>
      <c r="I8" s="60">
        <f t="shared" si="4"/>
        <v>8</v>
      </c>
      <c r="J8" s="60">
        <f t="shared" si="5"/>
        <v>338850.02</v>
      </c>
      <c r="K8" s="146">
        <f t="shared" si="6"/>
        <v>42356.252500000002</v>
      </c>
      <c r="L8" s="123">
        <f>VLOOKUP($B8,Deck[[Column63]:[Column81]],COLUMN(K5),0)</f>
        <v>2</v>
      </c>
      <c r="M8" s="10">
        <f>VLOOKUP($B8,Deck[[Column63]:[Column81]],COLUMN(L5),0)</f>
        <v>59500</v>
      </c>
      <c r="N8" s="72">
        <f t="shared" si="7"/>
        <v>29750</v>
      </c>
      <c r="O8" s="10">
        <f>VLOOKUP($B8,Deck[[Column63]:[Column81]],COLUMN(N5),0)</f>
        <v>2</v>
      </c>
      <c r="P8" s="10">
        <f>VLOOKUP($B8,Deck[[Column63]:[Column81]],COLUMN(O5),0)</f>
        <v>46600</v>
      </c>
      <c r="Q8" s="72">
        <f t="shared" si="8"/>
        <v>23300</v>
      </c>
      <c r="R8" s="10">
        <f t="shared" si="9"/>
        <v>4</v>
      </c>
      <c r="S8" s="10">
        <f t="shared" si="10"/>
        <v>106100</v>
      </c>
      <c r="T8" s="136">
        <f t="shared" si="11"/>
        <v>26525</v>
      </c>
    </row>
    <row r="9" spans="1:20" x14ac:dyDescent="0.3">
      <c r="A9" s="150" t="s">
        <v>57</v>
      </c>
      <c r="B9" s="163" t="s">
        <v>266</v>
      </c>
      <c r="C9" s="60">
        <f>VLOOKUP($B9,Deck[[Column63]:[Column81]],COLUMN(B6),0)</f>
        <v>2</v>
      </c>
      <c r="D9" s="60">
        <f>VLOOKUP($B9,Deck[[Column63]:[Column81]],COLUMN(C6),0)</f>
        <v>64250</v>
      </c>
      <c r="E9" s="122">
        <f t="shared" si="2"/>
        <v>32125</v>
      </c>
      <c r="F9" s="60">
        <f>VLOOKUP($B9,Deck[[Column63]:[Column81]],COLUMN(E6),0)</f>
        <v>2</v>
      </c>
      <c r="G9" s="60">
        <f>VLOOKUP($B9,Deck[[Column63]:[Column81]],COLUMN(F6),0)</f>
        <v>44100</v>
      </c>
      <c r="H9" s="122">
        <f t="shared" si="3"/>
        <v>22050</v>
      </c>
      <c r="I9" s="60">
        <f t="shared" si="4"/>
        <v>4</v>
      </c>
      <c r="J9" s="60">
        <f t="shared" si="5"/>
        <v>108350</v>
      </c>
      <c r="K9" s="146">
        <f t="shared" si="6"/>
        <v>27087.5</v>
      </c>
      <c r="L9" s="123">
        <f>VLOOKUP($B9,Deck[[Column63]:[Column81]],COLUMN(K6),0)</f>
        <v>0</v>
      </c>
      <c r="M9" s="10">
        <f>VLOOKUP($B9,Deck[[Column63]:[Column81]],COLUMN(L6),0)</f>
        <v>2200</v>
      </c>
      <c r="N9" s="72">
        <f t="shared" si="7"/>
        <v>0</v>
      </c>
      <c r="O9" s="10">
        <f>VLOOKUP($B9,Deck[[Column63]:[Column81]],COLUMN(N6),0)</f>
        <v>3</v>
      </c>
      <c r="P9" s="10">
        <f>VLOOKUP($B9,Deck[[Column63]:[Column81]],COLUMN(O6),0)</f>
        <v>183600</v>
      </c>
      <c r="Q9" s="72">
        <f t="shared" si="8"/>
        <v>61200</v>
      </c>
      <c r="R9" s="10">
        <f t="shared" si="9"/>
        <v>3</v>
      </c>
      <c r="S9" s="10">
        <f t="shared" si="10"/>
        <v>185800</v>
      </c>
      <c r="T9" s="136">
        <f t="shared" si="11"/>
        <v>61933.333333333336</v>
      </c>
    </row>
    <row r="10" spans="1:20" x14ac:dyDescent="0.3">
      <c r="A10" s="150" t="s">
        <v>116</v>
      </c>
      <c r="B10" s="163" t="s">
        <v>2</v>
      </c>
      <c r="C10" s="60">
        <f>VLOOKUP($B10,Deck[[Column63]:[Column81]],COLUMN(B7),0)</f>
        <v>4</v>
      </c>
      <c r="D10" s="60">
        <f>VLOOKUP($B10,Deck[[Column63]:[Column81]],COLUMN(C7),0)</f>
        <v>141500</v>
      </c>
      <c r="E10" s="122">
        <f t="shared" si="2"/>
        <v>35375</v>
      </c>
      <c r="F10" s="60">
        <f>VLOOKUP($B10,Deck[[Column63]:[Column81]],COLUMN(E7),0)</f>
        <v>2</v>
      </c>
      <c r="G10" s="60">
        <f>VLOOKUP($B10,Deck[[Column63]:[Column81]],COLUMN(F7),0)</f>
        <v>100649</v>
      </c>
      <c r="H10" s="122">
        <f t="shared" si="3"/>
        <v>50324.5</v>
      </c>
      <c r="I10" s="60">
        <f t="shared" si="4"/>
        <v>6</v>
      </c>
      <c r="J10" s="60">
        <f t="shared" si="5"/>
        <v>242149</v>
      </c>
      <c r="K10" s="146">
        <f t="shared" si="6"/>
        <v>40358.166666666664</v>
      </c>
      <c r="L10" s="123">
        <f>VLOOKUP($B10,Deck[[Column63]:[Column81]],COLUMN(K7),0)</f>
        <v>1</v>
      </c>
      <c r="M10" s="10">
        <f>VLOOKUP($B10,Deck[[Column63]:[Column81]],COLUMN(L7),0)</f>
        <v>23200</v>
      </c>
      <c r="N10" s="72">
        <f t="shared" si="7"/>
        <v>23200</v>
      </c>
      <c r="O10" s="10">
        <f>VLOOKUP($B10,Deck[[Column63]:[Column81]],COLUMN(N7),0)</f>
        <v>5</v>
      </c>
      <c r="P10" s="10">
        <f>VLOOKUP($B10,Deck[[Column63]:[Column81]],COLUMN(O7),0)</f>
        <v>184200</v>
      </c>
      <c r="Q10" s="72">
        <f t="shared" si="8"/>
        <v>36840</v>
      </c>
      <c r="R10" s="10">
        <f t="shared" si="9"/>
        <v>6</v>
      </c>
      <c r="S10" s="10">
        <f t="shared" si="10"/>
        <v>207400</v>
      </c>
      <c r="T10" s="136">
        <f t="shared" si="11"/>
        <v>34566.666666666664</v>
      </c>
    </row>
    <row r="11" spans="1:20" x14ac:dyDescent="0.3">
      <c r="A11" s="150" t="s">
        <v>116</v>
      </c>
      <c r="B11" s="163" t="s">
        <v>46</v>
      </c>
      <c r="C11" s="60">
        <f>VLOOKUP($B11,Deck[[Column63]:[Column81]],COLUMN(B8),0)</f>
        <v>1</v>
      </c>
      <c r="D11" s="60">
        <f>VLOOKUP($B11,Deck[[Column63]:[Column81]],COLUMN(C8),0)</f>
        <v>23250</v>
      </c>
      <c r="E11" s="122">
        <f t="shared" si="2"/>
        <v>23250</v>
      </c>
      <c r="F11" s="60">
        <f>VLOOKUP($B11,Deck[[Column63]:[Column81]],COLUMN(E8),0)</f>
        <v>6</v>
      </c>
      <c r="G11" s="60">
        <f>VLOOKUP($B11,Deck[[Column63]:[Column81]],COLUMN(F8),0)</f>
        <v>314800</v>
      </c>
      <c r="H11" s="122">
        <f t="shared" si="3"/>
        <v>52466.666666666664</v>
      </c>
      <c r="I11" s="60">
        <f t="shared" si="4"/>
        <v>7</v>
      </c>
      <c r="J11" s="60">
        <f t="shared" si="5"/>
        <v>338050</v>
      </c>
      <c r="K11" s="146">
        <f t="shared" si="6"/>
        <v>48292.857142857145</v>
      </c>
      <c r="L11" s="123">
        <f>VLOOKUP($B11,Deck[[Column63]:[Column81]],COLUMN(K8),0)</f>
        <v>1</v>
      </c>
      <c r="M11" s="10">
        <f>VLOOKUP($B11,Deck[[Column63]:[Column81]],COLUMN(L8),0)</f>
        <v>47800</v>
      </c>
      <c r="N11" s="72">
        <f t="shared" si="7"/>
        <v>47800</v>
      </c>
      <c r="O11" s="10">
        <f>VLOOKUP($B11,Deck[[Column63]:[Column81]],COLUMN(N8),0)</f>
        <v>9</v>
      </c>
      <c r="P11" s="10">
        <f>VLOOKUP($B11,Deck[[Column63]:[Column81]],COLUMN(O8),0)</f>
        <v>458200</v>
      </c>
      <c r="Q11" s="72">
        <f t="shared" si="8"/>
        <v>50911.111111111109</v>
      </c>
      <c r="R11" s="10">
        <f t="shared" si="9"/>
        <v>10</v>
      </c>
      <c r="S11" s="10">
        <f t="shared" si="10"/>
        <v>506000</v>
      </c>
      <c r="T11" s="136">
        <f t="shared" si="11"/>
        <v>50600</v>
      </c>
    </row>
    <row r="12" spans="1:20" x14ac:dyDescent="0.3">
      <c r="A12" s="150" t="s">
        <v>116</v>
      </c>
      <c r="B12" s="163" t="s">
        <v>301</v>
      </c>
      <c r="C12" s="60">
        <f>VLOOKUP($B12,Deck[[Column63]:[Column81]],COLUMN(B9),0)</f>
        <v>0</v>
      </c>
      <c r="D12" s="60">
        <f>VLOOKUP($B12,Deck[[Column63]:[Column81]],COLUMN(C9),0)</f>
        <v>0</v>
      </c>
      <c r="E12" s="122">
        <f t="shared" si="2"/>
        <v>0</v>
      </c>
      <c r="F12" s="60">
        <f>VLOOKUP($B12,Deck[[Column63]:[Column81]],COLUMN(E9),0)</f>
        <v>0</v>
      </c>
      <c r="G12" s="60">
        <f>VLOOKUP($B12,Deck[[Column63]:[Column81]],COLUMN(F9),0)</f>
        <v>0</v>
      </c>
      <c r="H12" s="122">
        <f t="shared" si="3"/>
        <v>0</v>
      </c>
      <c r="I12" s="60">
        <f t="shared" si="4"/>
        <v>0</v>
      </c>
      <c r="J12" s="60">
        <f t="shared" si="5"/>
        <v>0</v>
      </c>
      <c r="K12" s="146">
        <f t="shared" si="6"/>
        <v>0</v>
      </c>
      <c r="L12" s="123">
        <f>VLOOKUP($B12,Deck[[Column63]:[Column81]],COLUMN(K9),0)</f>
        <v>0</v>
      </c>
      <c r="M12" s="10">
        <f>VLOOKUP($B12,Deck[[Column63]:[Column81]],COLUMN(L9),0)</f>
        <v>0</v>
      </c>
      <c r="N12" s="72">
        <f t="shared" si="7"/>
        <v>0</v>
      </c>
      <c r="O12" s="10">
        <f>VLOOKUP($B12,Deck[[Column63]:[Column81]],COLUMN(N9),0)</f>
        <v>2</v>
      </c>
      <c r="P12" s="10">
        <f>VLOOKUP($B12,Deck[[Column63]:[Column81]],COLUMN(O9),0)</f>
        <v>74640</v>
      </c>
      <c r="Q12" s="72">
        <f t="shared" si="8"/>
        <v>37320</v>
      </c>
      <c r="R12" s="10">
        <f t="shared" si="9"/>
        <v>2</v>
      </c>
      <c r="S12" s="10">
        <f t="shared" si="10"/>
        <v>74640</v>
      </c>
      <c r="T12" s="136">
        <f t="shared" si="11"/>
        <v>37320</v>
      </c>
    </row>
    <row r="13" spans="1:20" x14ac:dyDescent="0.3">
      <c r="A13" s="150" t="s">
        <v>116</v>
      </c>
      <c r="B13" s="163" t="s">
        <v>302</v>
      </c>
      <c r="C13" s="60">
        <f>VLOOKUP($B13,Deck[[Column63]:[Column81]],COLUMN(B10),0)</f>
        <v>1</v>
      </c>
      <c r="D13" s="60">
        <f>VLOOKUP($B13,Deck[[Column63]:[Column81]],COLUMN(C10),0)</f>
        <v>27850</v>
      </c>
      <c r="E13" s="122">
        <f t="shared" si="2"/>
        <v>27850</v>
      </c>
      <c r="F13" s="60">
        <f>VLOOKUP($B13,Deck[[Column63]:[Column81]],COLUMN(E10),0)</f>
        <v>3</v>
      </c>
      <c r="G13" s="60">
        <f>VLOOKUP($B13,Deck[[Column63]:[Column81]],COLUMN(F10),0)</f>
        <v>146350.31</v>
      </c>
      <c r="H13" s="122">
        <f t="shared" si="3"/>
        <v>48783.436666666668</v>
      </c>
      <c r="I13" s="60">
        <f t="shared" si="4"/>
        <v>4</v>
      </c>
      <c r="J13" s="60">
        <f t="shared" si="5"/>
        <v>174200.31</v>
      </c>
      <c r="K13" s="146">
        <f t="shared" si="6"/>
        <v>43550.077499999999</v>
      </c>
      <c r="L13" s="123">
        <f>VLOOKUP($B13,Deck[[Column63]:[Column81]],COLUMN(K10),0)</f>
        <v>3</v>
      </c>
      <c r="M13" s="10">
        <f>VLOOKUP($B13,Deck[[Column63]:[Column81]],COLUMN(L10),0)</f>
        <v>383500</v>
      </c>
      <c r="N13" s="72">
        <f t="shared" si="7"/>
        <v>127833.33333333333</v>
      </c>
      <c r="O13" s="10">
        <f>VLOOKUP($B13,Deck[[Column63]:[Column81]],COLUMN(N10),0)</f>
        <v>7</v>
      </c>
      <c r="P13" s="10">
        <f>VLOOKUP($B13,Deck[[Column63]:[Column81]],COLUMN(O10),0)</f>
        <v>277200</v>
      </c>
      <c r="Q13" s="72">
        <f t="shared" si="8"/>
        <v>39600</v>
      </c>
      <c r="R13" s="10">
        <f t="shared" si="9"/>
        <v>10</v>
      </c>
      <c r="S13" s="10">
        <f t="shared" si="10"/>
        <v>660700</v>
      </c>
      <c r="T13" s="136">
        <f t="shared" si="11"/>
        <v>66070</v>
      </c>
    </row>
    <row r="14" spans="1:20" x14ac:dyDescent="0.3">
      <c r="A14" s="150" t="s">
        <v>116</v>
      </c>
      <c r="B14" s="163" t="s">
        <v>4</v>
      </c>
      <c r="C14" s="60">
        <f>VLOOKUP($B14,Deck[[Column63]:[Column81]],COLUMN(B11),0)</f>
        <v>4</v>
      </c>
      <c r="D14" s="60">
        <f>VLOOKUP($B14,Deck[[Column63]:[Column81]],COLUMN(C11),0)</f>
        <v>180649</v>
      </c>
      <c r="E14" s="122">
        <f t="shared" si="2"/>
        <v>45162.25</v>
      </c>
      <c r="F14" s="60">
        <f>VLOOKUP($B14,Deck[[Column63]:[Column81]],COLUMN(E11),0)</f>
        <v>8</v>
      </c>
      <c r="G14" s="60">
        <f>VLOOKUP($B14,Deck[[Column63]:[Column81]],COLUMN(F11),0)</f>
        <v>896650</v>
      </c>
      <c r="H14" s="122">
        <f t="shared" si="3"/>
        <v>112081.25</v>
      </c>
      <c r="I14" s="60">
        <f t="shared" si="4"/>
        <v>12</v>
      </c>
      <c r="J14" s="60">
        <f t="shared" si="5"/>
        <v>1077299</v>
      </c>
      <c r="K14" s="146">
        <f t="shared" si="6"/>
        <v>89774.916666666672</v>
      </c>
      <c r="L14" s="123">
        <f>VLOOKUP($B14,Deck[[Column63]:[Column81]],COLUMN(K11),0)</f>
        <v>3</v>
      </c>
      <c r="M14" s="10">
        <f>VLOOKUP($B14,Deck[[Column63]:[Column81]],COLUMN(L11),0)</f>
        <v>134500</v>
      </c>
      <c r="N14" s="72">
        <f t="shared" si="7"/>
        <v>44833.333333333336</v>
      </c>
      <c r="O14" s="10">
        <f>VLOOKUP($B14,Deck[[Column63]:[Column81]],COLUMN(N11),0)</f>
        <v>9</v>
      </c>
      <c r="P14" s="10">
        <f>VLOOKUP($B14,Deck[[Column63]:[Column81]],COLUMN(O11),0)</f>
        <v>286900</v>
      </c>
      <c r="Q14" s="72">
        <f t="shared" si="8"/>
        <v>31877.777777777777</v>
      </c>
      <c r="R14" s="10">
        <f t="shared" si="9"/>
        <v>12</v>
      </c>
      <c r="S14" s="10">
        <f t="shared" si="10"/>
        <v>421400</v>
      </c>
      <c r="T14" s="136">
        <f t="shared" si="11"/>
        <v>35116.666666666664</v>
      </c>
    </row>
    <row r="15" spans="1:20" x14ac:dyDescent="0.3">
      <c r="A15" s="150" t="s">
        <v>116</v>
      </c>
      <c r="B15" s="163" t="s">
        <v>303</v>
      </c>
      <c r="C15" s="60">
        <f>VLOOKUP($B15,Deck[[Column63]:[Column81]],COLUMN(B12),0)</f>
        <v>3</v>
      </c>
      <c r="D15" s="60">
        <f>VLOOKUP($B15,Deck[[Column63]:[Column81]],COLUMN(C12),0)</f>
        <v>84800</v>
      </c>
      <c r="E15" s="122">
        <f t="shared" si="2"/>
        <v>28266.666666666668</v>
      </c>
      <c r="F15" s="60">
        <f>VLOOKUP($B15,Deck[[Column63]:[Column81]],COLUMN(E12),0)</f>
        <v>11</v>
      </c>
      <c r="G15" s="60">
        <f>VLOOKUP($B15,Deck[[Column63]:[Column81]],COLUMN(F12),0)</f>
        <v>296520</v>
      </c>
      <c r="H15" s="122">
        <f t="shared" si="3"/>
        <v>26956.363636363636</v>
      </c>
      <c r="I15" s="60">
        <f t="shared" si="4"/>
        <v>14</v>
      </c>
      <c r="J15" s="60">
        <f t="shared" si="5"/>
        <v>381320</v>
      </c>
      <c r="K15" s="146">
        <f t="shared" si="6"/>
        <v>27237.142857142859</v>
      </c>
      <c r="L15" s="123">
        <f>VLOOKUP($B15,Deck[[Column63]:[Column81]],COLUMN(K12),0)</f>
        <v>4</v>
      </c>
      <c r="M15" s="10">
        <f>VLOOKUP($B15,Deck[[Column63]:[Column81]],COLUMN(L12),0)</f>
        <v>104000</v>
      </c>
      <c r="N15" s="72">
        <f t="shared" si="7"/>
        <v>26000</v>
      </c>
      <c r="O15" s="10">
        <f>VLOOKUP($B15,Deck[[Column63]:[Column81]],COLUMN(N12),0)</f>
        <v>10</v>
      </c>
      <c r="P15" s="10">
        <f>VLOOKUP($B15,Deck[[Column63]:[Column81]],COLUMN(O12),0)</f>
        <v>392400</v>
      </c>
      <c r="Q15" s="72">
        <f t="shared" si="8"/>
        <v>39240</v>
      </c>
      <c r="R15" s="10">
        <f t="shared" si="9"/>
        <v>14</v>
      </c>
      <c r="S15" s="10">
        <f t="shared" si="10"/>
        <v>496400</v>
      </c>
      <c r="T15" s="136">
        <f t="shared" si="11"/>
        <v>35457.142857142855</v>
      </c>
    </row>
    <row r="16" spans="1:20" x14ac:dyDescent="0.3">
      <c r="A16" s="150" t="s">
        <v>116</v>
      </c>
      <c r="B16" s="163" t="s">
        <v>44</v>
      </c>
      <c r="C16" s="60">
        <f>VLOOKUP($B16,Deck[[Column63]:[Column81]],COLUMN(B13),0)</f>
        <v>1</v>
      </c>
      <c r="D16" s="60">
        <f>VLOOKUP($B16,Deck[[Column63]:[Column81]],COLUMN(C13),0)</f>
        <v>37300</v>
      </c>
      <c r="E16" s="122">
        <f t="shared" si="2"/>
        <v>37300</v>
      </c>
      <c r="F16" s="60">
        <f>VLOOKUP($B16,Deck[[Column63]:[Column81]],COLUMN(E13),0)</f>
        <v>9</v>
      </c>
      <c r="G16" s="60">
        <f>VLOOKUP($B16,Deck[[Column63]:[Column81]],COLUMN(F13),0)</f>
        <v>356100</v>
      </c>
      <c r="H16" s="122">
        <f t="shared" si="3"/>
        <v>39566.666666666664</v>
      </c>
      <c r="I16" s="60">
        <f t="shared" si="4"/>
        <v>10</v>
      </c>
      <c r="J16" s="60">
        <f t="shared" si="5"/>
        <v>393400</v>
      </c>
      <c r="K16" s="146">
        <f t="shared" si="6"/>
        <v>39340</v>
      </c>
      <c r="L16" s="123">
        <f>VLOOKUP($B16,Deck[[Column63]:[Column81]],COLUMN(K13),0)</f>
        <v>4</v>
      </c>
      <c r="M16" s="10">
        <f>VLOOKUP($B16,Deck[[Column63]:[Column81]],COLUMN(L13),0)</f>
        <v>136300</v>
      </c>
      <c r="N16" s="72">
        <f t="shared" si="7"/>
        <v>34075</v>
      </c>
      <c r="O16" s="10">
        <f>VLOOKUP($B16,Deck[[Column63]:[Column81]],COLUMN(N13),0)</f>
        <v>6</v>
      </c>
      <c r="P16" s="10">
        <f>VLOOKUP($B16,Deck[[Column63]:[Column81]],COLUMN(O13),0)</f>
        <v>219500</v>
      </c>
      <c r="Q16" s="72">
        <f t="shared" si="8"/>
        <v>36583.333333333336</v>
      </c>
      <c r="R16" s="10">
        <f t="shared" si="9"/>
        <v>10</v>
      </c>
      <c r="S16" s="10">
        <f t="shared" si="10"/>
        <v>355800</v>
      </c>
      <c r="T16" s="136">
        <f t="shared" si="11"/>
        <v>35580</v>
      </c>
    </row>
    <row r="17" spans="1:20" x14ac:dyDescent="0.3">
      <c r="A17" s="150" t="s">
        <v>116</v>
      </c>
      <c r="B17" s="163" t="s">
        <v>10</v>
      </c>
      <c r="C17" s="60">
        <f>VLOOKUP($B17,Deck[[Column63]:[Column81]],COLUMN(B14),0)</f>
        <v>5</v>
      </c>
      <c r="D17" s="60">
        <f>VLOOKUP($B17,Deck[[Column63]:[Column81]],COLUMN(C14),0)</f>
        <v>211350.02</v>
      </c>
      <c r="E17" s="122">
        <f t="shared" si="2"/>
        <v>42270.004000000001</v>
      </c>
      <c r="F17" s="60">
        <f>VLOOKUP($B17,Deck[[Column63]:[Column81]],COLUMN(E14),0)</f>
        <v>9</v>
      </c>
      <c r="G17" s="60">
        <f>VLOOKUP($B17,Deck[[Column63]:[Column81]],COLUMN(F14),0)</f>
        <v>320466.03999999998</v>
      </c>
      <c r="H17" s="122">
        <f t="shared" si="3"/>
        <v>35607.337777777779</v>
      </c>
      <c r="I17" s="60">
        <f t="shared" si="4"/>
        <v>14</v>
      </c>
      <c r="J17" s="60">
        <f t="shared" si="5"/>
        <v>531816.05999999994</v>
      </c>
      <c r="K17" s="146">
        <f t="shared" si="6"/>
        <v>37986.861428571421</v>
      </c>
      <c r="L17" s="123">
        <f>VLOOKUP($B17,Deck[[Column63]:[Column81]],COLUMN(K14),0)</f>
        <v>6</v>
      </c>
      <c r="M17" s="10">
        <f>VLOOKUP($B17,Deck[[Column63]:[Column81]],COLUMN(L14),0)</f>
        <v>231975</v>
      </c>
      <c r="N17" s="72">
        <f t="shared" si="7"/>
        <v>38662.5</v>
      </c>
      <c r="O17" s="10">
        <f>VLOOKUP($B17,Deck[[Column63]:[Column81]],COLUMN(N14),0)</f>
        <v>10</v>
      </c>
      <c r="P17" s="10">
        <f>VLOOKUP($B17,Deck[[Column63]:[Column81]],COLUMN(O14),0)</f>
        <v>594000.07999999996</v>
      </c>
      <c r="Q17" s="72">
        <f t="shared" si="8"/>
        <v>59400.007999999994</v>
      </c>
      <c r="R17" s="10">
        <f t="shared" si="9"/>
        <v>16</v>
      </c>
      <c r="S17" s="10">
        <f t="shared" si="10"/>
        <v>825975.08</v>
      </c>
      <c r="T17" s="136">
        <f t="shared" si="11"/>
        <v>51623.442499999997</v>
      </c>
    </row>
    <row r="18" spans="1:20" x14ac:dyDescent="0.3">
      <c r="A18" s="150" t="s">
        <v>116</v>
      </c>
      <c r="B18" s="163" t="s">
        <v>45</v>
      </c>
      <c r="C18" s="60">
        <f>VLOOKUP($B18,Deck[[Column63]:[Column81]],COLUMN(B15),0)</f>
        <v>2</v>
      </c>
      <c r="D18" s="60">
        <f>VLOOKUP($B18,Deck[[Column63]:[Column81]],COLUMN(C15),0)</f>
        <v>45050</v>
      </c>
      <c r="E18" s="122">
        <f t="shared" si="2"/>
        <v>22525</v>
      </c>
      <c r="F18" s="60">
        <f>VLOOKUP($B18,Deck[[Column63]:[Column81]],COLUMN(E15),0)</f>
        <v>1</v>
      </c>
      <c r="G18" s="60">
        <f>VLOOKUP($B18,Deck[[Column63]:[Column81]],COLUMN(F15),0)</f>
        <v>45100</v>
      </c>
      <c r="H18" s="122">
        <f t="shared" si="3"/>
        <v>45100</v>
      </c>
      <c r="I18" s="60">
        <f t="shared" si="4"/>
        <v>3</v>
      </c>
      <c r="J18" s="60">
        <f t="shared" si="5"/>
        <v>90150</v>
      </c>
      <c r="K18" s="146">
        <f t="shared" si="6"/>
        <v>30050</v>
      </c>
      <c r="L18" s="123">
        <f>VLOOKUP($B18,Deck[[Column63]:[Column81]],COLUMN(K15),0)</f>
        <v>0</v>
      </c>
      <c r="M18" s="10">
        <f>VLOOKUP($B18,Deck[[Column63]:[Column81]],COLUMN(L15),0)</f>
        <v>1200</v>
      </c>
      <c r="N18" s="72">
        <f t="shared" si="7"/>
        <v>0</v>
      </c>
      <c r="O18" s="10">
        <f>VLOOKUP($B18,Deck[[Column63]:[Column81]],COLUMN(N15),0)</f>
        <v>1</v>
      </c>
      <c r="P18" s="10">
        <f>VLOOKUP($B18,Deck[[Column63]:[Column81]],COLUMN(O15),0)</f>
        <v>23500</v>
      </c>
      <c r="Q18" s="72">
        <f t="shared" si="8"/>
        <v>23500</v>
      </c>
      <c r="R18" s="10">
        <f t="shared" si="9"/>
        <v>1</v>
      </c>
      <c r="S18" s="10">
        <f t="shared" si="10"/>
        <v>24700</v>
      </c>
      <c r="T18" s="136">
        <f t="shared" si="11"/>
        <v>24700</v>
      </c>
    </row>
    <row r="19" spans="1:20" x14ac:dyDescent="0.3">
      <c r="A19" s="150" t="s">
        <v>116</v>
      </c>
      <c r="B19" s="163" t="s">
        <v>98</v>
      </c>
      <c r="C19" s="60">
        <f>VLOOKUP($B19,Deck[[Column63]:[Column81]],COLUMN(B16),0)</f>
        <v>5</v>
      </c>
      <c r="D19" s="60">
        <f>VLOOKUP($B19,Deck[[Column63]:[Column81]],COLUMN(C16),0)</f>
        <v>125600.02</v>
      </c>
      <c r="E19" s="122">
        <f t="shared" si="2"/>
        <v>25120.004000000001</v>
      </c>
      <c r="F19" s="60">
        <f>VLOOKUP($B19,Deck[[Column63]:[Column81]],COLUMN(E16),0)</f>
        <v>3</v>
      </c>
      <c r="G19" s="60">
        <f>VLOOKUP($B19,Deck[[Column63]:[Column81]],COLUMN(F16),0)</f>
        <v>67150</v>
      </c>
      <c r="H19" s="122">
        <f t="shared" si="3"/>
        <v>22383.333333333332</v>
      </c>
      <c r="I19" s="60">
        <f t="shared" si="4"/>
        <v>8</v>
      </c>
      <c r="J19" s="60">
        <f t="shared" si="5"/>
        <v>192750.02000000002</v>
      </c>
      <c r="K19" s="146">
        <f t="shared" si="6"/>
        <v>24093.752500000002</v>
      </c>
      <c r="L19" s="123">
        <f>VLOOKUP($B19,Deck[[Column63]:[Column81]],COLUMN(K16),0)</f>
        <v>1</v>
      </c>
      <c r="M19" s="10">
        <f>VLOOKUP($B19,Deck[[Column63]:[Column81]],COLUMN(L16),0)</f>
        <v>63500</v>
      </c>
      <c r="N19" s="72">
        <f t="shared" si="7"/>
        <v>63500</v>
      </c>
      <c r="O19" s="10">
        <f>VLOOKUP($B19,Deck[[Column63]:[Column81]],COLUMN(N16),0)</f>
        <v>1</v>
      </c>
      <c r="P19" s="10">
        <f>VLOOKUP($B19,Deck[[Column63]:[Column81]],COLUMN(O16),0)</f>
        <v>22500</v>
      </c>
      <c r="Q19" s="72">
        <f t="shared" si="8"/>
        <v>22500</v>
      </c>
      <c r="R19" s="10">
        <f t="shared" si="9"/>
        <v>2</v>
      </c>
      <c r="S19" s="10">
        <f t="shared" si="10"/>
        <v>86000</v>
      </c>
      <c r="T19" s="136">
        <f t="shared" si="11"/>
        <v>43000</v>
      </c>
    </row>
    <row r="20" spans="1:20" x14ac:dyDescent="0.3">
      <c r="A20" s="150" t="s">
        <v>58</v>
      </c>
      <c r="B20" s="163" t="s">
        <v>1</v>
      </c>
      <c r="C20" s="60">
        <f>VLOOKUP($B20,Deck[[Column63]:[Column81]],COLUMN(B17),0)</f>
        <v>1</v>
      </c>
      <c r="D20" s="60">
        <f>VLOOKUP($B20,Deck[[Column63]:[Column81]],COLUMN(C17),0)</f>
        <v>64900</v>
      </c>
      <c r="E20" s="122">
        <f t="shared" si="2"/>
        <v>64900</v>
      </c>
      <c r="F20" s="60">
        <f>VLOOKUP($B20,Deck[[Column63]:[Column81]],COLUMN(E17),0)</f>
        <v>1</v>
      </c>
      <c r="G20" s="60">
        <f>VLOOKUP($B20,Deck[[Column63]:[Column81]],COLUMN(F17),0)</f>
        <v>73200</v>
      </c>
      <c r="H20" s="122">
        <f t="shared" si="3"/>
        <v>73200</v>
      </c>
      <c r="I20" s="60">
        <f t="shared" si="4"/>
        <v>2</v>
      </c>
      <c r="J20" s="60">
        <f t="shared" si="5"/>
        <v>138100</v>
      </c>
      <c r="K20" s="146">
        <f t="shared" si="6"/>
        <v>69050</v>
      </c>
      <c r="L20" s="123">
        <f>VLOOKUP($B20,Deck[[Column63]:[Column81]],COLUMN(K17),0)</f>
        <v>2</v>
      </c>
      <c r="M20" s="10">
        <f>VLOOKUP($B20,Deck[[Column63]:[Column81]],COLUMN(L17),0)</f>
        <v>95700.04</v>
      </c>
      <c r="N20" s="72">
        <f t="shared" si="7"/>
        <v>47850.02</v>
      </c>
      <c r="O20" s="10">
        <f>VLOOKUP($B20,Deck[[Column63]:[Column81]],COLUMN(N17),0)</f>
        <v>0</v>
      </c>
      <c r="P20" s="10">
        <f>VLOOKUP($B20,Deck[[Column63]:[Column81]],COLUMN(O17),0)</f>
        <v>1650</v>
      </c>
      <c r="Q20" s="72">
        <f t="shared" si="8"/>
        <v>0</v>
      </c>
      <c r="R20" s="10">
        <f t="shared" si="9"/>
        <v>2</v>
      </c>
      <c r="S20" s="10">
        <f t="shared" si="10"/>
        <v>97350.04</v>
      </c>
      <c r="T20" s="136">
        <f t="shared" si="11"/>
        <v>48675.02</v>
      </c>
    </row>
    <row r="21" spans="1:20" x14ac:dyDescent="0.3">
      <c r="A21" s="150" t="s">
        <v>58</v>
      </c>
      <c r="B21" s="163" t="s">
        <v>3</v>
      </c>
      <c r="C21" s="60">
        <f>VLOOKUP($B21,Deck[[Column63]:[Column81]],COLUMN(B18),0)</f>
        <v>2</v>
      </c>
      <c r="D21" s="60">
        <f>VLOOKUP($B21,Deck[[Column63]:[Column81]],COLUMN(C18),0)</f>
        <v>24550</v>
      </c>
      <c r="E21" s="122">
        <f t="shared" si="2"/>
        <v>12275</v>
      </c>
      <c r="F21" s="60">
        <f>VLOOKUP($B21,Deck[[Column63]:[Column81]],COLUMN(E18),0)</f>
        <v>0</v>
      </c>
      <c r="G21" s="60">
        <f>VLOOKUP($B21,Deck[[Column63]:[Column81]],COLUMN(F18),0)</f>
        <v>0</v>
      </c>
      <c r="H21" s="122">
        <f t="shared" si="3"/>
        <v>0</v>
      </c>
      <c r="I21" s="60">
        <f t="shared" si="4"/>
        <v>2</v>
      </c>
      <c r="J21" s="60">
        <f t="shared" si="5"/>
        <v>24550</v>
      </c>
      <c r="K21" s="146">
        <f t="shared" si="6"/>
        <v>12275</v>
      </c>
      <c r="L21" s="123">
        <f>VLOOKUP($B21,Deck[[Column63]:[Column81]],COLUMN(K18),0)</f>
        <v>2</v>
      </c>
      <c r="M21" s="10">
        <f>VLOOKUP($B21,Deck[[Column63]:[Column81]],COLUMN(L18),0)</f>
        <v>141700</v>
      </c>
      <c r="N21" s="72">
        <f t="shared" si="7"/>
        <v>70850</v>
      </c>
      <c r="O21" s="10">
        <f>VLOOKUP($B21,Deck[[Column63]:[Column81]],COLUMN(N18),0)</f>
        <v>2</v>
      </c>
      <c r="P21" s="10">
        <f>VLOOKUP($B21,Deck[[Column63]:[Column81]],COLUMN(O18),0)</f>
        <v>45000</v>
      </c>
      <c r="Q21" s="72">
        <f t="shared" si="8"/>
        <v>22500</v>
      </c>
      <c r="R21" s="10">
        <f t="shared" si="9"/>
        <v>4</v>
      </c>
      <c r="S21" s="10">
        <f t="shared" si="10"/>
        <v>186700</v>
      </c>
      <c r="T21" s="136">
        <f t="shared" si="11"/>
        <v>46675</v>
      </c>
    </row>
    <row r="22" spans="1:20" x14ac:dyDescent="0.3">
      <c r="A22" s="150" t="s">
        <v>58</v>
      </c>
      <c r="B22" s="163" t="s">
        <v>5</v>
      </c>
      <c r="C22" s="60">
        <f>VLOOKUP($B22,Deck[[Column63]:[Column81]],COLUMN(B19),0)</f>
        <v>1</v>
      </c>
      <c r="D22" s="60">
        <f>VLOOKUP($B22,Deck[[Column63]:[Column81]],COLUMN(C19),0)</f>
        <v>37150.019999999997</v>
      </c>
      <c r="E22" s="122">
        <f t="shared" si="2"/>
        <v>37150.019999999997</v>
      </c>
      <c r="F22" s="60">
        <f>VLOOKUP($B22,Deck[[Column63]:[Column81]],COLUMN(E19),0)</f>
        <v>3</v>
      </c>
      <c r="G22" s="60">
        <f>VLOOKUP($B22,Deck[[Column63]:[Column81]],COLUMN(F19),0)</f>
        <v>150800.04</v>
      </c>
      <c r="H22" s="122">
        <f t="shared" si="3"/>
        <v>50266.68</v>
      </c>
      <c r="I22" s="60">
        <f t="shared" si="4"/>
        <v>4</v>
      </c>
      <c r="J22" s="60">
        <f t="shared" si="5"/>
        <v>187950.06</v>
      </c>
      <c r="K22" s="146">
        <f t="shared" si="6"/>
        <v>46987.514999999999</v>
      </c>
      <c r="L22" s="123">
        <f>VLOOKUP($B22,Deck[[Column63]:[Column81]],COLUMN(K19),0)</f>
        <v>3</v>
      </c>
      <c r="M22" s="10">
        <f>VLOOKUP($B22,Deck[[Column63]:[Column81]],COLUMN(L19),0)</f>
        <v>189400</v>
      </c>
      <c r="N22" s="72">
        <f t="shared" si="7"/>
        <v>63133.333333333336</v>
      </c>
      <c r="O22" s="10">
        <f>VLOOKUP($B22,Deck[[Column63]:[Column81]],COLUMN(N19),0)</f>
        <v>2</v>
      </c>
      <c r="P22" s="10">
        <f>VLOOKUP($B22,Deck[[Column63]:[Column81]],COLUMN(O19),0)</f>
        <v>70200</v>
      </c>
      <c r="Q22" s="72">
        <f t="shared" si="8"/>
        <v>35100</v>
      </c>
      <c r="R22" s="10">
        <f t="shared" si="9"/>
        <v>5</v>
      </c>
      <c r="S22" s="10">
        <f t="shared" si="10"/>
        <v>259600</v>
      </c>
      <c r="T22" s="136">
        <f t="shared" si="11"/>
        <v>51920</v>
      </c>
    </row>
    <row r="23" spans="1:20" x14ac:dyDescent="0.3">
      <c r="A23" s="150" t="s">
        <v>58</v>
      </c>
      <c r="B23" s="163" t="s">
        <v>308</v>
      </c>
      <c r="C23" s="60">
        <f>VLOOKUP($B23,Deck[[Column63]:[Column81]],COLUMN(B20),0)</f>
        <v>1</v>
      </c>
      <c r="D23" s="60">
        <f>VLOOKUP($B23,Deck[[Column63]:[Column81]],COLUMN(C20),0)</f>
        <v>32000</v>
      </c>
      <c r="E23" s="122">
        <f t="shared" si="2"/>
        <v>32000</v>
      </c>
      <c r="F23" s="60">
        <f>VLOOKUP($B23,Deck[[Column63]:[Column81]],COLUMN(E20),0)</f>
        <v>0</v>
      </c>
      <c r="G23" s="60">
        <f>VLOOKUP($B23,Deck[[Column63]:[Column81]],COLUMN(F20),0)</f>
        <v>0</v>
      </c>
      <c r="H23" s="122">
        <f t="shared" si="3"/>
        <v>0</v>
      </c>
      <c r="I23" s="60">
        <f t="shared" si="4"/>
        <v>1</v>
      </c>
      <c r="J23" s="60">
        <f t="shared" si="5"/>
        <v>32000</v>
      </c>
      <c r="K23" s="146">
        <f t="shared" si="6"/>
        <v>32000</v>
      </c>
      <c r="L23" s="123">
        <f>VLOOKUP($B23,Deck[[Column63]:[Column81]],COLUMN(K20),0)</f>
        <v>0</v>
      </c>
      <c r="M23" s="10">
        <f>VLOOKUP($B23,Deck[[Column63]:[Column81]],COLUMN(L20),0)</f>
        <v>0</v>
      </c>
      <c r="N23" s="72">
        <f t="shared" si="7"/>
        <v>0</v>
      </c>
      <c r="O23" s="10">
        <f>VLOOKUP($B23,Deck[[Column63]:[Column81]],COLUMN(N20),0)</f>
        <v>1</v>
      </c>
      <c r="P23" s="10">
        <f>VLOOKUP($B23,Deck[[Column63]:[Column81]],COLUMN(O20),0)</f>
        <v>60000</v>
      </c>
      <c r="Q23" s="72">
        <f t="shared" si="8"/>
        <v>60000</v>
      </c>
      <c r="R23" s="10">
        <f t="shared" si="9"/>
        <v>1</v>
      </c>
      <c r="S23" s="10">
        <f t="shared" si="10"/>
        <v>60000</v>
      </c>
      <c r="T23" s="136">
        <f t="shared" si="11"/>
        <v>60000</v>
      </c>
    </row>
    <row r="24" spans="1:20" x14ac:dyDescent="0.3">
      <c r="A24" s="150" t="s">
        <v>115</v>
      </c>
      <c r="B24" s="163" t="s">
        <v>84</v>
      </c>
      <c r="C24" s="60">
        <f>VLOOKUP($B24,Deck[[Column63]:[Column81]],COLUMN(B21),0)</f>
        <v>0</v>
      </c>
      <c r="D24" s="60">
        <f>VLOOKUP($B24,Deck[[Column63]:[Column81]],COLUMN(C21),0)</f>
        <v>18200</v>
      </c>
      <c r="E24" s="122">
        <f t="shared" si="2"/>
        <v>0</v>
      </c>
      <c r="F24" s="60">
        <f>VLOOKUP($B24,Deck[[Column63]:[Column81]],COLUMN(E21),0)</f>
        <v>0</v>
      </c>
      <c r="G24" s="60">
        <f>VLOOKUP($B24,Deck[[Column63]:[Column81]],COLUMN(F21),0)</f>
        <v>0</v>
      </c>
      <c r="H24" s="122">
        <f t="shared" si="3"/>
        <v>0</v>
      </c>
      <c r="I24" s="60">
        <f t="shared" si="4"/>
        <v>0</v>
      </c>
      <c r="J24" s="60">
        <f t="shared" si="5"/>
        <v>18200</v>
      </c>
      <c r="K24" s="146">
        <f t="shared" si="6"/>
        <v>0</v>
      </c>
      <c r="L24" s="123">
        <f>VLOOKUP($B24,Deck[[Column63]:[Column81]],COLUMN(K21),0)</f>
        <v>1</v>
      </c>
      <c r="M24" s="10">
        <f>VLOOKUP($B24,Deck[[Column63]:[Column81]],COLUMN(L21),0)</f>
        <v>15400</v>
      </c>
      <c r="N24" s="72">
        <f t="shared" si="7"/>
        <v>15400</v>
      </c>
      <c r="O24" s="10">
        <f>VLOOKUP($B24,Deck[[Column63]:[Column81]],COLUMN(N21),0)</f>
        <v>0</v>
      </c>
      <c r="P24" s="10">
        <f>VLOOKUP($B24,Deck[[Column63]:[Column81]],COLUMN(O21),0)</f>
        <v>0</v>
      </c>
      <c r="Q24" s="72">
        <f t="shared" si="8"/>
        <v>0</v>
      </c>
      <c r="R24" s="10">
        <f t="shared" si="9"/>
        <v>1</v>
      </c>
      <c r="S24" s="10">
        <f t="shared" si="10"/>
        <v>15400</v>
      </c>
      <c r="T24" s="136">
        <f t="shared" si="11"/>
        <v>15400</v>
      </c>
    </row>
    <row r="25" spans="1:20" x14ac:dyDescent="0.3">
      <c r="A25" s="150" t="s">
        <v>56</v>
      </c>
      <c r="B25" s="163" t="s">
        <v>0</v>
      </c>
      <c r="C25" s="60">
        <f>VLOOKUP($B25,Deck[[Column63]:[Column81]],COLUMN(B22),0)</f>
        <v>0</v>
      </c>
      <c r="D25" s="60">
        <f>VLOOKUP($B25,Deck[[Column63]:[Column81]],COLUMN(C22),0)</f>
        <v>12000</v>
      </c>
      <c r="E25" s="122">
        <f t="shared" si="2"/>
        <v>0</v>
      </c>
      <c r="F25" s="60">
        <f>VLOOKUP($B25,Deck[[Column63]:[Column81]],COLUMN(E22),0)</f>
        <v>8</v>
      </c>
      <c r="G25" s="60">
        <f>VLOOKUP($B25,Deck[[Column63]:[Column81]],COLUMN(F22),0)</f>
        <v>756730</v>
      </c>
      <c r="H25" s="122">
        <f t="shared" si="3"/>
        <v>94591.25</v>
      </c>
      <c r="I25" s="60">
        <f t="shared" si="4"/>
        <v>8</v>
      </c>
      <c r="J25" s="60">
        <f t="shared" si="5"/>
        <v>768730</v>
      </c>
      <c r="K25" s="146">
        <f t="shared" si="6"/>
        <v>96091.25</v>
      </c>
      <c r="L25" s="123">
        <f>VLOOKUP($B25,Deck[[Column63]:[Column81]],COLUMN(K22),0)</f>
        <v>3</v>
      </c>
      <c r="M25" s="10">
        <f>VLOOKUP($B25,Deck[[Column63]:[Column81]],COLUMN(L22),0)</f>
        <v>85900</v>
      </c>
      <c r="N25" s="72">
        <f t="shared" si="7"/>
        <v>28633.333333333332</v>
      </c>
      <c r="O25" s="10">
        <f>VLOOKUP($B25,Deck[[Column63]:[Column81]],COLUMN(N22),0)</f>
        <v>8</v>
      </c>
      <c r="P25" s="10">
        <f>VLOOKUP($B25,Deck[[Column63]:[Column81]],COLUMN(O22),0)</f>
        <v>472400</v>
      </c>
      <c r="Q25" s="72">
        <f t="shared" si="8"/>
        <v>59050</v>
      </c>
      <c r="R25" s="10">
        <f t="shared" si="9"/>
        <v>11</v>
      </c>
      <c r="S25" s="10">
        <f t="shared" si="10"/>
        <v>558300</v>
      </c>
      <c r="T25" s="136">
        <f t="shared" si="11"/>
        <v>50754.545454545456</v>
      </c>
    </row>
    <row r="26" spans="1:20" x14ac:dyDescent="0.3">
      <c r="A26" s="150" t="s">
        <v>56</v>
      </c>
      <c r="B26" s="163" t="s">
        <v>304</v>
      </c>
      <c r="C26" s="60">
        <f>VLOOKUP($B26,Deck[[Column63]:[Column81]],COLUMN(B23),0)</f>
        <v>1</v>
      </c>
      <c r="D26" s="60">
        <f>VLOOKUP($B26,Deck[[Column63]:[Column81]],COLUMN(C23),0)</f>
        <v>120400</v>
      </c>
      <c r="E26" s="122">
        <f t="shared" si="2"/>
        <v>120400</v>
      </c>
      <c r="F26" s="60">
        <f>VLOOKUP($B26,Deck[[Column63]:[Column81]],COLUMN(E23),0)</f>
        <v>7</v>
      </c>
      <c r="G26" s="60">
        <f>VLOOKUP($B26,Deck[[Column63]:[Column81]],COLUMN(F23),0)</f>
        <v>703420</v>
      </c>
      <c r="H26" s="122">
        <f t="shared" si="3"/>
        <v>100488.57142857143</v>
      </c>
      <c r="I26" s="60">
        <f t="shared" si="4"/>
        <v>8</v>
      </c>
      <c r="J26" s="60">
        <f t="shared" si="5"/>
        <v>823820</v>
      </c>
      <c r="K26" s="146">
        <f t="shared" si="6"/>
        <v>102977.5</v>
      </c>
      <c r="L26" s="123">
        <f>VLOOKUP($B26,Deck[[Column63]:[Column81]],COLUMN(K23),0)</f>
        <v>1</v>
      </c>
      <c r="M26" s="10">
        <f>VLOOKUP($B26,Deck[[Column63]:[Column81]],COLUMN(L23),0)</f>
        <v>26100</v>
      </c>
      <c r="N26" s="72">
        <f t="shared" si="7"/>
        <v>26100</v>
      </c>
      <c r="O26" s="10">
        <f>VLOOKUP($B26,Deck[[Column63]:[Column81]],COLUMN(N23),0)</f>
        <v>5</v>
      </c>
      <c r="P26" s="10">
        <f>VLOOKUP($B26,Deck[[Column63]:[Column81]],COLUMN(O23),0)</f>
        <v>335100.03999999998</v>
      </c>
      <c r="Q26" s="72">
        <f t="shared" si="8"/>
        <v>67020.008000000002</v>
      </c>
      <c r="R26" s="10">
        <f t="shared" si="9"/>
        <v>6</v>
      </c>
      <c r="S26" s="10">
        <f t="shared" si="10"/>
        <v>361200.04</v>
      </c>
      <c r="T26" s="136">
        <f t="shared" si="11"/>
        <v>60200.006666666661</v>
      </c>
    </row>
    <row r="27" spans="1:20" x14ac:dyDescent="0.3">
      <c r="A27" s="150" t="s">
        <v>56</v>
      </c>
      <c r="B27" s="163" t="s">
        <v>305</v>
      </c>
      <c r="C27" s="60">
        <f>VLOOKUP($B27,Deck[[Column63]:[Column81]],COLUMN(B24),0)</f>
        <v>0</v>
      </c>
      <c r="D27" s="60">
        <f>VLOOKUP($B27,Deck[[Column63]:[Column81]],COLUMN(C24),0)</f>
        <v>4400</v>
      </c>
      <c r="E27" s="122">
        <f t="shared" si="2"/>
        <v>0</v>
      </c>
      <c r="F27" s="60">
        <f>VLOOKUP($B27,Deck[[Column63]:[Column81]],COLUMN(E24),0)</f>
        <v>6</v>
      </c>
      <c r="G27" s="60">
        <f>VLOOKUP($B27,Deck[[Column63]:[Column81]],COLUMN(F24),0)</f>
        <v>243350.69</v>
      </c>
      <c r="H27" s="122">
        <f t="shared" si="3"/>
        <v>40558.448333333334</v>
      </c>
      <c r="I27" s="60">
        <f t="shared" si="4"/>
        <v>6</v>
      </c>
      <c r="J27" s="60">
        <f t="shared" si="5"/>
        <v>247750.69</v>
      </c>
      <c r="K27" s="146">
        <f t="shared" si="6"/>
        <v>41291.781666666669</v>
      </c>
      <c r="L27" s="123">
        <f>VLOOKUP($B27,Deck[[Column63]:[Column81]],COLUMN(K24),0)</f>
        <v>2</v>
      </c>
      <c r="M27" s="10">
        <f>VLOOKUP($B27,Deck[[Column63]:[Column81]],COLUMN(L24),0)</f>
        <v>92100.04</v>
      </c>
      <c r="N27" s="72">
        <f t="shared" si="7"/>
        <v>46050.02</v>
      </c>
      <c r="O27" s="10">
        <f>VLOOKUP($B27,Deck[[Column63]:[Column81]],COLUMN(N24),0)</f>
        <v>8</v>
      </c>
      <c r="P27" s="10">
        <f>VLOOKUP($B27,Deck[[Column63]:[Column81]],COLUMN(O24),0)</f>
        <v>491700</v>
      </c>
      <c r="Q27" s="72">
        <f t="shared" si="8"/>
        <v>61462.5</v>
      </c>
      <c r="R27" s="10">
        <f t="shared" si="9"/>
        <v>10</v>
      </c>
      <c r="S27" s="10">
        <f t="shared" si="10"/>
        <v>583800.04</v>
      </c>
      <c r="T27" s="136">
        <f t="shared" si="11"/>
        <v>58380.004000000001</v>
      </c>
    </row>
    <row r="28" spans="1:20" x14ac:dyDescent="0.3">
      <c r="A28" s="150" t="s">
        <v>56</v>
      </c>
      <c r="B28" s="163" t="s">
        <v>306</v>
      </c>
      <c r="C28" s="60">
        <f>VLOOKUP($B28,Deck[[Column63]:[Column81]],COLUMN(B25),0)</f>
        <v>3</v>
      </c>
      <c r="D28" s="60">
        <f>VLOOKUP($B28,Deck[[Column63]:[Column81]],COLUMN(C25),0)</f>
        <v>126150.02</v>
      </c>
      <c r="E28" s="122">
        <f t="shared" si="2"/>
        <v>42050.006666666668</v>
      </c>
      <c r="F28" s="60">
        <f>VLOOKUP($B28,Deck[[Column63]:[Column81]],COLUMN(E25),0)</f>
        <v>1</v>
      </c>
      <c r="G28" s="60">
        <f>VLOOKUP($B28,Deck[[Column63]:[Column81]],COLUMN(F25),0)</f>
        <v>34550</v>
      </c>
      <c r="H28" s="122">
        <f t="shared" si="3"/>
        <v>34550</v>
      </c>
      <c r="I28" s="60">
        <f t="shared" si="4"/>
        <v>4</v>
      </c>
      <c r="J28" s="60">
        <f t="shared" si="5"/>
        <v>160700.02000000002</v>
      </c>
      <c r="K28" s="146">
        <f t="shared" si="6"/>
        <v>40175.005000000005</v>
      </c>
      <c r="L28" s="123">
        <f>VLOOKUP($B28,Deck[[Column63]:[Column81]],COLUMN(K25),0)</f>
        <v>1</v>
      </c>
      <c r="M28" s="10">
        <f>VLOOKUP($B28,Deck[[Column63]:[Column81]],COLUMN(L25),0)</f>
        <v>73200</v>
      </c>
      <c r="N28" s="72">
        <f t="shared" si="7"/>
        <v>73200</v>
      </c>
      <c r="O28" s="10">
        <f>VLOOKUP($B28,Deck[[Column63]:[Column81]],COLUMN(N25),0)</f>
        <v>2</v>
      </c>
      <c r="P28" s="10">
        <f>VLOOKUP($B28,Deck[[Column63]:[Column81]],COLUMN(O25),0)</f>
        <v>131700</v>
      </c>
      <c r="Q28" s="72">
        <f t="shared" si="8"/>
        <v>65850</v>
      </c>
      <c r="R28" s="10">
        <f t="shared" si="9"/>
        <v>3</v>
      </c>
      <c r="S28" s="10">
        <f t="shared" si="10"/>
        <v>204900</v>
      </c>
      <c r="T28" s="136">
        <f t="shared" si="11"/>
        <v>68300</v>
      </c>
    </row>
    <row r="29" spans="1:20" x14ac:dyDescent="0.3">
      <c r="A29" s="150" t="s">
        <v>56</v>
      </c>
      <c r="B29" s="163" t="s">
        <v>299</v>
      </c>
      <c r="C29" s="60">
        <f>VLOOKUP($B29,Deck[[Column63]:[Column81]],COLUMN(B26),0)</f>
        <v>0</v>
      </c>
      <c r="D29" s="60">
        <f>VLOOKUP($B29,Deck[[Column63]:[Column81]],COLUMN(C26),0)</f>
        <v>3600</v>
      </c>
      <c r="E29" s="122">
        <f t="shared" si="2"/>
        <v>0</v>
      </c>
      <c r="F29" s="60">
        <f>VLOOKUP($B29,Deck[[Column63]:[Column81]],COLUMN(E26),0)</f>
        <v>0</v>
      </c>
      <c r="G29" s="60">
        <f>VLOOKUP($B29,Deck[[Column63]:[Column81]],COLUMN(F26),0)</f>
        <v>0</v>
      </c>
      <c r="H29" s="122">
        <f t="shared" si="3"/>
        <v>0</v>
      </c>
      <c r="I29" s="60">
        <f t="shared" si="4"/>
        <v>0</v>
      </c>
      <c r="J29" s="60">
        <f t="shared" si="5"/>
        <v>3600</v>
      </c>
      <c r="K29" s="146">
        <f t="shared" si="6"/>
        <v>0</v>
      </c>
      <c r="L29" s="123">
        <f>VLOOKUP($B29,Deck[[Column63]:[Column81]],COLUMN(K26),0)</f>
        <v>0</v>
      </c>
      <c r="M29" s="10">
        <f>VLOOKUP($B29,Deck[[Column63]:[Column81]],COLUMN(L26),0)</f>
        <v>0</v>
      </c>
      <c r="N29" s="72">
        <f t="shared" si="7"/>
        <v>0</v>
      </c>
      <c r="O29" s="10">
        <f>VLOOKUP($B29,Deck[[Column63]:[Column81]],COLUMN(N26),0)</f>
        <v>0</v>
      </c>
      <c r="P29" s="10">
        <f>VLOOKUP($B29,Deck[[Column63]:[Column81]],COLUMN(O26),0)</f>
        <v>0</v>
      </c>
      <c r="Q29" s="72">
        <f t="shared" si="8"/>
        <v>0</v>
      </c>
      <c r="R29" s="10">
        <f t="shared" si="9"/>
        <v>0</v>
      </c>
      <c r="S29" s="10">
        <f t="shared" si="10"/>
        <v>0</v>
      </c>
      <c r="T29" s="136">
        <f t="shared" si="11"/>
        <v>0</v>
      </c>
    </row>
    <row r="30" spans="1:20" x14ac:dyDescent="0.3">
      <c r="A30" s="150" t="s">
        <v>56</v>
      </c>
      <c r="B30" s="163" t="s">
        <v>108</v>
      </c>
      <c r="C30" s="60">
        <f>VLOOKUP($B30,Deck[[Column63]:[Column81]],COLUMN(B27),0)</f>
        <v>0</v>
      </c>
      <c r="D30" s="60">
        <f>VLOOKUP($B30,Deck[[Column63]:[Column81]],COLUMN(C27),0)</f>
        <v>4800</v>
      </c>
      <c r="E30" s="122">
        <f t="shared" si="2"/>
        <v>0</v>
      </c>
      <c r="F30" s="60">
        <f>VLOOKUP($B30,Deck[[Column63]:[Column81]],COLUMN(E27),0)</f>
        <v>4</v>
      </c>
      <c r="G30" s="60">
        <f>VLOOKUP($B30,Deck[[Column63]:[Column81]],COLUMN(F27),0)</f>
        <v>215650</v>
      </c>
      <c r="H30" s="122">
        <f t="shared" si="3"/>
        <v>53912.5</v>
      </c>
      <c r="I30" s="60">
        <f t="shared" si="4"/>
        <v>4</v>
      </c>
      <c r="J30" s="60">
        <f t="shared" si="5"/>
        <v>220450</v>
      </c>
      <c r="K30" s="146">
        <f t="shared" si="6"/>
        <v>55112.5</v>
      </c>
      <c r="L30" s="123">
        <f>VLOOKUP($B30,Deck[[Column63]:[Column81]],COLUMN(K27),0)</f>
        <v>0</v>
      </c>
      <c r="M30" s="10">
        <f>VLOOKUP($B30,Deck[[Column63]:[Column81]],COLUMN(L27),0)</f>
        <v>0</v>
      </c>
      <c r="N30" s="72">
        <f t="shared" si="7"/>
        <v>0</v>
      </c>
      <c r="O30" s="10">
        <f>VLOOKUP($B30,Deck[[Column63]:[Column81]],COLUMN(N27),0)</f>
        <v>4</v>
      </c>
      <c r="P30" s="10">
        <f>VLOOKUP($B30,Deck[[Column63]:[Column81]],COLUMN(O27),0)</f>
        <v>160900</v>
      </c>
      <c r="Q30" s="72">
        <f t="shared" si="8"/>
        <v>40225</v>
      </c>
      <c r="R30" s="10">
        <f t="shared" si="9"/>
        <v>4</v>
      </c>
      <c r="S30" s="10">
        <f t="shared" si="10"/>
        <v>160900</v>
      </c>
      <c r="T30" s="136">
        <f t="shared" si="11"/>
        <v>40225</v>
      </c>
    </row>
    <row r="31" spans="1:20" x14ac:dyDescent="0.3">
      <c r="A31" s="150" t="s">
        <v>56</v>
      </c>
      <c r="B31" s="163" t="s">
        <v>280</v>
      </c>
      <c r="C31" s="60">
        <f>VLOOKUP($B31,Deck[[Column63]:[Column81]],COLUMN(B28),0)</f>
        <v>1</v>
      </c>
      <c r="D31" s="60">
        <f>VLOOKUP($B31,Deck[[Column63]:[Column81]],COLUMN(C28),0)</f>
        <v>19150</v>
      </c>
      <c r="E31" s="122">
        <f t="shared" si="2"/>
        <v>19150</v>
      </c>
      <c r="F31" s="60">
        <f>VLOOKUP($B31,Deck[[Column63]:[Column81]],COLUMN(E28),0)</f>
        <v>1</v>
      </c>
      <c r="G31" s="60">
        <f>VLOOKUP($B31,Deck[[Column63]:[Column81]],COLUMN(F28),0)</f>
        <v>45100</v>
      </c>
      <c r="H31" s="122">
        <f t="shared" si="3"/>
        <v>45100</v>
      </c>
      <c r="I31" s="60">
        <f t="shared" si="4"/>
        <v>2</v>
      </c>
      <c r="J31" s="60">
        <f t="shared" si="5"/>
        <v>64250</v>
      </c>
      <c r="K31" s="146">
        <f t="shared" si="6"/>
        <v>32125</v>
      </c>
      <c r="L31" s="123">
        <f>VLOOKUP($B31,Deck[[Column63]:[Column81]],COLUMN(K28),0)</f>
        <v>2</v>
      </c>
      <c r="M31" s="10">
        <f>VLOOKUP($B31,Deck[[Column63]:[Column81]],COLUMN(L28),0)</f>
        <v>47200</v>
      </c>
      <c r="N31" s="72">
        <f t="shared" si="7"/>
        <v>23600</v>
      </c>
      <c r="O31" s="10">
        <f>VLOOKUP($B31,Deck[[Column63]:[Column81]],COLUMN(N28),0)</f>
        <v>7</v>
      </c>
      <c r="P31" s="10">
        <f>VLOOKUP($B31,Deck[[Column63]:[Column81]],COLUMN(O28),0)</f>
        <v>729600</v>
      </c>
      <c r="Q31" s="72">
        <f t="shared" si="8"/>
        <v>104228.57142857143</v>
      </c>
      <c r="R31" s="10">
        <f t="shared" si="9"/>
        <v>9</v>
      </c>
      <c r="S31" s="10">
        <f t="shared" si="10"/>
        <v>776800</v>
      </c>
      <c r="T31" s="136">
        <f t="shared" si="11"/>
        <v>86311.111111111109</v>
      </c>
    </row>
    <row r="32" spans="1:20" s="36" customFormat="1" x14ac:dyDescent="0.3">
      <c r="A32" s="150"/>
      <c r="B32" s="163" t="s">
        <v>13</v>
      </c>
      <c r="C32" s="122">
        <f>SUM(C4:C31)</f>
        <v>53</v>
      </c>
      <c r="D32" s="122">
        <f>SUM(D4:D31)</f>
        <v>1980699.1</v>
      </c>
      <c r="E32" s="122">
        <f t="shared" si="2"/>
        <v>37371.681132075471</v>
      </c>
      <c r="F32" s="122">
        <f>SUM(F4:F31)</f>
        <v>104</v>
      </c>
      <c r="G32" s="122">
        <f>SUM(G4:G31)</f>
        <v>5575835.4300000006</v>
      </c>
      <c r="H32" s="122">
        <f t="shared" si="3"/>
        <v>53613.802211538467</v>
      </c>
      <c r="I32" s="122">
        <f>SUM(I4:I31)</f>
        <v>157</v>
      </c>
      <c r="J32" s="122">
        <f>SUM(J4:J31)</f>
        <v>7556534.5299999993</v>
      </c>
      <c r="K32" s="146">
        <f t="shared" si="6"/>
        <v>48130.793184713373</v>
      </c>
      <c r="L32" s="25">
        <f>SUM(L4:L31)</f>
        <v>45</v>
      </c>
      <c r="M32" s="25">
        <f>SUM(M4:M31)</f>
        <v>2111475.08</v>
      </c>
      <c r="N32" s="72">
        <f t="shared" si="7"/>
        <v>46921.668444444447</v>
      </c>
      <c r="O32" s="25">
        <f>SUM(O4:O31)</f>
        <v>126</v>
      </c>
      <c r="P32" s="25">
        <f>SUM(P4:P31)</f>
        <v>6175431.0200000005</v>
      </c>
      <c r="Q32" s="72">
        <f t="shared" si="8"/>
        <v>49011.357301587304</v>
      </c>
      <c r="R32" s="25">
        <f>SUM(R4:R31)</f>
        <v>171</v>
      </c>
      <c r="S32" s="25">
        <f>SUM(S4:S31)</f>
        <v>8286906.0999999996</v>
      </c>
      <c r="T32" s="136">
        <f t="shared" si="11"/>
        <v>48461.439181286551</v>
      </c>
    </row>
  </sheetData>
  <mergeCells count="9">
    <mergeCell ref="I2:K2"/>
    <mergeCell ref="R2:T2"/>
    <mergeCell ref="A1:A2"/>
    <mergeCell ref="L1:T1"/>
    <mergeCell ref="F2:H2"/>
    <mergeCell ref="L2:N2"/>
    <mergeCell ref="C2:E2"/>
    <mergeCell ref="O2:Q2"/>
    <mergeCell ref="C1:K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B97E6-43E2-43B7-93BB-507B883C1432}">
  <sheetPr codeName="Sheet6"/>
  <dimension ref="A1:AI31"/>
  <sheetViews>
    <sheetView workbookViewId="0">
      <pane xSplit="2" ySplit="2" topLeftCell="C3" activePane="bottomRight" state="frozen"/>
      <selection sqref="A1:O1"/>
      <selection pane="topRight" sqref="A1:O1"/>
      <selection pane="bottomLeft" sqref="A1:O1"/>
      <selection pane="bottomRight"/>
    </sheetView>
  </sheetViews>
  <sheetFormatPr defaultRowHeight="14.4" x14ac:dyDescent="0.3"/>
  <cols>
    <col min="1" max="1" width="7.5546875" style="5" customWidth="1"/>
    <col min="2" max="2" width="18.21875" style="3" customWidth="1"/>
    <col min="3" max="3" width="9.33203125" style="3" customWidth="1"/>
    <col min="4" max="4" width="6.6640625" style="3" customWidth="1"/>
    <col min="5" max="5" width="5.88671875" style="3" customWidth="1"/>
    <col min="6" max="6" width="9.109375" style="3" customWidth="1"/>
    <col min="7" max="7" width="10.109375" style="3" customWidth="1"/>
    <col min="8" max="8" width="10.6640625" style="3" customWidth="1"/>
    <col min="9" max="10" width="7.88671875" style="3" customWidth="1"/>
    <col min="11" max="11" width="7.33203125" style="3" bestFit="1" customWidth="1"/>
    <col min="12" max="12" width="9.33203125" style="3" customWidth="1"/>
    <col min="13" max="13" width="6.6640625" style="3" customWidth="1"/>
    <col min="14" max="14" width="5.88671875" style="3" customWidth="1"/>
    <col min="15" max="15" width="9.109375" style="3" customWidth="1"/>
    <col min="16" max="16" width="10.109375" style="3" customWidth="1"/>
    <col min="17" max="17" width="10.6640625" style="3" customWidth="1"/>
    <col min="18" max="19" width="7.88671875" style="3" customWidth="1"/>
    <col min="20" max="20" width="7.33203125" style="3" bestFit="1" customWidth="1"/>
    <col min="21" max="21" width="3" style="3" customWidth="1"/>
    <col min="22" max="22" width="17.44140625" style="3" customWidth="1"/>
    <col min="23" max="23" width="5.77734375" style="3" customWidth="1"/>
    <col min="24" max="24" width="5.44140625" style="3" customWidth="1"/>
    <col min="25" max="25" width="5.5546875" style="3" customWidth="1"/>
    <col min="26" max="30" width="5.44140625" style="3" customWidth="1"/>
    <col min="31" max="31" width="4.6640625" style="3" customWidth="1"/>
    <col min="32" max="33" width="4.44140625" style="3" customWidth="1"/>
    <col min="34" max="34" width="5.44140625" style="3" customWidth="1"/>
    <col min="35" max="35" width="6.5546875" style="3" customWidth="1"/>
    <col min="36" max="16384" width="8.88671875" style="3"/>
  </cols>
  <sheetData>
    <row r="1" spans="1:35" x14ac:dyDescent="0.3">
      <c r="A1" s="75"/>
      <c r="B1" s="75">
        <f>'Sales Summary'!A2</f>
        <v>46117</v>
      </c>
      <c r="C1" s="345" t="s">
        <v>21</v>
      </c>
      <c r="D1" s="345"/>
      <c r="E1" s="345"/>
      <c r="F1" s="345"/>
      <c r="G1" s="345"/>
      <c r="H1" s="345"/>
      <c r="I1" s="345"/>
      <c r="J1" s="345"/>
      <c r="K1" s="345"/>
      <c r="L1" s="345" t="s">
        <v>22</v>
      </c>
      <c r="M1" s="345"/>
      <c r="N1" s="345"/>
      <c r="O1" s="345"/>
      <c r="P1" s="345"/>
      <c r="Q1" s="345"/>
      <c r="R1" s="345"/>
      <c r="S1" s="345"/>
      <c r="T1" s="345"/>
    </row>
    <row r="2" spans="1:35" ht="28.8" x14ac:dyDescent="0.3">
      <c r="A2" s="76" t="s">
        <v>54</v>
      </c>
      <c r="B2" s="76" t="s">
        <v>85</v>
      </c>
      <c r="C2" s="63" t="s">
        <v>23</v>
      </c>
      <c r="D2" s="63" t="s">
        <v>24</v>
      </c>
      <c r="E2" s="63" t="s">
        <v>25</v>
      </c>
      <c r="F2" s="63" t="s">
        <v>26</v>
      </c>
      <c r="G2" s="63" t="s">
        <v>27</v>
      </c>
      <c r="H2" s="63" t="s">
        <v>28</v>
      </c>
      <c r="I2" s="63" t="s">
        <v>293</v>
      </c>
      <c r="J2" s="63" t="s">
        <v>294</v>
      </c>
      <c r="K2" s="267" t="s">
        <v>13</v>
      </c>
      <c r="L2" s="63" t="s">
        <v>23</v>
      </c>
      <c r="M2" s="63" t="s">
        <v>24</v>
      </c>
      <c r="N2" s="63" t="s">
        <v>25</v>
      </c>
      <c r="O2" s="63" t="s">
        <v>26</v>
      </c>
      <c r="P2" s="63" t="s">
        <v>27</v>
      </c>
      <c r="Q2" s="63" t="s">
        <v>28</v>
      </c>
      <c r="R2" s="63" t="s">
        <v>293</v>
      </c>
      <c r="S2" s="63" t="s">
        <v>294</v>
      </c>
      <c r="T2" s="267" t="s">
        <v>13</v>
      </c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ht="18" customHeight="1" x14ac:dyDescent="0.3">
      <c r="A3" s="150" t="s">
        <v>310</v>
      </c>
      <c r="B3" s="163" t="s">
        <v>6</v>
      </c>
      <c r="C3" s="77">
        <f>VLOOKUP($B3,Deck[[Column84]:[Column98]],COLUMN(B2),0)</f>
        <v>0</v>
      </c>
      <c r="D3" s="77">
        <f>VLOOKUP($B3,Deck[[Column84]:[Column98]],COLUMN(C2),0)</f>
        <v>0</v>
      </c>
      <c r="E3" s="77">
        <f>VLOOKUP($B3,Deck[[Column84]:[Column98]],COLUMN(D2),0)</f>
        <v>0</v>
      </c>
      <c r="F3" s="77">
        <f>VLOOKUP($B3,Deck[[Column84]:[Column98]],COLUMN(E2),0)</f>
        <v>0</v>
      </c>
      <c r="G3" s="77">
        <f>VLOOKUP($B3,Deck[[Column84]:[Column98]],COLUMN(F2),0)</f>
        <v>0</v>
      </c>
      <c r="H3" s="77">
        <f>VLOOKUP($B3,Deck[[Column84]:[Column98]],COLUMN(G2),0)</f>
        <v>0</v>
      </c>
      <c r="I3" s="77">
        <f>VLOOKUP($B3,Deck[[Column84]:[Column98]],COLUMN(H2),0)</f>
        <v>0</v>
      </c>
      <c r="J3" s="77">
        <f>VLOOKUP($B3,Deck[[Column84]:[Column98]],COLUMN(I2),0)</f>
        <v>0</v>
      </c>
      <c r="K3" s="268">
        <f>SUM(C3:J3)</f>
        <v>0</v>
      </c>
      <c r="L3" s="10">
        <f>VLOOKUP($B3,Deck[[Column84]:[Column101]],COLUMN(K2),0)</f>
        <v>0</v>
      </c>
      <c r="M3" s="10">
        <f>VLOOKUP($B3,Deck[[Column84]:[Column101]],COLUMN(L2),0)</f>
        <v>0</v>
      </c>
      <c r="N3" s="10">
        <f>VLOOKUP($B3,Deck[[Column84]:[Column101]],COLUMN(M2),0)</f>
        <v>0</v>
      </c>
      <c r="O3" s="10">
        <f>VLOOKUP($B3,Deck[[Column84]:[Column101]],COLUMN(N2),0)</f>
        <v>0</v>
      </c>
      <c r="P3" s="10">
        <f>VLOOKUP($B3,Deck[[Column84]:[Column101]],COLUMN(O2),0)</f>
        <v>0</v>
      </c>
      <c r="Q3" s="10">
        <f>VLOOKUP($B3,Deck[[Column84]:[Column101]],COLUMN(P2),0)</f>
        <v>0</v>
      </c>
      <c r="R3" s="10">
        <f>VLOOKUP($B3,Deck[[Column84]:[Column101]],COLUMN(Q2),0)</f>
        <v>0</v>
      </c>
      <c r="S3" s="10">
        <f>VLOOKUP($B3,Deck[[Column84]:[Column101]],COLUMN(R2),0)</f>
        <v>0</v>
      </c>
      <c r="T3" s="266">
        <f>SUM(L3:S3)</f>
        <v>0</v>
      </c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ht="18" customHeight="1" x14ac:dyDescent="0.3">
      <c r="A4" s="150" t="s">
        <v>310</v>
      </c>
      <c r="B4" s="163" t="s">
        <v>9</v>
      </c>
      <c r="C4" s="77">
        <f>VLOOKUP($B4,Deck[[Column84]:[Column98]],COLUMN(B3),0)</f>
        <v>0</v>
      </c>
      <c r="D4" s="77">
        <f>VLOOKUP($B4,Deck[[Column84]:[Column98]],COLUMN(C3),0)</f>
        <v>0</v>
      </c>
      <c r="E4" s="77">
        <f>VLOOKUP($B4,Deck[[Column84]:[Column98]],COLUMN(D3),0)</f>
        <v>3</v>
      </c>
      <c r="F4" s="77">
        <f>VLOOKUP($B4,Deck[[Column84]:[Column98]],COLUMN(E3),0)</f>
        <v>3</v>
      </c>
      <c r="G4" s="77">
        <f>VLOOKUP($B4,Deck[[Column84]:[Column98]],COLUMN(F3),0)</f>
        <v>0</v>
      </c>
      <c r="H4" s="77">
        <f>VLOOKUP($B4,Deck[[Column84]:[Column98]],COLUMN(G3),0)</f>
        <v>0</v>
      </c>
      <c r="I4" s="77">
        <f>VLOOKUP($B4,Deck[[Column84]:[Column98]],COLUMN(H3),0)</f>
        <v>0</v>
      </c>
      <c r="J4" s="77">
        <f>VLOOKUP($B4,Deck[[Column84]:[Column98]],COLUMN(I3),0)</f>
        <v>0</v>
      </c>
      <c r="K4" s="268">
        <f t="shared" ref="K4:K30" si="0">SUM(C4:J4)</f>
        <v>6</v>
      </c>
      <c r="L4" s="10">
        <f>VLOOKUP($B4,Deck[[Column84]:[Column101]],COLUMN(K3),0)</f>
        <v>0</v>
      </c>
      <c r="M4" s="10">
        <f>VLOOKUP($B4,Deck[[Column84]:[Column101]],COLUMN(L3),0)</f>
        <v>0</v>
      </c>
      <c r="N4" s="10">
        <f>VLOOKUP($B4,Deck[[Column84]:[Column101]],COLUMN(M3),0)</f>
        <v>0</v>
      </c>
      <c r="O4" s="10">
        <f>VLOOKUP($B4,Deck[[Column84]:[Column101]],COLUMN(N3),0)</f>
        <v>0</v>
      </c>
      <c r="P4" s="10">
        <f>VLOOKUP($B4,Deck[[Column84]:[Column101]],COLUMN(O3),0)</f>
        <v>0</v>
      </c>
      <c r="Q4" s="10">
        <f>VLOOKUP($B4,Deck[[Column84]:[Column101]],COLUMN(P3),0)</f>
        <v>0</v>
      </c>
      <c r="R4" s="10">
        <f>VLOOKUP($B4,Deck[[Column84]:[Column101]],COLUMN(Q3),0)</f>
        <v>0</v>
      </c>
      <c r="S4" s="10">
        <f>VLOOKUP($B4,Deck[[Column84]:[Column101]],COLUMN(R3),0)</f>
        <v>0</v>
      </c>
      <c r="T4" s="266">
        <f t="shared" ref="T4:T30" si="1">SUM(L4:S4)</f>
        <v>0</v>
      </c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ht="18" customHeight="1" x14ac:dyDescent="0.3">
      <c r="A5" s="150" t="s">
        <v>57</v>
      </c>
      <c r="B5" s="163" t="s">
        <v>273</v>
      </c>
      <c r="C5" s="77">
        <f>VLOOKUP($B5,Deck[[Column84]:[Column98]],COLUMN(B4),0)</f>
        <v>0</v>
      </c>
      <c r="D5" s="77">
        <f>VLOOKUP($B5,Deck[[Column84]:[Column98]],COLUMN(C4),0)</f>
        <v>0</v>
      </c>
      <c r="E5" s="77">
        <f>VLOOKUP($B5,Deck[[Column84]:[Column98]],COLUMN(D4),0)</f>
        <v>0</v>
      </c>
      <c r="F5" s="77">
        <f>VLOOKUP($B5,Deck[[Column84]:[Column98]],COLUMN(E4),0)</f>
        <v>0</v>
      </c>
      <c r="G5" s="77">
        <f>VLOOKUP($B5,Deck[[Column84]:[Column98]],COLUMN(F4),0)</f>
        <v>0</v>
      </c>
      <c r="H5" s="77">
        <f>VLOOKUP($B5,Deck[[Column84]:[Column98]],COLUMN(G4),0)</f>
        <v>0</v>
      </c>
      <c r="I5" s="77">
        <f>VLOOKUP($B5,Deck[[Column84]:[Column98]],COLUMN(H4),0)</f>
        <v>0</v>
      </c>
      <c r="J5" s="77">
        <f>VLOOKUP($B5,Deck[[Column84]:[Column98]],COLUMN(I4),0)</f>
        <v>0</v>
      </c>
      <c r="K5" s="268">
        <f t="shared" si="0"/>
        <v>0</v>
      </c>
      <c r="L5" s="10">
        <f>VLOOKUP($B5,Deck[[Column84]:[Column101]],COLUMN(K4),0)</f>
        <v>0</v>
      </c>
      <c r="M5" s="10">
        <f>VLOOKUP($B5,Deck[[Column84]:[Column101]],COLUMN(L4),0)</f>
        <v>0</v>
      </c>
      <c r="N5" s="10">
        <f>VLOOKUP($B5,Deck[[Column84]:[Column101]],COLUMN(M4),0)</f>
        <v>0</v>
      </c>
      <c r="O5" s="10">
        <f>VLOOKUP($B5,Deck[[Column84]:[Column101]],COLUMN(N4),0)</f>
        <v>0</v>
      </c>
      <c r="P5" s="10">
        <f>VLOOKUP($B5,Deck[[Column84]:[Column101]],COLUMN(O4),0)</f>
        <v>0</v>
      </c>
      <c r="Q5" s="10">
        <f>VLOOKUP($B5,Deck[[Column84]:[Column101]],COLUMN(P4),0)</f>
        <v>0</v>
      </c>
      <c r="R5" s="10">
        <f>VLOOKUP($B5,Deck[[Column84]:[Column101]],COLUMN(Q4),0)</f>
        <v>0</v>
      </c>
      <c r="S5" s="10">
        <f>VLOOKUP($B5,Deck[[Column84]:[Column101]],COLUMN(R4),0)</f>
        <v>0</v>
      </c>
      <c r="T5" s="266">
        <f t="shared" si="1"/>
        <v>0</v>
      </c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ht="18" customHeight="1" x14ac:dyDescent="0.3">
      <c r="A6" s="150" t="s">
        <v>57</v>
      </c>
      <c r="B6" s="163" t="s">
        <v>7</v>
      </c>
      <c r="C6" s="77">
        <f>VLOOKUP($B6,Deck[[Column84]:[Column98]],COLUMN(B5),0)</f>
        <v>0</v>
      </c>
      <c r="D6" s="77">
        <f>VLOOKUP($B6,Deck[[Column84]:[Column98]],COLUMN(C5),0)</f>
        <v>6</v>
      </c>
      <c r="E6" s="77">
        <f>VLOOKUP($B6,Deck[[Column84]:[Column98]],COLUMN(D5),0)</f>
        <v>0</v>
      </c>
      <c r="F6" s="77">
        <f>VLOOKUP($B6,Deck[[Column84]:[Column98]],COLUMN(E5),0)</f>
        <v>0</v>
      </c>
      <c r="G6" s="77">
        <f>VLOOKUP($B6,Deck[[Column84]:[Column98]],COLUMN(F5),0)</f>
        <v>0</v>
      </c>
      <c r="H6" s="77">
        <f>VLOOKUP($B6,Deck[[Column84]:[Column98]],COLUMN(G5),0)</f>
        <v>0</v>
      </c>
      <c r="I6" s="77">
        <f>VLOOKUP($B6,Deck[[Column84]:[Column98]],COLUMN(H5),0)</f>
        <v>0</v>
      </c>
      <c r="J6" s="77">
        <f>VLOOKUP($B6,Deck[[Column84]:[Column98]],COLUMN(I5),0)</f>
        <v>0</v>
      </c>
      <c r="K6" s="268">
        <f t="shared" si="0"/>
        <v>6</v>
      </c>
      <c r="L6" s="10">
        <f>VLOOKUP($B6,Deck[[Column84]:[Column101]],COLUMN(K5),0)</f>
        <v>2</v>
      </c>
      <c r="M6" s="10">
        <f>VLOOKUP($B6,Deck[[Column84]:[Column101]],COLUMN(L5),0)</f>
        <v>0</v>
      </c>
      <c r="N6" s="10">
        <f>VLOOKUP($B6,Deck[[Column84]:[Column101]],COLUMN(M5),0)</f>
        <v>0</v>
      </c>
      <c r="O6" s="10">
        <f>VLOOKUP($B6,Deck[[Column84]:[Column101]],COLUMN(N5),0)</f>
        <v>0</v>
      </c>
      <c r="P6" s="10">
        <f>VLOOKUP($B6,Deck[[Column84]:[Column101]],COLUMN(O5),0)</f>
        <v>0</v>
      </c>
      <c r="Q6" s="10">
        <f>VLOOKUP($B6,Deck[[Column84]:[Column101]],COLUMN(P5),0)</f>
        <v>0</v>
      </c>
      <c r="R6" s="10">
        <f>VLOOKUP($B6,Deck[[Column84]:[Column101]],COLUMN(Q5),0)</f>
        <v>0</v>
      </c>
      <c r="S6" s="10">
        <f>VLOOKUP($B6,Deck[[Column84]:[Column101]],COLUMN(R5),0)</f>
        <v>0</v>
      </c>
      <c r="T6" s="266">
        <f t="shared" si="1"/>
        <v>2</v>
      </c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ht="18" customHeight="1" x14ac:dyDescent="0.3">
      <c r="A7" s="150" t="s">
        <v>57</v>
      </c>
      <c r="B7" s="163" t="s">
        <v>8</v>
      </c>
      <c r="C7" s="77">
        <f>VLOOKUP($B7,Deck[[Column84]:[Column98]],COLUMN(B6),0)</f>
        <v>0</v>
      </c>
      <c r="D7" s="77">
        <f>VLOOKUP($B7,Deck[[Column84]:[Column98]],COLUMN(C6),0)</f>
        <v>0</v>
      </c>
      <c r="E7" s="77">
        <f>VLOOKUP($B7,Deck[[Column84]:[Column98]],COLUMN(D6),0)</f>
        <v>0</v>
      </c>
      <c r="F7" s="77">
        <f>VLOOKUP($B7,Deck[[Column84]:[Column98]],COLUMN(E6),0)</f>
        <v>0</v>
      </c>
      <c r="G7" s="77">
        <f>VLOOKUP($B7,Deck[[Column84]:[Column98]],COLUMN(F6),0)</f>
        <v>0</v>
      </c>
      <c r="H7" s="77">
        <f>VLOOKUP($B7,Deck[[Column84]:[Column98]],COLUMN(G6),0)</f>
        <v>0</v>
      </c>
      <c r="I7" s="77">
        <f>VLOOKUP($B7,Deck[[Column84]:[Column98]],COLUMN(H6),0)</f>
        <v>0</v>
      </c>
      <c r="J7" s="77">
        <f>VLOOKUP($B7,Deck[[Column84]:[Column98]],COLUMN(I6),0)</f>
        <v>0</v>
      </c>
      <c r="K7" s="268">
        <f t="shared" si="0"/>
        <v>0</v>
      </c>
      <c r="L7" s="10">
        <f>VLOOKUP($B7,Deck[[Column84]:[Column101]],COLUMN(K6),0)</f>
        <v>0</v>
      </c>
      <c r="M7" s="10">
        <f>VLOOKUP($B7,Deck[[Column84]:[Column101]],COLUMN(L6),0)</f>
        <v>0</v>
      </c>
      <c r="N7" s="10">
        <f>VLOOKUP($B7,Deck[[Column84]:[Column101]],COLUMN(M6),0)</f>
        <v>0</v>
      </c>
      <c r="O7" s="10">
        <f>VLOOKUP($B7,Deck[[Column84]:[Column101]],COLUMN(N6),0)</f>
        <v>0</v>
      </c>
      <c r="P7" s="10">
        <f>VLOOKUP($B7,Deck[[Column84]:[Column101]],COLUMN(O6),0)</f>
        <v>0</v>
      </c>
      <c r="Q7" s="10">
        <f>VLOOKUP($B7,Deck[[Column84]:[Column101]],COLUMN(P6),0)</f>
        <v>0</v>
      </c>
      <c r="R7" s="10">
        <f>VLOOKUP($B7,Deck[[Column84]:[Column101]],COLUMN(Q6),0)</f>
        <v>0</v>
      </c>
      <c r="S7" s="10">
        <f>VLOOKUP($B7,Deck[[Column84]:[Column101]],COLUMN(R6),0)</f>
        <v>0</v>
      </c>
      <c r="T7" s="266">
        <f t="shared" si="1"/>
        <v>0</v>
      </c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ht="18" customHeight="1" x14ac:dyDescent="0.3">
      <c r="A8" s="150" t="s">
        <v>57</v>
      </c>
      <c r="B8" s="163" t="s">
        <v>266</v>
      </c>
      <c r="C8" s="77">
        <f>VLOOKUP($B8,Deck[[Column84]:[Column98]],COLUMN(B7),0)</f>
        <v>0</v>
      </c>
      <c r="D8" s="77">
        <f>VLOOKUP($B8,Deck[[Column84]:[Column98]],COLUMN(C7),0)</f>
        <v>3</v>
      </c>
      <c r="E8" s="77">
        <f>VLOOKUP($B8,Deck[[Column84]:[Column98]],COLUMN(D7),0)</f>
        <v>0</v>
      </c>
      <c r="F8" s="77">
        <f>VLOOKUP($B8,Deck[[Column84]:[Column98]],COLUMN(E7),0)</f>
        <v>0</v>
      </c>
      <c r="G8" s="77">
        <f>VLOOKUP($B8,Deck[[Column84]:[Column98]],COLUMN(F7),0)</f>
        <v>0</v>
      </c>
      <c r="H8" s="77">
        <f>VLOOKUP($B8,Deck[[Column84]:[Column98]],COLUMN(G7),0)</f>
        <v>0</v>
      </c>
      <c r="I8" s="77">
        <f>VLOOKUP($B8,Deck[[Column84]:[Column98]],COLUMN(H7),0)</f>
        <v>0</v>
      </c>
      <c r="J8" s="77">
        <f>VLOOKUP($B8,Deck[[Column84]:[Column98]],COLUMN(I7),0)</f>
        <v>0</v>
      </c>
      <c r="K8" s="268">
        <f t="shared" si="0"/>
        <v>3</v>
      </c>
      <c r="L8" s="10">
        <f>VLOOKUP($B8,Deck[[Column84]:[Column101]],COLUMN(K7),0)</f>
        <v>2</v>
      </c>
      <c r="M8" s="10">
        <f>VLOOKUP($B8,Deck[[Column84]:[Column101]],COLUMN(L7),0)</f>
        <v>0</v>
      </c>
      <c r="N8" s="10">
        <f>VLOOKUP($B8,Deck[[Column84]:[Column101]],COLUMN(M7),0)</f>
        <v>0</v>
      </c>
      <c r="O8" s="10">
        <f>VLOOKUP($B8,Deck[[Column84]:[Column101]],COLUMN(N7),0)</f>
        <v>0</v>
      </c>
      <c r="P8" s="10">
        <f>VLOOKUP($B8,Deck[[Column84]:[Column101]],COLUMN(O7),0)</f>
        <v>0</v>
      </c>
      <c r="Q8" s="10">
        <f>VLOOKUP($B8,Deck[[Column84]:[Column101]],COLUMN(P7),0)</f>
        <v>0</v>
      </c>
      <c r="R8" s="10">
        <f>VLOOKUP($B8,Deck[[Column84]:[Column101]],COLUMN(Q7),0)</f>
        <v>0</v>
      </c>
      <c r="S8" s="10">
        <f>VLOOKUP($B8,Deck[[Column84]:[Column101]],COLUMN(R7),0)</f>
        <v>0</v>
      </c>
      <c r="T8" s="266">
        <f t="shared" si="1"/>
        <v>2</v>
      </c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ht="18" customHeight="1" x14ac:dyDescent="0.3">
      <c r="A9" s="150" t="s">
        <v>116</v>
      </c>
      <c r="B9" s="163" t="s">
        <v>2</v>
      </c>
      <c r="C9" s="77">
        <f>VLOOKUP($B9,Deck[[Column84]:[Column98]],COLUMN(B8),0)</f>
        <v>0</v>
      </c>
      <c r="D9" s="77">
        <f>VLOOKUP($B9,Deck[[Column84]:[Column98]],COLUMN(C8),0)</f>
        <v>6</v>
      </c>
      <c r="E9" s="77">
        <f>VLOOKUP($B9,Deck[[Column84]:[Column98]],COLUMN(D8),0)</f>
        <v>3</v>
      </c>
      <c r="F9" s="77">
        <f>VLOOKUP($B9,Deck[[Column84]:[Column98]],COLUMN(E8),0)</f>
        <v>3</v>
      </c>
      <c r="G9" s="77">
        <f>VLOOKUP($B9,Deck[[Column84]:[Column98]],COLUMN(F8),0)</f>
        <v>0</v>
      </c>
      <c r="H9" s="77">
        <f>VLOOKUP($B9,Deck[[Column84]:[Column98]],COLUMN(G8),0)</f>
        <v>0</v>
      </c>
      <c r="I9" s="77">
        <f>VLOOKUP($B9,Deck[[Column84]:[Column98]],COLUMN(H8),0)</f>
        <v>0</v>
      </c>
      <c r="J9" s="77">
        <f>VLOOKUP($B9,Deck[[Column84]:[Column98]],COLUMN(I8),0)</f>
        <v>0</v>
      </c>
      <c r="K9" s="268">
        <f t="shared" si="0"/>
        <v>12</v>
      </c>
      <c r="L9" s="10">
        <f>VLOOKUP($B9,Deck[[Column84]:[Column101]],COLUMN(K8),0)</f>
        <v>0</v>
      </c>
      <c r="M9" s="10">
        <f>VLOOKUP($B9,Deck[[Column84]:[Column101]],COLUMN(L8),0)</f>
        <v>0</v>
      </c>
      <c r="N9" s="10">
        <f>VLOOKUP($B9,Deck[[Column84]:[Column101]],COLUMN(M8),0)</f>
        <v>1</v>
      </c>
      <c r="O9" s="10">
        <f>VLOOKUP($B9,Deck[[Column84]:[Column101]],COLUMN(N8),0)</f>
        <v>0</v>
      </c>
      <c r="P9" s="10">
        <f>VLOOKUP($B9,Deck[[Column84]:[Column101]],COLUMN(O8),0)</f>
        <v>0</v>
      </c>
      <c r="Q9" s="10">
        <f>VLOOKUP($B9,Deck[[Column84]:[Column101]],COLUMN(P8),0)</f>
        <v>0</v>
      </c>
      <c r="R9" s="10">
        <f>VLOOKUP($B9,Deck[[Column84]:[Column101]],COLUMN(Q8),0)</f>
        <v>0</v>
      </c>
      <c r="S9" s="10">
        <f>VLOOKUP($B9,Deck[[Column84]:[Column101]],COLUMN(R8),0)</f>
        <v>0</v>
      </c>
      <c r="T9" s="266">
        <f t="shared" si="1"/>
        <v>1</v>
      </c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ht="18" customHeight="1" x14ac:dyDescent="0.3">
      <c r="A10" s="150" t="s">
        <v>116</v>
      </c>
      <c r="B10" s="163" t="s">
        <v>46</v>
      </c>
      <c r="C10" s="77">
        <f>VLOOKUP($B10,Deck[[Column84]:[Column98]],COLUMN(B9),0)</f>
        <v>0</v>
      </c>
      <c r="D10" s="77">
        <f>VLOOKUP($B10,Deck[[Column84]:[Column98]],COLUMN(C9),0)</f>
        <v>6</v>
      </c>
      <c r="E10" s="77">
        <f>VLOOKUP($B10,Deck[[Column84]:[Column98]],COLUMN(D9),0)</f>
        <v>3</v>
      </c>
      <c r="F10" s="77">
        <f>VLOOKUP($B10,Deck[[Column84]:[Column98]],COLUMN(E9),0)</f>
        <v>0</v>
      </c>
      <c r="G10" s="77">
        <f>VLOOKUP($B10,Deck[[Column84]:[Column98]],COLUMN(F9),0)</f>
        <v>0</v>
      </c>
      <c r="H10" s="77">
        <f>VLOOKUP($B10,Deck[[Column84]:[Column98]],COLUMN(G9),0)</f>
        <v>0</v>
      </c>
      <c r="I10" s="77">
        <f>VLOOKUP($B10,Deck[[Column84]:[Column98]],COLUMN(H9),0)</f>
        <v>0</v>
      </c>
      <c r="J10" s="77">
        <f>VLOOKUP($B10,Deck[[Column84]:[Column98]],COLUMN(I9),0)</f>
        <v>0</v>
      </c>
      <c r="K10" s="268">
        <f t="shared" si="0"/>
        <v>9</v>
      </c>
      <c r="L10" s="10">
        <f>VLOOKUP($B10,Deck[[Column84]:[Column101]],COLUMN(K9),0)</f>
        <v>0</v>
      </c>
      <c r="M10" s="10">
        <f>VLOOKUP($B10,Deck[[Column84]:[Column101]],COLUMN(L9),0)</f>
        <v>0</v>
      </c>
      <c r="N10" s="10">
        <f>VLOOKUP($B10,Deck[[Column84]:[Column101]],COLUMN(M9),0)</f>
        <v>0</v>
      </c>
      <c r="O10" s="10">
        <f>VLOOKUP($B10,Deck[[Column84]:[Column101]],COLUMN(N9),0)</f>
        <v>0</v>
      </c>
      <c r="P10" s="10">
        <f>VLOOKUP($B10,Deck[[Column84]:[Column101]],COLUMN(O9),0)</f>
        <v>0</v>
      </c>
      <c r="Q10" s="10">
        <f>VLOOKUP($B10,Deck[[Column84]:[Column101]],COLUMN(P9),0)</f>
        <v>0</v>
      </c>
      <c r="R10" s="10">
        <f>VLOOKUP($B10,Deck[[Column84]:[Column101]],COLUMN(Q9),0)</f>
        <v>0</v>
      </c>
      <c r="S10" s="10">
        <f>VLOOKUP($B10,Deck[[Column84]:[Column101]],COLUMN(R9),0)</f>
        <v>0</v>
      </c>
      <c r="T10" s="266">
        <f t="shared" si="1"/>
        <v>0</v>
      </c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ht="18" customHeight="1" x14ac:dyDescent="0.3">
      <c r="A11" s="150" t="s">
        <v>116</v>
      </c>
      <c r="B11" s="163" t="s">
        <v>301</v>
      </c>
      <c r="C11" s="77">
        <f>VLOOKUP($B11,Deck[[Column84]:[Column98]],COLUMN(B10),0)</f>
        <v>0</v>
      </c>
      <c r="D11" s="77">
        <f>VLOOKUP($B11,Deck[[Column84]:[Column98]],COLUMN(C10),0)</f>
        <v>0</v>
      </c>
      <c r="E11" s="77">
        <f>VLOOKUP($B11,Deck[[Column84]:[Column98]],COLUMN(D10),0)</f>
        <v>0</v>
      </c>
      <c r="F11" s="77">
        <f>VLOOKUP($B11,Deck[[Column84]:[Column98]],COLUMN(E10),0)</f>
        <v>0</v>
      </c>
      <c r="G11" s="77">
        <f>VLOOKUP($B11,Deck[[Column84]:[Column98]],COLUMN(F10),0)</f>
        <v>0</v>
      </c>
      <c r="H11" s="77">
        <f>VLOOKUP($B11,Deck[[Column84]:[Column98]],COLUMN(G10),0)</f>
        <v>0</v>
      </c>
      <c r="I11" s="77">
        <f>VLOOKUP($B11,Deck[[Column84]:[Column98]],COLUMN(H10),0)</f>
        <v>0</v>
      </c>
      <c r="J11" s="77">
        <f>VLOOKUP($B11,Deck[[Column84]:[Column98]],COLUMN(I10),0)</f>
        <v>0</v>
      </c>
      <c r="K11" s="268">
        <f t="shared" si="0"/>
        <v>0</v>
      </c>
      <c r="L11" s="10">
        <f>VLOOKUP($B11,Deck[[Column84]:[Column101]],COLUMN(K10),0)</f>
        <v>0</v>
      </c>
      <c r="M11" s="10">
        <f>VLOOKUP($B11,Deck[[Column84]:[Column101]],COLUMN(L10),0)</f>
        <v>0</v>
      </c>
      <c r="N11" s="10">
        <f>VLOOKUP($B11,Deck[[Column84]:[Column101]],COLUMN(M10),0)</f>
        <v>0</v>
      </c>
      <c r="O11" s="10">
        <f>VLOOKUP($B11,Deck[[Column84]:[Column101]],COLUMN(N10),0)</f>
        <v>0</v>
      </c>
      <c r="P11" s="10">
        <f>VLOOKUP($B11,Deck[[Column84]:[Column101]],COLUMN(O10),0)</f>
        <v>0</v>
      </c>
      <c r="Q11" s="10">
        <f>VLOOKUP($B11,Deck[[Column84]:[Column101]],COLUMN(P10),0)</f>
        <v>0</v>
      </c>
      <c r="R11" s="10">
        <f>VLOOKUP($B11,Deck[[Column84]:[Column101]],COLUMN(Q10),0)</f>
        <v>0</v>
      </c>
      <c r="S11" s="10">
        <f>VLOOKUP($B11,Deck[[Column84]:[Column101]],COLUMN(R10),0)</f>
        <v>0</v>
      </c>
      <c r="T11" s="266">
        <f t="shared" si="1"/>
        <v>0</v>
      </c>
    </row>
    <row r="12" spans="1:35" ht="18" customHeight="1" x14ac:dyDescent="0.3">
      <c r="A12" s="150" t="s">
        <v>116</v>
      </c>
      <c r="B12" s="163" t="s">
        <v>302</v>
      </c>
      <c r="C12" s="77">
        <f>VLOOKUP($B12,Deck[[Column84]:[Column98]],COLUMN(B11),0)</f>
        <v>0</v>
      </c>
      <c r="D12" s="77">
        <f>VLOOKUP($B12,Deck[[Column84]:[Column98]],COLUMN(C11),0)</f>
        <v>0</v>
      </c>
      <c r="E12" s="77">
        <f>VLOOKUP($B12,Deck[[Column84]:[Column98]],COLUMN(D11),0)</f>
        <v>0</v>
      </c>
      <c r="F12" s="77">
        <f>VLOOKUP($B12,Deck[[Column84]:[Column98]],COLUMN(E11),0)</f>
        <v>0</v>
      </c>
      <c r="G12" s="77">
        <f>VLOOKUP($B12,Deck[[Column84]:[Column98]],COLUMN(F11),0)</f>
        <v>0</v>
      </c>
      <c r="H12" s="77">
        <f>VLOOKUP($B12,Deck[[Column84]:[Column98]],COLUMN(G11),0)</f>
        <v>0</v>
      </c>
      <c r="I12" s="77">
        <f>VLOOKUP($B12,Deck[[Column84]:[Column98]],COLUMN(H11),0)</f>
        <v>0</v>
      </c>
      <c r="J12" s="77">
        <f>VLOOKUP($B12,Deck[[Column84]:[Column98]],COLUMN(I11),0)</f>
        <v>0</v>
      </c>
      <c r="K12" s="268">
        <f t="shared" si="0"/>
        <v>0</v>
      </c>
      <c r="L12" s="10">
        <f>VLOOKUP($B12,Deck[[Column84]:[Column101]],COLUMN(K11),0)</f>
        <v>0</v>
      </c>
      <c r="M12" s="10">
        <f>VLOOKUP($B12,Deck[[Column84]:[Column101]],COLUMN(L11),0)</f>
        <v>0</v>
      </c>
      <c r="N12" s="10">
        <f>VLOOKUP($B12,Deck[[Column84]:[Column101]],COLUMN(M11),0)</f>
        <v>3</v>
      </c>
      <c r="O12" s="10">
        <f>VLOOKUP($B12,Deck[[Column84]:[Column101]],COLUMN(N11),0)</f>
        <v>0</v>
      </c>
      <c r="P12" s="10">
        <f>VLOOKUP($B12,Deck[[Column84]:[Column101]],COLUMN(O11),0)</f>
        <v>0</v>
      </c>
      <c r="Q12" s="10">
        <f>VLOOKUP($B12,Deck[[Column84]:[Column101]],COLUMN(P11),0)</f>
        <v>0</v>
      </c>
      <c r="R12" s="10">
        <f>VLOOKUP($B12,Deck[[Column84]:[Column101]],COLUMN(Q11),0)</f>
        <v>0</v>
      </c>
      <c r="S12" s="10">
        <f>VLOOKUP($B12,Deck[[Column84]:[Column101]],COLUMN(R11),0)</f>
        <v>0</v>
      </c>
      <c r="T12" s="266">
        <f t="shared" si="1"/>
        <v>3</v>
      </c>
    </row>
    <row r="13" spans="1:35" ht="18" customHeight="1" x14ac:dyDescent="0.3">
      <c r="A13" s="150" t="s">
        <v>116</v>
      </c>
      <c r="B13" s="163" t="s">
        <v>4</v>
      </c>
      <c r="C13" s="77">
        <f>VLOOKUP($B13,Deck[[Column84]:[Column98]],COLUMN(B12),0)</f>
        <v>0</v>
      </c>
      <c r="D13" s="77">
        <f>VLOOKUP($B13,Deck[[Column84]:[Column98]],COLUMN(C12),0)</f>
        <v>6</v>
      </c>
      <c r="E13" s="77">
        <f>VLOOKUP($B13,Deck[[Column84]:[Column98]],COLUMN(D12),0)</f>
        <v>3</v>
      </c>
      <c r="F13" s="77">
        <f>VLOOKUP($B13,Deck[[Column84]:[Column98]],COLUMN(E12),0)</f>
        <v>9</v>
      </c>
      <c r="G13" s="77">
        <f>VLOOKUP($B13,Deck[[Column84]:[Column98]],COLUMN(F12),0)</f>
        <v>0</v>
      </c>
      <c r="H13" s="77">
        <f>VLOOKUP($B13,Deck[[Column84]:[Column98]],COLUMN(G12),0)</f>
        <v>0</v>
      </c>
      <c r="I13" s="77">
        <f>VLOOKUP($B13,Deck[[Column84]:[Column98]],COLUMN(H12),0)</f>
        <v>0</v>
      </c>
      <c r="J13" s="77">
        <f>VLOOKUP($B13,Deck[[Column84]:[Column98]],COLUMN(I12),0)</f>
        <v>0</v>
      </c>
      <c r="K13" s="268">
        <f t="shared" si="0"/>
        <v>18</v>
      </c>
      <c r="L13" s="10">
        <f>VLOOKUP($B13,Deck[[Column84]:[Column101]],COLUMN(K12),0)</f>
        <v>11</v>
      </c>
      <c r="M13" s="10">
        <f>VLOOKUP($B13,Deck[[Column84]:[Column101]],COLUMN(L12),0)</f>
        <v>2</v>
      </c>
      <c r="N13" s="10">
        <f>VLOOKUP($B13,Deck[[Column84]:[Column101]],COLUMN(M12),0)</f>
        <v>3</v>
      </c>
      <c r="O13" s="10">
        <f>VLOOKUP($B13,Deck[[Column84]:[Column101]],COLUMN(N12),0)</f>
        <v>0</v>
      </c>
      <c r="P13" s="10">
        <f>VLOOKUP($B13,Deck[[Column84]:[Column101]],COLUMN(O12),0)</f>
        <v>0</v>
      </c>
      <c r="Q13" s="10">
        <f>VLOOKUP($B13,Deck[[Column84]:[Column101]],COLUMN(P12),0)</f>
        <v>0</v>
      </c>
      <c r="R13" s="10">
        <f>VLOOKUP($B13,Deck[[Column84]:[Column101]],COLUMN(Q12),0)</f>
        <v>0</v>
      </c>
      <c r="S13" s="10">
        <f>VLOOKUP($B13,Deck[[Column84]:[Column101]],COLUMN(R12),0)</f>
        <v>0</v>
      </c>
      <c r="T13" s="266">
        <f t="shared" si="1"/>
        <v>16</v>
      </c>
    </row>
    <row r="14" spans="1:35" ht="18" customHeight="1" x14ac:dyDescent="0.3">
      <c r="A14" s="150" t="s">
        <v>116</v>
      </c>
      <c r="B14" s="163" t="s">
        <v>303</v>
      </c>
      <c r="C14" s="77">
        <f>VLOOKUP($B14,Deck[[Column84]:[Column98]],COLUMN(B13),0)</f>
        <v>0</v>
      </c>
      <c r="D14" s="77">
        <f>VLOOKUP($B14,Deck[[Column84]:[Column98]],COLUMN(C13),0)</f>
        <v>0</v>
      </c>
      <c r="E14" s="77">
        <f>VLOOKUP($B14,Deck[[Column84]:[Column98]],COLUMN(D13),0)</f>
        <v>2</v>
      </c>
      <c r="F14" s="77">
        <f>VLOOKUP($B14,Deck[[Column84]:[Column98]],COLUMN(E13),0)</f>
        <v>0</v>
      </c>
      <c r="G14" s="77">
        <f>VLOOKUP($B14,Deck[[Column84]:[Column98]],COLUMN(F13),0)</f>
        <v>0</v>
      </c>
      <c r="H14" s="77">
        <f>VLOOKUP($B14,Deck[[Column84]:[Column98]],COLUMN(G13),0)</f>
        <v>0</v>
      </c>
      <c r="I14" s="77">
        <f>VLOOKUP($B14,Deck[[Column84]:[Column98]],COLUMN(H13),0)</f>
        <v>1</v>
      </c>
      <c r="J14" s="77">
        <f>VLOOKUP($B14,Deck[[Column84]:[Column98]],COLUMN(I13),0)</f>
        <v>0</v>
      </c>
      <c r="K14" s="268">
        <f t="shared" si="0"/>
        <v>3</v>
      </c>
      <c r="L14" s="10">
        <f>VLOOKUP($B14,Deck[[Column84]:[Column101]],COLUMN(K13),0)</f>
        <v>2</v>
      </c>
      <c r="M14" s="10">
        <f>VLOOKUP($B14,Deck[[Column84]:[Column101]],COLUMN(L13),0)</f>
        <v>5</v>
      </c>
      <c r="N14" s="10">
        <f>VLOOKUP($B14,Deck[[Column84]:[Column101]],COLUMN(M13),0)</f>
        <v>2</v>
      </c>
      <c r="O14" s="10">
        <f>VLOOKUP($B14,Deck[[Column84]:[Column101]],COLUMN(N13),0)</f>
        <v>0</v>
      </c>
      <c r="P14" s="10">
        <f>VLOOKUP($B14,Deck[[Column84]:[Column101]],COLUMN(O13),0)</f>
        <v>0</v>
      </c>
      <c r="Q14" s="10">
        <f>VLOOKUP($B14,Deck[[Column84]:[Column101]],COLUMN(P13),0)</f>
        <v>0</v>
      </c>
      <c r="R14" s="10">
        <f>VLOOKUP($B14,Deck[[Column84]:[Column101]],COLUMN(Q13),0)</f>
        <v>0</v>
      </c>
      <c r="S14" s="10">
        <f>VLOOKUP($B14,Deck[[Column84]:[Column101]],COLUMN(R13),0)</f>
        <v>0</v>
      </c>
      <c r="T14" s="266">
        <f t="shared" si="1"/>
        <v>9</v>
      </c>
    </row>
    <row r="15" spans="1:35" ht="18" customHeight="1" x14ac:dyDescent="0.3">
      <c r="A15" s="150" t="s">
        <v>116</v>
      </c>
      <c r="B15" s="163" t="s">
        <v>44</v>
      </c>
      <c r="C15" s="77">
        <f>VLOOKUP($B15,Deck[[Column84]:[Column98]],COLUMN(B14),0)</f>
        <v>0</v>
      </c>
      <c r="D15" s="77">
        <f>VLOOKUP($B15,Deck[[Column84]:[Column98]],COLUMN(C14),0)</f>
        <v>0</v>
      </c>
      <c r="E15" s="77">
        <f>VLOOKUP($B15,Deck[[Column84]:[Column98]],COLUMN(D14),0)</f>
        <v>0</v>
      </c>
      <c r="F15" s="77">
        <f>VLOOKUP($B15,Deck[[Column84]:[Column98]],COLUMN(E14),0)</f>
        <v>0</v>
      </c>
      <c r="G15" s="77">
        <f>VLOOKUP($B15,Deck[[Column84]:[Column98]],COLUMN(F14),0)</f>
        <v>0</v>
      </c>
      <c r="H15" s="77">
        <f>VLOOKUP($B15,Deck[[Column84]:[Column98]],COLUMN(G14),0)</f>
        <v>0</v>
      </c>
      <c r="I15" s="77">
        <f>VLOOKUP($B15,Deck[[Column84]:[Column98]],COLUMN(H14),0)</f>
        <v>0</v>
      </c>
      <c r="J15" s="77">
        <f>VLOOKUP($B15,Deck[[Column84]:[Column98]],COLUMN(I14),0)</f>
        <v>0</v>
      </c>
      <c r="K15" s="268">
        <f t="shared" si="0"/>
        <v>0</v>
      </c>
      <c r="L15" s="10">
        <f>VLOOKUP($B15,Deck[[Column84]:[Column101]],COLUMN(K14),0)</f>
        <v>0</v>
      </c>
      <c r="M15" s="10">
        <f>VLOOKUP($B15,Deck[[Column84]:[Column101]],COLUMN(L14),0)</f>
        <v>0</v>
      </c>
      <c r="N15" s="10">
        <f>VLOOKUP($B15,Deck[[Column84]:[Column101]],COLUMN(M14),0)</f>
        <v>0</v>
      </c>
      <c r="O15" s="10">
        <f>VLOOKUP($B15,Deck[[Column84]:[Column101]],COLUMN(N14),0)</f>
        <v>0</v>
      </c>
      <c r="P15" s="10">
        <f>VLOOKUP($B15,Deck[[Column84]:[Column101]],COLUMN(O14),0)</f>
        <v>0</v>
      </c>
      <c r="Q15" s="10">
        <f>VLOOKUP($B15,Deck[[Column84]:[Column101]],COLUMN(P14),0)</f>
        <v>0</v>
      </c>
      <c r="R15" s="10">
        <f>VLOOKUP($B15,Deck[[Column84]:[Column101]],COLUMN(Q14),0)</f>
        <v>0</v>
      </c>
      <c r="S15" s="10">
        <f>VLOOKUP($B15,Deck[[Column84]:[Column101]],COLUMN(R14),0)</f>
        <v>0</v>
      </c>
      <c r="T15" s="266">
        <f t="shared" si="1"/>
        <v>0</v>
      </c>
    </row>
    <row r="16" spans="1:35" ht="18" customHeight="1" x14ac:dyDescent="0.3">
      <c r="A16" s="150" t="s">
        <v>116</v>
      </c>
      <c r="B16" s="163" t="s">
        <v>10</v>
      </c>
      <c r="C16" s="77">
        <f>VLOOKUP($B16,Deck[[Column84]:[Column98]],COLUMN(B15),0)</f>
        <v>0</v>
      </c>
      <c r="D16" s="77">
        <f>VLOOKUP($B16,Deck[[Column84]:[Column98]],COLUMN(C15),0)</f>
        <v>3</v>
      </c>
      <c r="E16" s="77">
        <f>VLOOKUP($B16,Deck[[Column84]:[Column98]],COLUMN(D15),0)</f>
        <v>2</v>
      </c>
      <c r="F16" s="77">
        <f>VLOOKUP($B16,Deck[[Column84]:[Column98]],COLUMN(E15),0)</f>
        <v>0</v>
      </c>
      <c r="G16" s="77">
        <f>VLOOKUP($B16,Deck[[Column84]:[Column98]],COLUMN(F15),0)</f>
        <v>0</v>
      </c>
      <c r="H16" s="77">
        <f>VLOOKUP($B16,Deck[[Column84]:[Column98]],COLUMN(G15),0)</f>
        <v>0</v>
      </c>
      <c r="I16" s="77">
        <f>VLOOKUP($B16,Deck[[Column84]:[Column98]],COLUMN(H15),0)</f>
        <v>0</v>
      </c>
      <c r="J16" s="77">
        <f>VLOOKUP($B16,Deck[[Column84]:[Column98]],COLUMN(I15),0)</f>
        <v>0</v>
      </c>
      <c r="K16" s="268">
        <f t="shared" si="0"/>
        <v>5</v>
      </c>
      <c r="L16" s="10">
        <f>VLOOKUP($B16,Deck[[Column84]:[Column101]],COLUMN(K15),0)</f>
        <v>3</v>
      </c>
      <c r="M16" s="10">
        <f>VLOOKUP($B16,Deck[[Column84]:[Column101]],COLUMN(L15),0)</f>
        <v>2</v>
      </c>
      <c r="N16" s="10">
        <f>VLOOKUP($B16,Deck[[Column84]:[Column101]],COLUMN(M15),0)</f>
        <v>0</v>
      </c>
      <c r="O16" s="10">
        <f>VLOOKUP($B16,Deck[[Column84]:[Column101]],COLUMN(N15),0)</f>
        <v>3</v>
      </c>
      <c r="P16" s="10">
        <f>VLOOKUP($B16,Deck[[Column84]:[Column101]],COLUMN(O15),0)</f>
        <v>0</v>
      </c>
      <c r="Q16" s="10">
        <f>VLOOKUP($B16,Deck[[Column84]:[Column101]],COLUMN(P15),0)</f>
        <v>0</v>
      </c>
      <c r="R16" s="10">
        <f>VLOOKUP($B16,Deck[[Column84]:[Column101]],COLUMN(Q15),0)</f>
        <v>0</v>
      </c>
      <c r="S16" s="10">
        <f>VLOOKUP($B16,Deck[[Column84]:[Column101]],COLUMN(R15),0)</f>
        <v>0</v>
      </c>
      <c r="T16" s="266">
        <f t="shared" si="1"/>
        <v>8</v>
      </c>
    </row>
    <row r="17" spans="1:20" ht="18" customHeight="1" x14ac:dyDescent="0.3">
      <c r="A17" s="150" t="s">
        <v>116</v>
      </c>
      <c r="B17" s="163" t="s">
        <v>45</v>
      </c>
      <c r="C17" s="77">
        <f>VLOOKUP($B17,Deck[[Column84]:[Column98]],COLUMN(B16),0)</f>
        <v>0</v>
      </c>
      <c r="D17" s="77">
        <f>VLOOKUP($B17,Deck[[Column84]:[Column98]],COLUMN(C16),0)</f>
        <v>0</v>
      </c>
      <c r="E17" s="77">
        <f>VLOOKUP($B17,Deck[[Column84]:[Column98]],COLUMN(D16),0)</f>
        <v>0</v>
      </c>
      <c r="F17" s="77">
        <f>VLOOKUP($B17,Deck[[Column84]:[Column98]],COLUMN(E16),0)</f>
        <v>0</v>
      </c>
      <c r="G17" s="77">
        <f>VLOOKUP($B17,Deck[[Column84]:[Column98]],COLUMN(F16),0)</f>
        <v>0</v>
      </c>
      <c r="H17" s="77">
        <f>VLOOKUP($B17,Deck[[Column84]:[Column98]],COLUMN(G16),0)</f>
        <v>0</v>
      </c>
      <c r="I17" s="77">
        <f>VLOOKUP($B17,Deck[[Column84]:[Column98]],COLUMN(H16),0)</f>
        <v>0</v>
      </c>
      <c r="J17" s="77">
        <f>VLOOKUP($B17,Deck[[Column84]:[Column98]],COLUMN(I16),0)</f>
        <v>0</v>
      </c>
      <c r="K17" s="268">
        <f t="shared" si="0"/>
        <v>0</v>
      </c>
      <c r="L17" s="10">
        <f>VLOOKUP($B17,Deck[[Column84]:[Column101]],COLUMN(K16),0)</f>
        <v>0</v>
      </c>
      <c r="M17" s="10">
        <f>VLOOKUP($B17,Deck[[Column84]:[Column101]],COLUMN(L16),0)</f>
        <v>0</v>
      </c>
      <c r="N17" s="10">
        <f>VLOOKUP($B17,Deck[[Column84]:[Column101]],COLUMN(M16),0)</f>
        <v>0</v>
      </c>
      <c r="O17" s="10">
        <f>VLOOKUP($B17,Deck[[Column84]:[Column101]],COLUMN(N16),0)</f>
        <v>0</v>
      </c>
      <c r="P17" s="10">
        <f>VLOOKUP($B17,Deck[[Column84]:[Column101]],COLUMN(O16),0)</f>
        <v>0</v>
      </c>
      <c r="Q17" s="10">
        <f>VLOOKUP($B17,Deck[[Column84]:[Column101]],COLUMN(P16),0)</f>
        <v>0</v>
      </c>
      <c r="R17" s="10">
        <f>VLOOKUP($B17,Deck[[Column84]:[Column101]],COLUMN(Q16),0)</f>
        <v>0</v>
      </c>
      <c r="S17" s="10">
        <f>VLOOKUP($B17,Deck[[Column84]:[Column101]],COLUMN(R16),0)</f>
        <v>0</v>
      </c>
      <c r="T17" s="266">
        <f t="shared" si="1"/>
        <v>0</v>
      </c>
    </row>
    <row r="18" spans="1:20" ht="18" customHeight="1" x14ac:dyDescent="0.3">
      <c r="A18" s="150" t="s">
        <v>116</v>
      </c>
      <c r="B18" s="163" t="s">
        <v>98</v>
      </c>
      <c r="C18" s="77">
        <f>VLOOKUP($B18,Deck[[Column84]:[Column98]],COLUMN(B17),0)</f>
        <v>0</v>
      </c>
      <c r="D18" s="77">
        <f>VLOOKUP($B18,Deck[[Column84]:[Column98]],COLUMN(C17),0)</f>
        <v>3</v>
      </c>
      <c r="E18" s="77">
        <f>VLOOKUP($B18,Deck[[Column84]:[Column98]],COLUMN(D17),0)</f>
        <v>0</v>
      </c>
      <c r="F18" s="77">
        <f>VLOOKUP($B18,Deck[[Column84]:[Column98]],COLUMN(E17),0)</f>
        <v>0</v>
      </c>
      <c r="G18" s="77">
        <f>VLOOKUP($B18,Deck[[Column84]:[Column98]],COLUMN(F17),0)</f>
        <v>0</v>
      </c>
      <c r="H18" s="77">
        <f>VLOOKUP($B18,Deck[[Column84]:[Column98]],COLUMN(G17),0)</f>
        <v>0</v>
      </c>
      <c r="I18" s="77">
        <f>VLOOKUP($B18,Deck[[Column84]:[Column98]],COLUMN(H17),0)</f>
        <v>1</v>
      </c>
      <c r="J18" s="77">
        <f>VLOOKUP($B18,Deck[[Column84]:[Column98]],COLUMN(I17),0)</f>
        <v>1</v>
      </c>
      <c r="K18" s="268">
        <f t="shared" si="0"/>
        <v>5</v>
      </c>
      <c r="L18" s="10">
        <f>VLOOKUP($B18,Deck[[Column84]:[Column101]],COLUMN(K17),0)</f>
        <v>0</v>
      </c>
      <c r="M18" s="10">
        <f>VLOOKUP($B18,Deck[[Column84]:[Column101]],COLUMN(L17),0)</f>
        <v>0</v>
      </c>
      <c r="N18" s="10">
        <f>VLOOKUP($B18,Deck[[Column84]:[Column101]],COLUMN(M17),0)</f>
        <v>0</v>
      </c>
      <c r="O18" s="10">
        <f>VLOOKUP($B18,Deck[[Column84]:[Column101]],COLUMN(N17),0)</f>
        <v>0</v>
      </c>
      <c r="P18" s="10">
        <f>VLOOKUP($B18,Deck[[Column84]:[Column101]],COLUMN(O17),0)</f>
        <v>0</v>
      </c>
      <c r="Q18" s="10">
        <f>VLOOKUP($B18,Deck[[Column84]:[Column101]],COLUMN(P17),0)</f>
        <v>0</v>
      </c>
      <c r="R18" s="10">
        <f>VLOOKUP($B18,Deck[[Column84]:[Column101]],COLUMN(Q17),0)</f>
        <v>0</v>
      </c>
      <c r="S18" s="10">
        <f>VLOOKUP($B18,Deck[[Column84]:[Column101]],COLUMN(R17),0)</f>
        <v>0</v>
      </c>
      <c r="T18" s="266">
        <f t="shared" si="1"/>
        <v>0</v>
      </c>
    </row>
    <row r="19" spans="1:20" ht="18" customHeight="1" x14ac:dyDescent="0.3">
      <c r="A19" s="150" t="s">
        <v>58</v>
      </c>
      <c r="B19" s="163" t="s">
        <v>1</v>
      </c>
      <c r="C19" s="77">
        <f>VLOOKUP($B19,Deck[[Column84]:[Column98]],COLUMN(B18),0)</f>
        <v>0</v>
      </c>
      <c r="D19" s="77">
        <f>VLOOKUP($B19,Deck[[Column84]:[Column98]],COLUMN(C18),0)</f>
        <v>0</v>
      </c>
      <c r="E19" s="77">
        <f>VLOOKUP($B19,Deck[[Column84]:[Column98]],COLUMN(D18),0)</f>
        <v>0</v>
      </c>
      <c r="F19" s="77">
        <f>VLOOKUP($B19,Deck[[Column84]:[Column98]],COLUMN(E18),0)</f>
        <v>3</v>
      </c>
      <c r="G19" s="77">
        <f>VLOOKUP($B19,Deck[[Column84]:[Column98]],COLUMN(F18),0)</f>
        <v>0</v>
      </c>
      <c r="H19" s="77">
        <f>VLOOKUP($B19,Deck[[Column84]:[Column98]],COLUMN(G18),0)</f>
        <v>0</v>
      </c>
      <c r="I19" s="77">
        <f>VLOOKUP($B19,Deck[[Column84]:[Column98]],COLUMN(H18),0)</f>
        <v>0</v>
      </c>
      <c r="J19" s="77">
        <f>VLOOKUP($B19,Deck[[Column84]:[Column98]],COLUMN(I18),0)</f>
        <v>0</v>
      </c>
      <c r="K19" s="268">
        <f t="shared" si="0"/>
        <v>3</v>
      </c>
      <c r="L19" s="10">
        <f>VLOOKUP($B19,Deck[[Column84]:[Column101]],COLUMN(K18),0)</f>
        <v>0</v>
      </c>
      <c r="M19" s="10">
        <f>VLOOKUP($B19,Deck[[Column84]:[Column101]],COLUMN(L18),0)</f>
        <v>0</v>
      </c>
      <c r="N19" s="10">
        <f>VLOOKUP($B19,Deck[[Column84]:[Column101]],COLUMN(M18),0)</f>
        <v>0</v>
      </c>
      <c r="O19" s="10">
        <f>VLOOKUP($B19,Deck[[Column84]:[Column101]],COLUMN(N18),0)</f>
        <v>0</v>
      </c>
      <c r="P19" s="10">
        <f>VLOOKUP($B19,Deck[[Column84]:[Column101]],COLUMN(O18),0)</f>
        <v>0</v>
      </c>
      <c r="Q19" s="10">
        <f>VLOOKUP($B19,Deck[[Column84]:[Column101]],COLUMN(P18),0)</f>
        <v>0</v>
      </c>
      <c r="R19" s="10">
        <f>VLOOKUP($B19,Deck[[Column84]:[Column101]],COLUMN(Q18),0)</f>
        <v>0</v>
      </c>
      <c r="S19" s="10">
        <f>VLOOKUP($B19,Deck[[Column84]:[Column101]],COLUMN(R18),0)</f>
        <v>0</v>
      </c>
      <c r="T19" s="266">
        <f t="shared" si="1"/>
        <v>0</v>
      </c>
    </row>
    <row r="20" spans="1:20" ht="18" customHeight="1" x14ac:dyDescent="0.3">
      <c r="A20" s="150" t="s">
        <v>58</v>
      </c>
      <c r="B20" s="163" t="s">
        <v>3</v>
      </c>
      <c r="C20" s="77">
        <f>VLOOKUP($B20,Deck[[Column84]:[Column98]],COLUMN(B19),0)</f>
        <v>0</v>
      </c>
      <c r="D20" s="77">
        <f>VLOOKUP($B20,Deck[[Column84]:[Column98]],COLUMN(C19),0)</f>
        <v>0</v>
      </c>
      <c r="E20" s="77">
        <f>VLOOKUP($B20,Deck[[Column84]:[Column98]],COLUMN(D19),0)</f>
        <v>0</v>
      </c>
      <c r="F20" s="77">
        <f>VLOOKUP($B20,Deck[[Column84]:[Column98]],COLUMN(E19),0)</f>
        <v>0</v>
      </c>
      <c r="G20" s="77">
        <f>VLOOKUP($B20,Deck[[Column84]:[Column98]],COLUMN(F19),0)</f>
        <v>0</v>
      </c>
      <c r="H20" s="77">
        <f>VLOOKUP($B20,Deck[[Column84]:[Column98]],COLUMN(G19),0)</f>
        <v>0</v>
      </c>
      <c r="I20" s="77">
        <f>VLOOKUP($B20,Deck[[Column84]:[Column98]],COLUMN(H19),0)</f>
        <v>0</v>
      </c>
      <c r="J20" s="77">
        <f>VLOOKUP($B20,Deck[[Column84]:[Column98]],COLUMN(I19),0)</f>
        <v>0</v>
      </c>
      <c r="K20" s="268">
        <f t="shared" si="0"/>
        <v>0</v>
      </c>
      <c r="L20" s="10">
        <f>VLOOKUP($B20,Deck[[Column84]:[Column101]],COLUMN(K19),0)</f>
        <v>0</v>
      </c>
      <c r="M20" s="10">
        <f>VLOOKUP($B20,Deck[[Column84]:[Column101]],COLUMN(L19),0)</f>
        <v>0</v>
      </c>
      <c r="N20" s="10">
        <f>VLOOKUP($B20,Deck[[Column84]:[Column101]],COLUMN(M19),0)</f>
        <v>0</v>
      </c>
      <c r="O20" s="10">
        <f>VLOOKUP($B20,Deck[[Column84]:[Column101]],COLUMN(N19),0)</f>
        <v>0</v>
      </c>
      <c r="P20" s="10">
        <f>VLOOKUP($B20,Deck[[Column84]:[Column101]],COLUMN(O19),0)</f>
        <v>0</v>
      </c>
      <c r="Q20" s="10">
        <f>VLOOKUP($B20,Deck[[Column84]:[Column101]],COLUMN(P19),0)</f>
        <v>0</v>
      </c>
      <c r="R20" s="10">
        <f>VLOOKUP($B20,Deck[[Column84]:[Column101]],COLUMN(Q19),0)</f>
        <v>0</v>
      </c>
      <c r="S20" s="10">
        <f>VLOOKUP($B20,Deck[[Column84]:[Column101]],COLUMN(R19),0)</f>
        <v>0</v>
      </c>
      <c r="T20" s="266">
        <f t="shared" si="1"/>
        <v>0</v>
      </c>
    </row>
    <row r="21" spans="1:20" ht="18" customHeight="1" x14ac:dyDescent="0.3">
      <c r="A21" s="150" t="s">
        <v>58</v>
      </c>
      <c r="B21" s="163" t="s">
        <v>5</v>
      </c>
      <c r="C21" s="77">
        <f>VLOOKUP($B21,Deck[[Column84]:[Column98]],COLUMN(B20),0)</f>
        <v>0</v>
      </c>
      <c r="D21" s="77">
        <f>VLOOKUP($B21,Deck[[Column84]:[Column98]],COLUMN(C20),0)</f>
        <v>0</v>
      </c>
      <c r="E21" s="77">
        <f>VLOOKUP($B21,Deck[[Column84]:[Column98]],COLUMN(D20),0)</f>
        <v>0</v>
      </c>
      <c r="F21" s="77">
        <f>VLOOKUP($B21,Deck[[Column84]:[Column98]],COLUMN(E20),0)</f>
        <v>0</v>
      </c>
      <c r="G21" s="77">
        <f>VLOOKUP($B21,Deck[[Column84]:[Column98]],COLUMN(F20),0)</f>
        <v>0</v>
      </c>
      <c r="H21" s="77">
        <f>VLOOKUP($B21,Deck[[Column84]:[Column98]],COLUMN(G20),0)</f>
        <v>0</v>
      </c>
      <c r="I21" s="77">
        <f>VLOOKUP($B21,Deck[[Column84]:[Column98]],COLUMN(H20),0)</f>
        <v>0</v>
      </c>
      <c r="J21" s="77">
        <f>VLOOKUP($B21,Deck[[Column84]:[Column98]],COLUMN(I20),0)</f>
        <v>0</v>
      </c>
      <c r="K21" s="268">
        <f t="shared" si="0"/>
        <v>0</v>
      </c>
      <c r="L21" s="10">
        <f>VLOOKUP($B21,Deck[[Column84]:[Column101]],COLUMN(K20),0)</f>
        <v>0</v>
      </c>
      <c r="M21" s="10">
        <f>VLOOKUP($B21,Deck[[Column84]:[Column101]],COLUMN(L20),0)</f>
        <v>0</v>
      </c>
      <c r="N21" s="10">
        <f>VLOOKUP($B21,Deck[[Column84]:[Column101]],COLUMN(M20),0)</f>
        <v>0</v>
      </c>
      <c r="O21" s="10">
        <f>VLOOKUP($B21,Deck[[Column84]:[Column101]],COLUMN(N20),0)</f>
        <v>0</v>
      </c>
      <c r="P21" s="10">
        <f>VLOOKUP($B21,Deck[[Column84]:[Column101]],COLUMN(O20),0)</f>
        <v>0</v>
      </c>
      <c r="Q21" s="10">
        <f>VLOOKUP($B21,Deck[[Column84]:[Column101]],COLUMN(P20),0)</f>
        <v>0</v>
      </c>
      <c r="R21" s="10">
        <f>VLOOKUP($B21,Deck[[Column84]:[Column101]],COLUMN(Q20),0)</f>
        <v>0</v>
      </c>
      <c r="S21" s="10">
        <f>VLOOKUP($B21,Deck[[Column84]:[Column101]],COLUMN(R20),0)</f>
        <v>0</v>
      </c>
      <c r="T21" s="266">
        <f t="shared" si="1"/>
        <v>0</v>
      </c>
    </row>
    <row r="22" spans="1:20" ht="18" customHeight="1" x14ac:dyDescent="0.3">
      <c r="A22" s="150" t="s">
        <v>58</v>
      </c>
      <c r="B22" s="163" t="s">
        <v>308</v>
      </c>
      <c r="C22" s="77">
        <f>VLOOKUP($B22,Deck[[Column84]:[Column98]],COLUMN(B21),0)</f>
        <v>0</v>
      </c>
      <c r="D22" s="77">
        <f>VLOOKUP($B22,Deck[[Column84]:[Column98]],COLUMN(C21),0)</f>
        <v>0</v>
      </c>
      <c r="E22" s="77">
        <f>VLOOKUP($B22,Deck[[Column84]:[Column98]],COLUMN(D21),0)</f>
        <v>0</v>
      </c>
      <c r="F22" s="77">
        <f>VLOOKUP($B22,Deck[[Column84]:[Column98]],COLUMN(E21),0)</f>
        <v>0</v>
      </c>
      <c r="G22" s="77">
        <f>VLOOKUP($B22,Deck[[Column84]:[Column98]],COLUMN(F21),0)</f>
        <v>0</v>
      </c>
      <c r="H22" s="77">
        <f>VLOOKUP($B22,Deck[[Column84]:[Column98]],COLUMN(G21),0)</f>
        <v>0</v>
      </c>
      <c r="I22" s="77">
        <f>VLOOKUP($B22,Deck[[Column84]:[Column98]],COLUMN(H21),0)</f>
        <v>1</v>
      </c>
      <c r="J22" s="77">
        <f>VLOOKUP($B22,Deck[[Column84]:[Column98]],COLUMN(I21),0)</f>
        <v>0</v>
      </c>
      <c r="K22" s="268">
        <f t="shared" si="0"/>
        <v>1</v>
      </c>
      <c r="L22" s="10">
        <f>VLOOKUP($B22,Deck[[Column84]:[Column101]],COLUMN(K21),0)</f>
        <v>0</v>
      </c>
      <c r="M22" s="10">
        <f>VLOOKUP($B22,Deck[[Column84]:[Column101]],COLUMN(L21),0)</f>
        <v>0</v>
      </c>
      <c r="N22" s="10">
        <f>VLOOKUP($B22,Deck[[Column84]:[Column101]],COLUMN(M21),0)</f>
        <v>0</v>
      </c>
      <c r="O22" s="10">
        <f>VLOOKUP($B22,Deck[[Column84]:[Column101]],COLUMN(N21),0)</f>
        <v>0</v>
      </c>
      <c r="P22" s="10">
        <f>VLOOKUP($B22,Deck[[Column84]:[Column101]],COLUMN(O21),0)</f>
        <v>0</v>
      </c>
      <c r="Q22" s="10">
        <f>VLOOKUP($B22,Deck[[Column84]:[Column101]],COLUMN(P21),0)</f>
        <v>0</v>
      </c>
      <c r="R22" s="10">
        <f>VLOOKUP($B22,Deck[[Column84]:[Column101]],COLUMN(Q21),0)</f>
        <v>0</v>
      </c>
      <c r="S22" s="10">
        <f>VLOOKUP($B22,Deck[[Column84]:[Column101]],COLUMN(R21),0)</f>
        <v>2</v>
      </c>
      <c r="T22" s="266">
        <f t="shared" si="1"/>
        <v>2</v>
      </c>
    </row>
    <row r="23" spans="1:20" ht="18" customHeight="1" x14ac:dyDescent="0.3">
      <c r="A23" s="150" t="s">
        <v>115</v>
      </c>
      <c r="B23" s="163" t="s">
        <v>84</v>
      </c>
      <c r="C23" s="77">
        <f>VLOOKUP($B23,Deck[[Column84]:[Column98]],COLUMN(B22),0)</f>
        <v>0</v>
      </c>
      <c r="D23" s="77">
        <f>VLOOKUP($B23,Deck[[Column84]:[Column98]],COLUMN(C22),0)</f>
        <v>0</v>
      </c>
      <c r="E23" s="77">
        <f>VLOOKUP($B23,Deck[[Column84]:[Column98]],COLUMN(D22),0)</f>
        <v>0</v>
      </c>
      <c r="F23" s="77">
        <f>VLOOKUP($B23,Deck[[Column84]:[Column98]],COLUMN(E22),0)</f>
        <v>0</v>
      </c>
      <c r="G23" s="77">
        <f>VLOOKUP($B23,Deck[[Column84]:[Column98]],COLUMN(F22),0)</f>
        <v>0</v>
      </c>
      <c r="H23" s="77">
        <f>VLOOKUP($B23,Deck[[Column84]:[Column98]],COLUMN(G22),0)</f>
        <v>0</v>
      </c>
      <c r="I23" s="77">
        <f>VLOOKUP($B23,Deck[[Column84]:[Column98]],COLUMN(H22),0)</f>
        <v>0</v>
      </c>
      <c r="J23" s="77">
        <f>VLOOKUP($B23,Deck[[Column84]:[Column98]],COLUMN(I22),0)</f>
        <v>0</v>
      </c>
      <c r="K23" s="268">
        <f t="shared" si="0"/>
        <v>0</v>
      </c>
      <c r="L23" s="10">
        <f>VLOOKUP($B23,Deck[[Column84]:[Column101]],COLUMN(K22),0)</f>
        <v>0</v>
      </c>
      <c r="M23" s="10">
        <f>VLOOKUP($B23,Deck[[Column84]:[Column101]],COLUMN(L22),0)</f>
        <v>0</v>
      </c>
      <c r="N23" s="10">
        <f>VLOOKUP($B23,Deck[[Column84]:[Column101]],COLUMN(M22),0)</f>
        <v>0</v>
      </c>
      <c r="O23" s="10">
        <f>VLOOKUP($B23,Deck[[Column84]:[Column101]],COLUMN(N22),0)</f>
        <v>0</v>
      </c>
      <c r="P23" s="10">
        <f>VLOOKUP($B23,Deck[[Column84]:[Column101]],COLUMN(O22),0)</f>
        <v>0</v>
      </c>
      <c r="Q23" s="10">
        <f>VLOOKUP($B23,Deck[[Column84]:[Column101]],COLUMN(P22),0)</f>
        <v>0</v>
      </c>
      <c r="R23" s="10">
        <f>VLOOKUP($B23,Deck[[Column84]:[Column101]],COLUMN(Q22),0)</f>
        <v>0</v>
      </c>
      <c r="S23" s="10">
        <f>VLOOKUP($B23,Deck[[Column84]:[Column101]],COLUMN(R22),0)</f>
        <v>0</v>
      </c>
      <c r="T23" s="266">
        <f t="shared" si="1"/>
        <v>0</v>
      </c>
    </row>
    <row r="24" spans="1:20" ht="18" customHeight="1" x14ac:dyDescent="0.3">
      <c r="A24" s="150" t="s">
        <v>56</v>
      </c>
      <c r="B24" s="163" t="s">
        <v>0</v>
      </c>
      <c r="C24" s="77">
        <f>VLOOKUP($B24,Deck[[Column84]:[Column98]],COLUMN(B23),0)</f>
        <v>0</v>
      </c>
      <c r="D24" s="77">
        <f>VLOOKUP($B24,Deck[[Column84]:[Column98]],COLUMN(C23),0)</f>
        <v>0</v>
      </c>
      <c r="E24" s="77">
        <f>VLOOKUP($B24,Deck[[Column84]:[Column98]],COLUMN(D23),0)</f>
        <v>0</v>
      </c>
      <c r="F24" s="77">
        <f>VLOOKUP($B24,Deck[[Column84]:[Column98]],COLUMN(E23),0)</f>
        <v>0</v>
      </c>
      <c r="G24" s="77">
        <f>VLOOKUP($B24,Deck[[Column84]:[Column98]],COLUMN(F23),0)</f>
        <v>0</v>
      </c>
      <c r="H24" s="77">
        <f>VLOOKUP($B24,Deck[[Column84]:[Column98]],COLUMN(G23),0)</f>
        <v>0</v>
      </c>
      <c r="I24" s="77">
        <f>VLOOKUP($B24,Deck[[Column84]:[Column98]],COLUMN(H23),0)</f>
        <v>0</v>
      </c>
      <c r="J24" s="77">
        <f>VLOOKUP($B24,Deck[[Column84]:[Column98]],COLUMN(I23),0)</f>
        <v>0</v>
      </c>
      <c r="K24" s="268">
        <f t="shared" si="0"/>
        <v>0</v>
      </c>
      <c r="L24" s="10">
        <f>VLOOKUP($B24,Deck[[Column84]:[Column101]],COLUMN(K23),0)</f>
        <v>0</v>
      </c>
      <c r="M24" s="10">
        <f>VLOOKUP($B24,Deck[[Column84]:[Column101]],COLUMN(L23),0)</f>
        <v>0</v>
      </c>
      <c r="N24" s="10">
        <f>VLOOKUP($B24,Deck[[Column84]:[Column101]],COLUMN(M23),0)</f>
        <v>0</v>
      </c>
      <c r="O24" s="10">
        <f>VLOOKUP($B24,Deck[[Column84]:[Column101]],COLUMN(N23),0)</f>
        <v>0</v>
      </c>
      <c r="P24" s="10">
        <f>VLOOKUP($B24,Deck[[Column84]:[Column101]],COLUMN(O23),0)</f>
        <v>0</v>
      </c>
      <c r="Q24" s="10">
        <f>VLOOKUP($B24,Deck[[Column84]:[Column101]],COLUMN(P23),0)</f>
        <v>0</v>
      </c>
      <c r="R24" s="10">
        <f>VLOOKUP($B24,Deck[[Column84]:[Column101]],COLUMN(Q23),0)</f>
        <v>0</v>
      </c>
      <c r="S24" s="10">
        <f>VLOOKUP($B24,Deck[[Column84]:[Column101]],COLUMN(R23),0)</f>
        <v>0</v>
      </c>
      <c r="T24" s="266">
        <f t="shared" si="1"/>
        <v>0</v>
      </c>
    </row>
    <row r="25" spans="1:20" ht="18" customHeight="1" x14ac:dyDescent="0.3">
      <c r="A25" s="150" t="s">
        <v>56</v>
      </c>
      <c r="B25" s="163" t="s">
        <v>304</v>
      </c>
      <c r="C25" s="77">
        <f>VLOOKUP($B25,Deck[[Column84]:[Column98]],COLUMN(B24),0)</f>
        <v>0</v>
      </c>
      <c r="D25" s="77">
        <f>VLOOKUP($B25,Deck[[Column84]:[Column98]],COLUMN(C24),0)</f>
        <v>0</v>
      </c>
      <c r="E25" s="77">
        <f>VLOOKUP($B25,Deck[[Column84]:[Column98]],COLUMN(D24),0)</f>
        <v>0</v>
      </c>
      <c r="F25" s="77">
        <f>VLOOKUP($B25,Deck[[Column84]:[Column98]],COLUMN(E24),0)</f>
        <v>0</v>
      </c>
      <c r="G25" s="77">
        <f>VLOOKUP($B25,Deck[[Column84]:[Column98]],COLUMN(F24),0)</f>
        <v>0</v>
      </c>
      <c r="H25" s="77">
        <f>VLOOKUP($B25,Deck[[Column84]:[Column98]],COLUMN(G24),0)</f>
        <v>0</v>
      </c>
      <c r="I25" s="77">
        <f>VLOOKUP($B25,Deck[[Column84]:[Column98]],COLUMN(H24),0)</f>
        <v>0</v>
      </c>
      <c r="J25" s="77">
        <f>VLOOKUP($B25,Deck[[Column84]:[Column98]],COLUMN(I24),0)</f>
        <v>0</v>
      </c>
      <c r="K25" s="268">
        <f t="shared" si="0"/>
        <v>0</v>
      </c>
      <c r="L25" s="10">
        <f>VLOOKUP($B25,Deck[[Column84]:[Column101]],COLUMN(K24),0)</f>
        <v>0</v>
      </c>
      <c r="M25" s="10">
        <f>VLOOKUP($B25,Deck[[Column84]:[Column101]],COLUMN(L24),0)</f>
        <v>0</v>
      </c>
      <c r="N25" s="10">
        <f>VLOOKUP($B25,Deck[[Column84]:[Column101]],COLUMN(M24),0)</f>
        <v>0</v>
      </c>
      <c r="O25" s="10">
        <f>VLOOKUP($B25,Deck[[Column84]:[Column101]],COLUMN(N24),0)</f>
        <v>0</v>
      </c>
      <c r="P25" s="10">
        <f>VLOOKUP($B25,Deck[[Column84]:[Column101]],COLUMN(O24),0)</f>
        <v>0</v>
      </c>
      <c r="Q25" s="10">
        <f>VLOOKUP($B25,Deck[[Column84]:[Column101]],COLUMN(P24),0)</f>
        <v>0</v>
      </c>
      <c r="R25" s="10">
        <f>VLOOKUP($B25,Deck[[Column84]:[Column101]],COLUMN(Q24),0)</f>
        <v>0</v>
      </c>
      <c r="S25" s="10">
        <f>VLOOKUP($B25,Deck[[Column84]:[Column101]],COLUMN(R24),0)</f>
        <v>0</v>
      </c>
      <c r="T25" s="266">
        <f t="shared" si="1"/>
        <v>0</v>
      </c>
    </row>
    <row r="26" spans="1:20" ht="18" customHeight="1" x14ac:dyDescent="0.3">
      <c r="A26" s="150" t="s">
        <v>56</v>
      </c>
      <c r="B26" s="163" t="s">
        <v>305</v>
      </c>
      <c r="C26" s="77">
        <f>VLOOKUP($B26,Deck[[Column84]:[Column98]],COLUMN(B25),0)</f>
        <v>0</v>
      </c>
      <c r="D26" s="77">
        <f>VLOOKUP($B26,Deck[[Column84]:[Column98]],COLUMN(C25),0)</f>
        <v>3</v>
      </c>
      <c r="E26" s="77">
        <f>VLOOKUP($B26,Deck[[Column84]:[Column98]],COLUMN(D25),0)</f>
        <v>3</v>
      </c>
      <c r="F26" s="77">
        <f>VLOOKUP($B26,Deck[[Column84]:[Column98]],COLUMN(E25),0)</f>
        <v>0</v>
      </c>
      <c r="G26" s="77">
        <f>VLOOKUP($B26,Deck[[Column84]:[Column98]],COLUMN(F25),0)</f>
        <v>0</v>
      </c>
      <c r="H26" s="77">
        <f>VLOOKUP($B26,Deck[[Column84]:[Column98]],COLUMN(G25),0)</f>
        <v>0</v>
      </c>
      <c r="I26" s="77">
        <f>VLOOKUP($B26,Deck[[Column84]:[Column98]],COLUMN(H25),0)</f>
        <v>0</v>
      </c>
      <c r="J26" s="77">
        <f>VLOOKUP($B26,Deck[[Column84]:[Column98]],COLUMN(I25),0)</f>
        <v>0</v>
      </c>
      <c r="K26" s="268">
        <f t="shared" si="0"/>
        <v>6</v>
      </c>
      <c r="L26" s="10">
        <f>VLOOKUP($B26,Deck[[Column84]:[Column101]],COLUMN(K25),0)</f>
        <v>1</v>
      </c>
      <c r="M26" s="10">
        <f>VLOOKUP($B26,Deck[[Column84]:[Column101]],COLUMN(L25),0)</f>
        <v>0</v>
      </c>
      <c r="N26" s="10">
        <f>VLOOKUP($B26,Deck[[Column84]:[Column101]],COLUMN(M25),0)</f>
        <v>0</v>
      </c>
      <c r="O26" s="10">
        <f>VLOOKUP($B26,Deck[[Column84]:[Column101]],COLUMN(N25),0)</f>
        <v>0</v>
      </c>
      <c r="P26" s="10">
        <f>VLOOKUP($B26,Deck[[Column84]:[Column101]],COLUMN(O25),0)</f>
        <v>0</v>
      </c>
      <c r="Q26" s="10">
        <f>VLOOKUP($B26,Deck[[Column84]:[Column101]],COLUMN(P25),0)</f>
        <v>0</v>
      </c>
      <c r="R26" s="10">
        <f>VLOOKUP($B26,Deck[[Column84]:[Column101]],COLUMN(Q25),0)</f>
        <v>0</v>
      </c>
      <c r="S26" s="10">
        <f>VLOOKUP($B26,Deck[[Column84]:[Column101]],COLUMN(R25),0)</f>
        <v>0</v>
      </c>
      <c r="T26" s="266">
        <f t="shared" si="1"/>
        <v>1</v>
      </c>
    </row>
    <row r="27" spans="1:20" ht="18" customHeight="1" x14ac:dyDescent="0.3">
      <c r="A27" s="150" t="s">
        <v>56</v>
      </c>
      <c r="B27" s="163" t="s">
        <v>306</v>
      </c>
      <c r="C27" s="77">
        <f>VLOOKUP($B27,Deck[[Column84]:[Column98]],COLUMN(B26),0)</f>
        <v>0</v>
      </c>
      <c r="D27" s="77">
        <f>VLOOKUP($B27,Deck[[Column84]:[Column98]],COLUMN(C26),0)</f>
        <v>0</v>
      </c>
      <c r="E27" s="77">
        <f>VLOOKUP($B27,Deck[[Column84]:[Column98]],COLUMN(D26),0)</f>
        <v>0</v>
      </c>
      <c r="F27" s="77">
        <f>VLOOKUP($B27,Deck[[Column84]:[Column98]],COLUMN(E26),0)</f>
        <v>0</v>
      </c>
      <c r="G27" s="77">
        <f>VLOOKUP($B27,Deck[[Column84]:[Column98]],COLUMN(F26),0)</f>
        <v>0</v>
      </c>
      <c r="H27" s="77">
        <f>VLOOKUP($B27,Deck[[Column84]:[Column98]],COLUMN(G26),0)</f>
        <v>0</v>
      </c>
      <c r="I27" s="77">
        <f>VLOOKUP($B27,Deck[[Column84]:[Column98]],COLUMN(H26),0)</f>
        <v>0</v>
      </c>
      <c r="J27" s="77">
        <f>VLOOKUP($B27,Deck[[Column84]:[Column98]],COLUMN(I26),0)</f>
        <v>0</v>
      </c>
      <c r="K27" s="268">
        <f t="shared" si="0"/>
        <v>0</v>
      </c>
      <c r="L27" s="10">
        <f>VLOOKUP($B27,Deck[[Column84]:[Column101]],COLUMN(K26),0)</f>
        <v>0</v>
      </c>
      <c r="M27" s="10">
        <f>VLOOKUP($B27,Deck[[Column84]:[Column101]],COLUMN(L26),0)</f>
        <v>0</v>
      </c>
      <c r="N27" s="10">
        <f>VLOOKUP($B27,Deck[[Column84]:[Column101]],COLUMN(M26),0)</f>
        <v>0</v>
      </c>
      <c r="O27" s="10">
        <f>VLOOKUP($B27,Deck[[Column84]:[Column101]],COLUMN(N26),0)</f>
        <v>0</v>
      </c>
      <c r="P27" s="10">
        <f>VLOOKUP($B27,Deck[[Column84]:[Column101]],COLUMN(O26),0)</f>
        <v>0</v>
      </c>
      <c r="Q27" s="10">
        <f>VLOOKUP($B27,Deck[[Column84]:[Column101]],COLUMN(P26),0)</f>
        <v>0</v>
      </c>
      <c r="R27" s="10">
        <f>VLOOKUP($B27,Deck[[Column84]:[Column101]],COLUMN(Q26),0)</f>
        <v>0</v>
      </c>
      <c r="S27" s="10">
        <f>VLOOKUP($B27,Deck[[Column84]:[Column101]],COLUMN(R26),0)</f>
        <v>0</v>
      </c>
      <c r="T27" s="266">
        <f t="shared" si="1"/>
        <v>0</v>
      </c>
    </row>
    <row r="28" spans="1:20" ht="18" customHeight="1" x14ac:dyDescent="0.3">
      <c r="A28" s="150" t="s">
        <v>56</v>
      </c>
      <c r="B28" s="163" t="s">
        <v>299</v>
      </c>
      <c r="C28" s="77">
        <f>VLOOKUP($B28,Deck[[Column84]:[Column98]],COLUMN(B27),0)</f>
        <v>0</v>
      </c>
      <c r="D28" s="77">
        <f>VLOOKUP($B28,Deck[[Column84]:[Column98]],COLUMN(C27),0)</f>
        <v>0</v>
      </c>
      <c r="E28" s="77">
        <f>VLOOKUP($B28,Deck[[Column84]:[Column98]],COLUMN(D27),0)</f>
        <v>0</v>
      </c>
      <c r="F28" s="77">
        <f>VLOOKUP($B28,Deck[[Column84]:[Column98]],COLUMN(E27),0)</f>
        <v>0</v>
      </c>
      <c r="G28" s="77">
        <f>VLOOKUP($B28,Deck[[Column84]:[Column98]],COLUMN(F27),0)</f>
        <v>0</v>
      </c>
      <c r="H28" s="77">
        <f>VLOOKUP($B28,Deck[[Column84]:[Column98]],COLUMN(G27),0)</f>
        <v>0</v>
      </c>
      <c r="I28" s="77">
        <f>VLOOKUP($B28,Deck[[Column84]:[Column98]],COLUMN(H27),0)</f>
        <v>0</v>
      </c>
      <c r="J28" s="77">
        <f>VLOOKUP($B28,Deck[[Column84]:[Column98]],COLUMN(I27),0)</f>
        <v>0</v>
      </c>
      <c r="K28" s="268">
        <f t="shared" si="0"/>
        <v>0</v>
      </c>
      <c r="L28" s="10">
        <f>VLOOKUP($B28,Deck[[Column84]:[Column101]],COLUMN(K27),0)</f>
        <v>0</v>
      </c>
      <c r="M28" s="10">
        <f>VLOOKUP($B28,Deck[[Column84]:[Column101]],COLUMN(L27),0)</f>
        <v>0</v>
      </c>
      <c r="N28" s="10">
        <f>VLOOKUP($B28,Deck[[Column84]:[Column101]],COLUMN(M27),0)</f>
        <v>0</v>
      </c>
      <c r="O28" s="10">
        <f>VLOOKUP($B28,Deck[[Column84]:[Column101]],COLUMN(N27),0)</f>
        <v>0</v>
      </c>
      <c r="P28" s="10">
        <f>VLOOKUP($B28,Deck[[Column84]:[Column101]],COLUMN(O27),0)</f>
        <v>0</v>
      </c>
      <c r="Q28" s="10">
        <f>VLOOKUP($B28,Deck[[Column84]:[Column101]],COLUMN(P27),0)</f>
        <v>0</v>
      </c>
      <c r="R28" s="10">
        <f>VLOOKUP($B28,Deck[[Column84]:[Column101]],COLUMN(Q27),0)</f>
        <v>0</v>
      </c>
      <c r="S28" s="10">
        <f>VLOOKUP($B28,Deck[[Column84]:[Column101]],COLUMN(R27),0)</f>
        <v>0</v>
      </c>
      <c r="T28" s="266">
        <f t="shared" si="1"/>
        <v>0</v>
      </c>
    </row>
    <row r="29" spans="1:20" ht="18" customHeight="1" x14ac:dyDescent="0.3">
      <c r="A29" s="150" t="s">
        <v>56</v>
      </c>
      <c r="B29" s="163" t="s">
        <v>108</v>
      </c>
      <c r="C29" s="77">
        <f>VLOOKUP($B29,Deck[[Column84]:[Column98]],COLUMN(B28),0)</f>
        <v>0</v>
      </c>
      <c r="D29" s="77">
        <f>VLOOKUP($B29,Deck[[Column84]:[Column98]],COLUMN(C28),0)</f>
        <v>0</v>
      </c>
      <c r="E29" s="77">
        <f>VLOOKUP($B29,Deck[[Column84]:[Column98]],COLUMN(D28),0)</f>
        <v>0</v>
      </c>
      <c r="F29" s="77">
        <f>VLOOKUP($B29,Deck[[Column84]:[Column98]],COLUMN(E28),0)</f>
        <v>0</v>
      </c>
      <c r="G29" s="77">
        <f>VLOOKUP($B29,Deck[[Column84]:[Column98]],COLUMN(F28),0)</f>
        <v>0</v>
      </c>
      <c r="H29" s="77">
        <f>VLOOKUP($B29,Deck[[Column84]:[Column98]],COLUMN(G28),0)</f>
        <v>0</v>
      </c>
      <c r="I29" s="77">
        <f>VLOOKUP($B29,Deck[[Column84]:[Column98]],COLUMN(H28),0)</f>
        <v>0</v>
      </c>
      <c r="J29" s="77">
        <f>VLOOKUP($B29,Deck[[Column84]:[Column98]],COLUMN(I28),0)</f>
        <v>0</v>
      </c>
      <c r="K29" s="268">
        <f t="shared" si="0"/>
        <v>0</v>
      </c>
      <c r="L29" s="10">
        <f>VLOOKUP($B29,Deck[[Column84]:[Column101]],COLUMN(K28),0)</f>
        <v>0</v>
      </c>
      <c r="M29" s="10">
        <f>VLOOKUP($B29,Deck[[Column84]:[Column101]],COLUMN(L28),0)</f>
        <v>0</v>
      </c>
      <c r="N29" s="10">
        <f>VLOOKUP($B29,Deck[[Column84]:[Column101]],COLUMN(M28),0)</f>
        <v>0</v>
      </c>
      <c r="O29" s="10">
        <f>VLOOKUP($B29,Deck[[Column84]:[Column101]],COLUMN(N28),0)</f>
        <v>0</v>
      </c>
      <c r="P29" s="10">
        <f>VLOOKUP($B29,Deck[[Column84]:[Column101]],COLUMN(O28),0)</f>
        <v>0</v>
      </c>
      <c r="Q29" s="10">
        <f>VLOOKUP($B29,Deck[[Column84]:[Column101]],COLUMN(P28),0)</f>
        <v>0</v>
      </c>
      <c r="R29" s="10">
        <f>VLOOKUP($B29,Deck[[Column84]:[Column101]],COLUMN(Q28),0)</f>
        <v>0</v>
      </c>
      <c r="S29" s="10">
        <f>VLOOKUP($B29,Deck[[Column84]:[Column101]],COLUMN(R28),0)</f>
        <v>0</v>
      </c>
      <c r="T29" s="266">
        <f t="shared" si="1"/>
        <v>0</v>
      </c>
    </row>
    <row r="30" spans="1:20" ht="18" customHeight="1" x14ac:dyDescent="0.3">
      <c r="A30" s="150" t="s">
        <v>56</v>
      </c>
      <c r="B30" s="163" t="s">
        <v>280</v>
      </c>
      <c r="C30" s="77">
        <f>VLOOKUP($B30,Deck[[Column84]:[Column98]],COLUMN(B29),0)</f>
        <v>0</v>
      </c>
      <c r="D30" s="77">
        <f>VLOOKUP($B30,Deck[[Column84]:[Column98]],COLUMN(C29),0)</f>
        <v>0</v>
      </c>
      <c r="E30" s="77">
        <f>VLOOKUP($B30,Deck[[Column84]:[Column98]],COLUMN(D29),0)</f>
        <v>0</v>
      </c>
      <c r="F30" s="77">
        <f>VLOOKUP($B30,Deck[[Column84]:[Column98]],COLUMN(E29),0)</f>
        <v>0</v>
      </c>
      <c r="G30" s="77">
        <f>VLOOKUP($B30,Deck[[Column84]:[Column98]],COLUMN(F29),0)</f>
        <v>0</v>
      </c>
      <c r="H30" s="77">
        <f>VLOOKUP($B30,Deck[[Column84]:[Column98]],COLUMN(G29),0)</f>
        <v>0</v>
      </c>
      <c r="I30" s="77">
        <f>VLOOKUP($B30,Deck[[Column84]:[Column98]],COLUMN(H29),0)</f>
        <v>0</v>
      </c>
      <c r="J30" s="77">
        <f>VLOOKUP($B30,Deck[[Column84]:[Column98]],COLUMN(I29),0)</f>
        <v>0</v>
      </c>
      <c r="K30" s="268">
        <f t="shared" si="0"/>
        <v>0</v>
      </c>
      <c r="L30" s="10">
        <f>VLOOKUP($B30,Deck[[Column84]:[Column101]],COLUMN(K29),0)</f>
        <v>0</v>
      </c>
      <c r="M30" s="10">
        <f>VLOOKUP($B30,Deck[[Column84]:[Column101]],COLUMN(L29),0)</f>
        <v>0</v>
      </c>
      <c r="N30" s="10">
        <f>VLOOKUP($B30,Deck[[Column84]:[Column101]],COLUMN(M29),0)</f>
        <v>0</v>
      </c>
      <c r="O30" s="10">
        <f>VLOOKUP($B30,Deck[[Column84]:[Column101]],COLUMN(N29),0)</f>
        <v>0</v>
      </c>
      <c r="P30" s="10">
        <f>VLOOKUP($B30,Deck[[Column84]:[Column101]],COLUMN(O29),0)</f>
        <v>0</v>
      </c>
      <c r="Q30" s="10">
        <f>VLOOKUP($B30,Deck[[Column84]:[Column101]],COLUMN(P29),0)</f>
        <v>0</v>
      </c>
      <c r="R30" s="10">
        <f>VLOOKUP($B30,Deck[[Column84]:[Column101]],COLUMN(Q29),0)</f>
        <v>0</v>
      </c>
      <c r="S30" s="10">
        <f>VLOOKUP($B30,Deck[[Column84]:[Column101]],COLUMN(R29),0)</f>
        <v>0</v>
      </c>
      <c r="T30" s="266">
        <f t="shared" si="1"/>
        <v>0</v>
      </c>
    </row>
    <row r="31" spans="1:20" x14ac:dyDescent="0.3">
      <c r="A31" s="150"/>
      <c r="B31" s="163" t="s">
        <v>13</v>
      </c>
      <c r="C31" s="73">
        <f>SUM(C3:C30)</f>
        <v>0</v>
      </c>
      <c r="D31" s="73">
        <f t="shared" ref="D31:T31" si="2">SUM(D3:D30)</f>
        <v>36</v>
      </c>
      <c r="E31" s="73">
        <f t="shared" si="2"/>
        <v>19</v>
      </c>
      <c r="F31" s="73">
        <f t="shared" si="2"/>
        <v>18</v>
      </c>
      <c r="G31" s="73">
        <f t="shared" si="2"/>
        <v>0</v>
      </c>
      <c r="H31" s="73">
        <f t="shared" si="2"/>
        <v>0</v>
      </c>
      <c r="I31" s="73">
        <f t="shared" si="2"/>
        <v>3</v>
      </c>
      <c r="J31" s="73">
        <f t="shared" si="2"/>
        <v>1</v>
      </c>
      <c r="K31" s="269">
        <f t="shared" si="2"/>
        <v>77</v>
      </c>
      <c r="L31" s="73">
        <f t="shared" si="2"/>
        <v>21</v>
      </c>
      <c r="M31" s="73">
        <f t="shared" si="2"/>
        <v>9</v>
      </c>
      <c r="N31" s="73">
        <f t="shared" si="2"/>
        <v>9</v>
      </c>
      <c r="O31" s="73">
        <f t="shared" si="2"/>
        <v>3</v>
      </c>
      <c r="P31" s="73">
        <f t="shared" si="2"/>
        <v>0</v>
      </c>
      <c r="Q31" s="73">
        <f t="shared" si="2"/>
        <v>0</v>
      </c>
      <c r="R31" s="73">
        <f t="shared" si="2"/>
        <v>0</v>
      </c>
      <c r="S31" s="73">
        <f t="shared" si="2"/>
        <v>2</v>
      </c>
      <c r="T31" s="269">
        <f t="shared" si="2"/>
        <v>44</v>
      </c>
    </row>
  </sheetData>
  <mergeCells count="2">
    <mergeCell ref="C1:K1"/>
    <mergeCell ref="L1:T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A3323-A4BD-47FE-84F9-F5DFE366BF18}">
  <sheetPr codeName="Sheet7"/>
  <dimension ref="A1:O19"/>
  <sheetViews>
    <sheetView workbookViewId="0">
      <selection sqref="A1:O1"/>
    </sheetView>
  </sheetViews>
  <sheetFormatPr defaultRowHeight="13.8" x14ac:dyDescent="0.3"/>
  <cols>
    <col min="1" max="1" width="19.6640625" style="1" customWidth="1"/>
    <col min="2" max="16384" width="8.88671875" style="1"/>
  </cols>
  <sheetData>
    <row r="1" spans="1:15" ht="15.6" customHeight="1" x14ac:dyDescent="0.3">
      <c r="A1" s="333" t="s">
        <v>71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</row>
    <row r="2" spans="1:15" ht="14.4" x14ac:dyDescent="0.3">
      <c r="A2" s="75">
        <f>'Sales Summary'!A2</f>
        <v>46117</v>
      </c>
      <c r="B2" s="345" t="s">
        <v>11</v>
      </c>
      <c r="C2" s="345"/>
      <c r="D2" s="345"/>
      <c r="E2" s="345"/>
      <c r="F2" s="345"/>
      <c r="G2" s="345"/>
      <c r="H2" s="345"/>
      <c r="I2" s="345" t="s">
        <v>12</v>
      </c>
      <c r="J2" s="345"/>
      <c r="K2" s="345"/>
      <c r="L2" s="345"/>
      <c r="M2" s="345"/>
      <c r="N2" s="345"/>
      <c r="O2" s="345"/>
    </row>
    <row r="3" spans="1:15" ht="15" thickBot="1" x14ac:dyDescent="0.35">
      <c r="A3" s="74" t="s">
        <v>29</v>
      </c>
      <c r="B3" s="7" t="s">
        <v>78</v>
      </c>
      <c r="C3" s="7" t="s">
        <v>30</v>
      </c>
      <c r="D3" s="7" t="s">
        <v>31</v>
      </c>
      <c r="E3" s="7" t="s">
        <v>32</v>
      </c>
      <c r="F3" s="7" t="s">
        <v>284</v>
      </c>
      <c r="G3" s="7" t="s">
        <v>276</v>
      </c>
      <c r="H3" s="242" t="s">
        <v>33</v>
      </c>
      <c r="I3" s="7" t="s">
        <v>78</v>
      </c>
      <c r="J3" s="7" t="s">
        <v>30</v>
      </c>
      <c r="K3" s="7" t="s">
        <v>31</v>
      </c>
      <c r="L3" s="7" t="s">
        <v>32</v>
      </c>
      <c r="M3" s="7" t="s">
        <v>284</v>
      </c>
      <c r="N3" s="7" t="s">
        <v>276</v>
      </c>
      <c r="O3" s="242" t="s">
        <v>33</v>
      </c>
    </row>
    <row r="4" spans="1:15" ht="18" customHeight="1" thickBot="1" x14ac:dyDescent="0.35">
      <c r="A4" s="262" t="s">
        <v>42</v>
      </c>
      <c r="B4" s="58">
        <f>VLOOKUP($A4,Deck[[Column104]:[Column118]],COLUMN(B2),0)</f>
        <v>0</v>
      </c>
      <c r="C4" s="58">
        <f>VLOOKUP($A4,Deck[[Column104]:[Column118]],COLUMN(C2),0)</f>
        <v>7</v>
      </c>
      <c r="D4" s="58">
        <f>VLOOKUP($A4,Deck[[Column104]:[Column118]],COLUMN(D2),0)</f>
        <v>0</v>
      </c>
      <c r="E4" s="58">
        <f>VLOOKUP($A4,Deck[[Column104]:[Column118]],COLUMN(E2),0)</f>
        <v>0</v>
      </c>
      <c r="F4" s="58">
        <f>VLOOKUP($A4,Deck[[Column104]:[Column118]],COLUMN(F2),0)</f>
        <v>0</v>
      </c>
      <c r="G4" s="58">
        <f>VLOOKUP($A4,Deck[[Column104]:[Column118]],COLUMN(G2),0)</f>
        <v>0</v>
      </c>
      <c r="H4" s="264">
        <f>SUM(B4:G4)</f>
        <v>7</v>
      </c>
      <c r="I4" s="10">
        <f>VLOOKUP($A4,Deck[[Column104]:[Column118]],COLUMN(I2),0)</f>
        <v>0</v>
      </c>
      <c r="J4" s="10">
        <f>VLOOKUP($A4,Deck[[Column104]:[Column118]],COLUMN(J2),0)</f>
        <v>13</v>
      </c>
      <c r="K4" s="10">
        <f>VLOOKUP($A4,Deck[[Column104]:[Column118]],COLUMN(K2),0)</f>
        <v>0</v>
      </c>
      <c r="L4" s="10">
        <f>VLOOKUP($A4,Deck[[Column104]:[Column118]],COLUMN(L2),0)</f>
        <v>0</v>
      </c>
      <c r="M4" s="10">
        <f>VLOOKUP($A4,Deck[[Column104]:[Column118]],COLUMN(M2),0)</f>
        <v>0</v>
      </c>
      <c r="N4" s="10">
        <f>VLOOKUP($A4,Deck[[Column104]:[Column118]],COLUMN(N2),0)</f>
        <v>0</v>
      </c>
      <c r="O4" s="266">
        <f>SUM(I4:N4)</f>
        <v>13</v>
      </c>
    </row>
    <row r="5" spans="1:15" ht="18" customHeight="1" thickBot="1" x14ac:dyDescent="0.35">
      <c r="A5" s="263" t="s">
        <v>35</v>
      </c>
      <c r="B5" s="58">
        <f>VLOOKUP($A5,Deck[[Column104]:[Column118]],COLUMN(B3),0)</f>
        <v>0</v>
      </c>
      <c r="C5" s="58">
        <f>VLOOKUP($A5,Deck[[Column104]:[Column118]],COLUMN(C3),0)</f>
        <v>0</v>
      </c>
      <c r="D5" s="58">
        <f>VLOOKUP($A5,Deck[[Column104]:[Column118]],COLUMN(D3),0)</f>
        <v>0</v>
      </c>
      <c r="E5" s="58">
        <f>VLOOKUP($A5,Deck[[Column104]:[Column118]],COLUMN(E3),0)</f>
        <v>0</v>
      </c>
      <c r="F5" s="58">
        <f>VLOOKUP($A5,Deck[[Column104]:[Column118]],COLUMN(F3),0)</f>
        <v>0</v>
      </c>
      <c r="G5" s="58">
        <f>VLOOKUP($A5,Deck[[Column104]:[Column118]],COLUMN(G3),0)</f>
        <v>0</v>
      </c>
      <c r="H5" s="264">
        <f t="shared" ref="H5:H18" si="0">SUM(B5:G5)</f>
        <v>0</v>
      </c>
      <c r="I5" s="10">
        <f>VLOOKUP($A5,Deck[[Column104]:[Column118]],COLUMN(I3),0)</f>
        <v>53</v>
      </c>
      <c r="J5" s="10">
        <f>VLOOKUP($A5,Deck[[Column104]:[Column118]],COLUMN(J3),0)</f>
        <v>16</v>
      </c>
      <c r="K5" s="10">
        <f>VLOOKUP($A5,Deck[[Column104]:[Column118]],COLUMN(K3),0)</f>
        <v>1</v>
      </c>
      <c r="L5" s="10">
        <f>VLOOKUP($A5,Deck[[Column104]:[Column118]],COLUMN(L3),0)</f>
        <v>0</v>
      </c>
      <c r="M5" s="10">
        <f>VLOOKUP($A5,Deck[[Column104]:[Column118]],COLUMN(M3),0)</f>
        <v>0</v>
      </c>
      <c r="N5" s="10">
        <f>VLOOKUP($A5,Deck[[Column104]:[Column118]],COLUMN(N3),0)</f>
        <v>0</v>
      </c>
      <c r="O5" s="266">
        <f t="shared" ref="O5:O18" si="1">SUM(I5:N5)</f>
        <v>70</v>
      </c>
    </row>
    <row r="6" spans="1:15" ht="18" customHeight="1" thickBot="1" x14ac:dyDescent="0.35">
      <c r="A6" s="263" t="s">
        <v>36</v>
      </c>
      <c r="B6" s="58">
        <f>VLOOKUP($A6,Deck[[Column104]:[Column118]],COLUMN(B4),0)</f>
        <v>0</v>
      </c>
      <c r="C6" s="58">
        <f>VLOOKUP($A6,Deck[[Column104]:[Column118]],COLUMN(C4),0)</f>
        <v>0</v>
      </c>
      <c r="D6" s="58">
        <f>VLOOKUP($A6,Deck[[Column104]:[Column118]],COLUMN(D4),0)</f>
        <v>0</v>
      </c>
      <c r="E6" s="58">
        <f>VLOOKUP($A6,Deck[[Column104]:[Column118]],COLUMN(E4),0)</f>
        <v>0</v>
      </c>
      <c r="F6" s="58">
        <f>VLOOKUP($A6,Deck[[Column104]:[Column118]],COLUMN(F4),0)</f>
        <v>0</v>
      </c>
      <c r="G6" s="58">
        <f>VLOOKUP($A6,Deck[[Column104]:[Column118]],COLUMN(G4),0)</f>
        <v>0</v>
      </c>
      <c r="H6" s="264">
        <f t="shared" si="0"/>
        <v>0</v>
      </c>
      <c r="I6" s="10">
        <f>VLOOKUP($A6,Deck[[Column104]:[Column118]],COLUMN(I4),0)</f>
        <v>20</v>
      </c>
      <c r="J6" s="10">
        <f>VLOOKUP($A6,Deck[[Column104]:[Column118]],COLUMN(J4),0)</f>
        <v>20</v>
      </c>
      <c r="K6" s="10">
        <f>VLOOKUP($A6,Deck[[Column104]:[Column118]],COLUMN(K4),0)</f>
        <v>1</v>
      </c>
      <c r="L6" s="10">
        <f>VLOOKUP($A6,Deck[[Column104]:[Column118]],COLUMN(L4),0)</f>
        <v>0</v>
      </c>
      <c r="M6" s="10">
        <f>VLOOKUP($A6,Deck[[Column104]:[Column118]],COLUMN(M4),0)</f>
        <v>0</v>
      </c>
      <c r="N6" s="10">
        <f>VLOOKUP($A6,Deck[[Column104]:[Column118]],COLUMN(N4),0)</f>
        <v>0</v>
      </c>
      <c r="O6" s="266">
        <f t="shared" si="1"/>
        <v>41</v>
      </c>
    </row>
    <row r="7" spans="1:15" ht="18" customHeight="1" thickBot="1" x14ac:dyDescent="0.35">
      <c r="A7" s="263" t="s">
        <v>40</v>
      </c>
      <c r="B7" s="58">
        <f>VLOOKUP($A7,Deck[[Column104]:[Column118]],COLUMN(B5),0)</f>
        <v>0</v>
      </c>
      <c r="C7" s="58">
        <f>VLOOKUP($A7,Deck[[Column104]:[Column118]],COLUMN(C5),0)</f>
        <v>0</v>
      </c>
      <c r="D7" s="58">
        <f>VLOOKUP($A7,Deck[[Column104]:[Column118]],COLUMN(D5),0)</f>
        <v>0</v>
      </c>
      <c r="E7" s="58">
        <f>VLOOKUP($A7,Deck[[Column104]:[Column118]],COLUMN(E5),0)</f>
        <v>0</v>
      </c>
      <c r="F7" s="58">
        <f>VLOOKUP($A7,Deck[[Column104]:[Column118]],COLUMN(F5),0)</f>
        <v>0</v>
      </c>
      <c r="G7" s="58">
        <f>VLOOKUP($A7,Deck[[Column104]:[Column118]],COLUMN(G5),0)</f>
        <v>0</v>
      </c>
      <c r="H7" s="264">
        <f t="shared" si="0"/>
        <v>0</v>
      </c>
      <c r="I7" s="10">
        <f>VLOOKUP($A7,Deck[[Column104]:[Column118]],COLUMN(I5),0)</f>
        <v>13</v>
      </c>
      <c r="J7" s="10">
        <f>VLOOKUP($A7,Deck[[Column104]:[Column118]],COLUMN(J5),0)</f>
        <v>8</v>
      </c>
      <c r="K7" s="10">
        <f>VLOOKUP($A7,Deck[[Column104]:[Column118]],COLUMN(K5),0)</f>
        <v>0</v>
      </c>
      <c r="L7" s="10">
        <f>VLOOKUP($A7,Deck[[Column104]:[Column118]],COLUMN(L5),0)</f>
        <v>0</v>
      </c>
      <c r="M7" s="10">
        <f>VLOOKUP($A7,Deck[[Column104]:[Column118]],COLUMN(M5),0)</f>
        <v>0</v>
      </c>
      <c r="N7" s="10">
        <f>VLOOKUP($A7,Deck[[Column104]:[Column118]],COLUMN(N5),0)</f>
        <v>0</v>
      </c>
      <c r="O7" s="266">
        <f t="shared" si="1"/>
        <v>21</v>
      </c>
    </row>
    <row r="8" spans="1:15" ht="18" customHeight="1" thickBot="1" x14ac:dyDescent="0.35">
      <c r="A8" s="263" t="s">
        <v>34</v>
      </c>
      <c r="B8" s="58">
        <f>VLOOKUP($A8,Deck[[Column104]:[Column118]],COLUMN(B6),0)</f>
        <v>0</v>
      </c>
      <c r="C8" s="58">
        <f>VLOOKUP($A8,Deck[[Column104]:[Column118]],COLUMN(C6),0)</f>
        <v>0</v>
      </c>
      <c r="D8" s="58">
        <f>VLOOKUP($A8,Deck[[Column104]:[Column118]],COLUMN(D6),0)</f>
        <v>0</v>
      </c>
      <c r="E8" s="58">
        <f>VLOOKUP($A8,Deck[[Column104]:[Column118]],COLUMN(E6),0)</f>
        <v>0</v>
      </c>
      <c r="F8" s="58">
        <f>VLOOKUP($A8,Deck[[Column104]:[Column118]],COLUMN(F6),0)</f>
        <v>0</v>
      </c>
      <c r="G8" s="58">
        <f>VLOOKUP($A8,Deck[[Column104]:[Column118]],COLUMN(G6),0)</f>
        <v>0</v>
      </c>
      <c r="H8" s="264">
        <f t="shared" si="0"/>
        <v>0</v>
      </c>
      <c r="I8" s="10">
        <f>VLOOKUP($A8,Deck[[Column104]:[Column118]],COLUMN(I6),0)</f>
        <v>4</v>
      </c>
      <c r="J8" s="10">
        <f>VLOOKUP($A8,Deck[[Column104]:[Column118]],COLUMN(J6),0)</f>
        <v>2</v>
      </c>
      <c r="K8" s="10">
        <f>VLOOKUP($A8,Deck[[Column104]:[Column118]],COLUMN(K6),0)</f>
        <v>0</v>
      </c>
      <c r="L8" s="10">
        <f>VLOOKUP($A8,Deck[[Column104]:[Column118]],COLUMN(L6),0)</f>
        <v>0</v>
      </c>
      <c r="M8" s="10">
        <f>VLOOKUP($A8,Deck[[Column104]:[Column118]],COLUMN(M6),0)</f>
        <v>0</v>
      </c>
      <c r="N8" s="10">
        <f>VLOOKUP($A8,Deck[[Column104]:[Column118]],COLUMN(N6),0)</f>
        <v>0</v>
      </c>
      <c r="O8" s="266">
        <f t="shared" si="1"/>
        <v>6</v>
      </c>
    </row>
    <row r="9" spans="1:15" ht="18" customHeight="1" thickBot="1" x14ac:dyDescent="0.35">
      <c r="A9" s="263" t="s">
        <v>38</v>
      </c>
      <c r="B9" s="58">
        <f>VLOOKUP($A9,Deck[[Column104]:[Column118]],COLUMN(B7),0)</f>
        <v>0</v>
      </c>
      <c r="C9" s="58">
        <f>VLOOKUP($A9,Deck[[Column104]:[Column118]],COLUMN(C7),0)</f>
        <v>0</v>
      </c>
      <c r="D9" s="58">
        <f>VLOOKUP($A9,Deck[[Column104]:[Column118]],COLUMN(D7),0)</f>
        <v>0</v>
      </c>
      <c r="E9" s="58">
        <f>VLOOKUP($A9,Deck[[Column104]:[Column118]],COLUMN(E7),0)</f>
        <v>0</v>
      </c>
      <c r="F9" s="58">
        <f>VLOOKUP($A9,Deck[[Column104]:[Column118]],COLUMN(F7),0)</f>
        <v>0</v>
      </c>
      <c r="G9" s="58">
        <f>VLOOKUP($A9,Deck[[Column104]:[Column118]],COLUMN(G7),0)</f>
        <v>0</v>
      </c>
      <c r="H9" s="264">
        <f t="shared" si="0"/>
        <v>0</v>
      </c>
      <c r="I9" s="10">
        <f>VLOOKUP($A9,Deck[[Column104]:[Column118]],COLUMN(I7),0)</f>
        <v>1</v>
      </c>
      <c r="J9" s="10">
        <f>VLOOKUP($A9,Deck[[Column104]:[Column118]],COLUMN(J7),0)</f>
        <v>2</v>
      </c>
      <c r="K9" s="10">
        <f>VLOOKUP($A9,Deck[[Column104]:[Column118]],COLUMN(K7),0)</f>
        <v>0</v>
      </c>
      <c r="L9" s="10">
        <f>VLOOKUP($A9,Deck[[Column104]:[Column118]],COLUMN(L7),0)</f>
        <v>0</v>
      </c>
      <c r="M9" s="10">
        <f>VLOOKUP($A9,Deck[[Column104]:[Column118]],COLUMN(M7),0)</f>
        <v>0</v>
      </c>
      <c r="N9" s="10">
        <f>VLOOKUP($A9,Deck[[Column104]:[Column118]],COLUMN(N7),0)</f>
        <v>0</v>
      </c>
      <c r="O9" s="266">
        <f t="shared" si="1"/>
        <v>3</v>
      </c>
    </row>
    <row r="10" spans="1:15" ht="18" customHeight="1" thickBot="1" x14ac:dyDescent="0.35">
      <c r="A10" s="263" t="s">
        <v>39</v>
      </c>
      <c r="B10" s="58">
        <f>VLOOKUP($A10,Deck[[Column104]:[Column118]],COLUMN(B8),0)</f>
        <v>0</v>
      </c>
      <c r="C10" s="58">
        <f>VLOOKUP($A10,Deck[[Column104]:[Column118]],COLUMN(C8),0)</f>
        <v>1</v>
      </c>
      <c r="D10" s="58">
        <f>VLOOKUP($A10,Deck[[Column104]:[Column118]],COLUMN(D8),0)</f>
        <v>0</v>
      </c>
      <c r="E10" s="58">
        <f>VLOOKUP($A10,Deck[[Column104]:[Column118]],COLUMN(E8),0)</f>
        <v>0</v>
      </c>
      <c r="F10" s="58">
        <f>VLOOKUP($A10,Deck[[Column104]:[Column118]],COLUMN(F8),0)</f>
        <v>0</v>
      </c>
      <c r="G10" s="58">
        <f>VLOOKUP($A10,Deck[[Column104]:[Column118]],COLUMN(G8),0)</f>
        <v>0</v>
      </c>
      <c r="H10" s="264">
        <f t="shared" si="0"/>
        <v>1</v>
      </c>
      <c r="I10" s="10">
        <f>VLOOKUP($A10,Deck[[Column104]:[Column118]],COLUMN(I8),0)</f>
        <v>0</v>
      </c>
      <c r="J10" s="10">
        <f>VLOOKUP($A10,Deck[[Column104]:[Column118]],COLUMN(J8),0)</f>
        <v>2</v>
      </c>
      <c r="K10" s="10">
        <f>VLOOKUP($A10,Deck[[Column104]:[Column118]],COLUMN(K8),0)</f>
        <v>0</v>
      </c>
      <c r="L10" s="10">
        <f>VLOOKUP($A10,Deck[[Column104]:[Column118]],COLUMN(L8),0)</f>
        <v>0</v>
      </c>
      <c r="M10" s="10">
        <f>VLOOKUP($A10,Deck[[Column104]:[Column118]],COLUMN(M8),0)</f>
        <v>0</v>
      </c>
      <c r="N10" s="10">
        <f>VLOOKUP($A10,Deck[[Column104]:[Column118]],COLUMN(N8),0)</f>
        <v>0</v>
      </c>
      <c r="O10" s="266">
        <f t="shared" si="1"/>
        <v>2</v>
      </c>
    </row>
    <row r="11" spans="1:15" ht="18" customHeight="1" thickBot="1" x14ac:dyDescent="0.35">
      <c r="A11" s="263" t="s">
        <v>37</v>
      </c>
      <c r="B11" s="58">
        <f>VLOOKUP($A11,Deck[[Column104]:[Column118]],COLUMN(B9),0)</f>
        <v>0</v>
      </c>
      <c r="C11" s="58">
        <f>VLOOKUP($A11,Deck[[Column104]:[Column118]],COLUMN(C9),0)</f>
        <v>0</v>
      </c>
      <c r="D11" s="58">
        <f>VLOOKUP($A11,Deck[[Column104]:[Column118]],COLUMN(D9),0)</f>
        <v>2</v>
      </c>
      <c r="E11" s="58">
        <f>VLOOKUP($A11,Deck[[Column104]:[Column118]],COLUMN(E9),0)</f>
        <v>0</v>
      </c>
      <c r="F11" s="58">
        <f>VLOOKUP($A11,Deck[[Column104]:[Column118]],COLUMN(F9),0)</f>
        <v>0</v>
      </c>
      <c r="G11" s="58">
        <f>VLOOKUP($A11,Deck[[Column104]:[Column118]],COLUMN(G9),0)</f>
        <v>0</v>
      </c>
      <c r="H11" s="264">
        <f t="shared" si="0"/>
        <v>2</v>
      </c>
      <c r="I11" s="10">
        <f>VLOOKUP($A11,Deck[[Column104]:[Column118]],COLUMN(I9),0)</f>
        <v>0</v>
      </c>
      <c r="J11" s="10">
        <f>VLOOKUP($A11,Deck[[Column104]:[Column118]],COLUMN(J9),0)</f>
        <v>1</v>
      </c>
      <c r="K11" s="10">
        <f>VLOOKUP($A11,Deck[[Column104]:[Column118]],COLUMN(K9),0)</f>
        <v>0</v>
      </c>
      <c r="L11" s="10">
        <f>VLOOKUP($A11,Deck[[Column104]:[Column118]],COLUMN(L9),0)</f>
        <v>0</v>
      </c>
      <c r="M11" s="10">
        <f>VLOOKUP($A11,Deck[[Column104]:[Column118]],COLUMN(M9),0)</f>
        <v>0</v>
      </c>
      <c r="N11" s="10">
        <f>VLOOKUP($A11,Deck[[Column104]:[Column118]],COLUMN(N9),0)</f>
        <v>0</v>
      </c>
      <c r="O11" s="266">
        <f t="shared" si="1"/>
        <v>1</v>
      </c>
    </row>
    <row r="12" spans="1:15" ht="18" customHeight="1" thickBot="1" x14ac:dyDescent="0.35">
      <c r="A12" s="263" t="s">
        <v>307</v>
      </c>
      <c r="B12" s="58">
        <f>VLOOKUP($A12,Deck[[Column104]:[Column118]],COLUMN(B10),0)</f>
        <v>0</v>
      </c>
      <c r="C12" s="58">
        <f>VLOOKUP($A12,Deck[[Column104]:[Column118]],COLUMN(C10),0)</f>
        <v>11</v>
      </c>
      <c r="D12" s="58">
        <f>VLOOKUP($A12,Deck[[Column104]:[Column118]],COLUMN(D10),0)</f>
        <v>0</v>
      </c>
      <c r="E12" s="58">
        <f>VLOOKUP($A12,Deck[[Column104]:[Column118]],COLUMN(E10),0)</f>
        <v>0</v>
      </c>
      <c r="F12" s="58">
        <f>VLOOKUP($A12,Deck[[Column104]:[Column118]],COLUMN(F10),0)</f>
        <v>0</v>
      </c>
      <c r="G12" s="58">
        <f>VLOOKUP($A12,Deck[[Column104]:[Column118]],COLUMN(G10),0)</f>
        <v>0</v>
      </c>
      <c r="H12" s="264">
        <f t="shared" si="0"/>
        <v>11</v>
      </c>
      <c r="I12" s="10">
        <f>VLOOKUP($A12,Deck[[Column104]:[Column118]],COLUMN(I10),0)</f>
        <v>0</v>
      </c>
      <c r="J12" s="10">
        <f>VLOOKUP($A12,Deck[[Column104]:[Column118]],COLUMN(J10),0)</f>
        <v>0</v>
      </c>
      <c r="K12" s="10">
        <f>VLOOKUP($A12,Deck[[Column104]:[Column118]],COLUMN(K10),0)</f>
        <v>0</v>
      </c>
      <c r="L12" s="10">
        <f>VLOOKUP($A12,Deck[[Column104]:[Column118]],COLUMN(L10),0)</f>
        <v>0</v>
      </c>
      <c r="M12" s="10">
        <f>VLOOKUP($A12,Deck[[Column104]:[Column118]],COLUMN(M10),0)</f>
        <v>0</v>
      </c>
      <c r="N12" s="10">
        <f>VLOOKUP($A12,Deck[[Column104]:[Column118]],COLUMN(N10),0)</f>
        <v>0</v>
      </c>
      <c r="O12" s="266">
        <f t="shared" si="1"/>
        <v>0</v>
      </c>
    </row>
    <row r="13" spans="1:15" ht="18" customHeight="1" thickBot="1" x14ac:dyDescent="0.35">
      <c r="A13" s="263" t="s">
        <v>309</v>
      </c>
      <c r="B13" s="58">
        <f>VLOOKUP($A13,Deck[[Column104]:[Column118]],COLUMN(B11),0)</f>
        <v>0</v>
      </c>
      <c r="C13" s="58">
        <f>VLOOKUP($A13,Deck[[Column104]:[Column118]],COLUMN(C11),0)</f>
        <v>6</v>
      </c>
      <c r="D13" s="58">
        <f>VLOOKUP($A13,Deck[[Column104]:[Column118]],COLUMN(D11),0)</f>
        <v>0</v>
      </c>
      <c r="E13" s="58">
        <f>VLOOKUP($A13,Deck[[Column104]:[Column118]],COLUMN(E11),0)</f>
        <v>0</v>
      </c>
      <c r="F13" s="58">
        <f>VLOOKUP($A13,Deck[[Column104]:[Column118]],COLUMN(F11),0)</f>
        <v>0</v>
      </c>
      <c r="G13" s="58">
        <f>VLOOKUP($A13,Deck[[Column104]:[Column118]],COLUMN(G11),0)</f>
        <v>0</v>
      </c>
      <c r="H13" s="264">
        <f t="shared" si="0"/>
        <v>6</v>
      </c>
      <c r="I13" s="10">
        <f>VLOOKUP($A13,Deck[[Column104]:[Column118]],COLUMN(I11),0)</f>
        <v>0</v>
      </c>
      <c r="J13" s="10">
        <f>VLOOKUP($A13,Deck[[Column104]:[Column118]],COLUMN(J11),0)</f>
        <v>0</v>
      </c>
      <c r="K13" s="10">
        <f>VLOOKUP($A13,Deck[[Column104]:[Column118]],COLUMN(K11),0)</f>
        <v>0</v>
      </c>
      <c r="L13" s="10">
        <f>VLOOKUP($A13,Deck[[Column104]:[Column118]],COLUMN(L11),0)</f>
        <v>0</v>
      </c>
      <c r="M13" s="10">
        <f>VLOOKUP($A13,Deck[[Column104]:[Column118]],COLUMN(M11),0)</f>
        <v>0</v>
      </c>
      <c r="N13" s="10">
        <f>VLOOKUP($A13,Deck[[Column104]:[Column118]],COLUMN(N11),0)</f>
        <v>0</v>
      </c>
      <c r="O13" s="266">
        <f t="shared" si="1"/>
        <v>0</v>
      </c>
    </row>
    <row r="14" spans="1:15" ht="18" customHeight="1" thickBot="1" x14ac:dyDescent="0.35">
      <c r="A14" s="263" t="s">
        <v>335</v>
      </c>
      <c r="B14" s="58">
        <f>VLOOKUP($A14,Deck[[Column104]:[Column118]],COLUMN(B12),0)</f>
        <v>36</v>
      </c>
      <c r="C14" s="58">
        <f>VLOOKUP($A14,Deck[[Column104]:[Column118]],COLUMN(C12),0)</f>
        <v>24</v>
      </c>
      <c r="D14" s="58">
        <f>VLOOKUP($A14,Deck[[Column104]:[Column118]],COLUMN(D12),0)</f>
        <v>0</v>
      </c>
      <c r="E14" s="58">
        <f>VLOOKUP($A14,Deck[[Column104]:[Column118]],COLUMN(E12),0)</f>
        <v>0</v>
      </c>
      <c r="F14" s="58">
        <f>VLOOKUP($A14,Deck[[Column104]:[Column118]],COLUMN(F12),0)</f>
        <v>0</v>
      </c>
      <c r="G14" s="58">
        <f>VLOOKUP($A14,Deck[[Column104]:[Column118]],COLUMN(G12),0)</f>
        <v>0</v>
      </c>
      <c r="H14" s="264">
        <f t="shared" si="0"/>
        <v>60</v>
      </c>
      <c r="I14" s="10">
        <f>VLOOKUP($A14,Deck[[Column104]:[Column118]],COLUMN(I12),0)</f>
        <v>0</v>
      </c>
      <c r="J14" s="10">
        <f>VLOOKUP($A14,Deck[[Column104]:[Column118]],COLUMN(J12),0)</f>
        <v>0</v>
      </c>
      <c r="K14" s="10">
        <f>VLOOKUP($A14,Deck[[Column104]:[Column118]],COLUMN(K12),0)</f>
        <v>0</v>
      </c>
      <c r="L14" s="10">
        <f>VLOOKUP($A14,Deck[[Column104]:[Column118]],COLUMN(L12),0)</f>
        <v>0</v>
      </c>
      <c r="M14" s="10">
        <f>VLOOKUP($A14,Deck[[Column104]:[Column118]],COLUMN(M12),0)</f>
        <v>0</v>
      </c>
      <c r="N14" s="10">
        <f>VLOOKUP($A14,Deck[[Column104]:[Column118]],COLUMN(N12),0)</f>
        <v>0</v>
      </c>
      <c r="O14" s="266">
        <f t="shared" si="1"/>
        <v>0</v>
      </c>
    </row>
    <row r="15" spans="1:15" ht="18" customHeight="1" thickBot="1" x14ac:dyDescent="0.35">
      <c r="A15" s="263" t="s">
        <v>336</v>
      </c>
      <c r="B15" s="58">
        <f>VLOOKUP($A15,Deck[[Column104]:[Column118]],COLUMN(B13),0)</f>
        <v>20</v>
      </c>
      <c r="C15" s="58">
        <f>VLOOKUP($A15,Deck[[Column104]:[Column118]],COLUMN(C13),0)</f>
        <v>14</v>
      </c>
      <c r="D15" s="58">
        <f>VLOOKUP($A15,Deck[[Column104]:[Column118]],COLUMN(D13),0)</f>
        <v>2</v>
      </c>
      <c r="E15" s="58">
        <f>VLOOKUP($A15,Deck[[Column104]:[Column118]],COLUMN(E13),0)</f>
        <v>0</v>
      </c>
      <c r="F15" s="58">
        <f>VLOOKUP($A15,Deck[[Column104]:[Column118]],COLUMN(F13),0)</f>
        <v>0</v>
      </c>
      <c r="G15" s="58">
        <f>VLOOKUP($A15,Deck[[Column104]:[Column118]],COLUMN(G13),0)</f>
        <v>0</v>
      </c>
      <c r="H15" s="264">
        <f t="shared" si="0"/>
        <v>36</v>
      </c>
      <c r="I15" s="10">
        <f>VLOOKUP($A15,Deck[[Column104]:[Column118]],COLUMN(I13),0)</f>
        <v>0</v>
      </c>
      <c r="J15" s="10">
        <f>VLOOKUP($A15,Deck[[Column104]:[Column118]],COLUMN(J13),0)</f>
        <v>0</v>
      </c>
      <c r="K15" s="10">
        <f>VLOOKUP($A15,Deck[[Column104]:[Column118]],COLUMN(K13),0)</f>
        <v>0</v>
      </c>
      <c r="L15" s="10">
        <f>VLOOKUP($A15,Deck[[Column104]:[Column118]],COLUMN(L13),0)</f>
        <v>0</v>
      </c>
      <c r="M15" s="10">
        <f>VLOOKUP($A15,Deck[[Column104]:[Column118]],COLUMN(M13),0)</f>
        <v>0</v>
      </c>
      <c r="N15" s="10">
        <f>VLOOKUP($A15,Deck[[Column104]:[Column118]],COLUMN(N13),0)</f>
        <v>0</v>
      </c>
      <c r="O15" s="266">
        <f t="shared" si="1"/>
        <v>0</v>
      </c>
    </row>
    <row r="16" spans="1:15" ht="18" customHeight="1" thickBot="1" x14ac:dyDescent="0.35">
      <c r="A16" s="263" t="s">
        <v>337</v>
      </c>
      <c r="B16" s="58">
        <f>VLOOKUP($A16,Deck[[Column104]:[Column118]],COLUMN(B14),0)</f>
        <v>3</v>
      </c>
      <c r="C16" s="58">
        <f>VLOOKUP($A16,Deck[[Column104]:[Column118]],COLUMN(C14),0)</f>
        <v>6</v>
      </c>
      <c r="D16" s="58">
        <f>VLOOKUP($A16,Deck[[Column104]:[Column118]],COLUMN(D14),0)</f>
        <v>4</v>
      </c>
      <c r="E16" s="58">
        <f>VLOOKUP($A16,Deck[[Column104]:[Column118]],COLUMN(E14),0)</f>
        <v>0</v>
      </c>
      <c r="F16" s="58">
        <f>VLOOKUP($A16,Deck[[Column104]:[Column118]],COLUMN(F14),0)</f>
        <v>0</v>
      </c>
      <c r="G16" s="58">
        <f>VLOOKUP($A16,Deck[[Column104]:[Column118]],COLUMN(G14),0)</f>
        <v>0</v>
      </c>
      <c r="H16" s="264">
        <f t="shared" si="0"/>
        <v>13</v>
      </c>
      <c r="I16" s="10">
        <f>VLOOKUP($A16,Deck[[Column104]:[Column118]],COLUMN(I14),0)</f>
        <v>0</v>
      </c>
      <c r="J16" s="10">
        <f>VLOOKUP($A16,Deck[[Column104]:[Column118]],COLUMN(J14),0)</f>
        <v>0</v>
      </c>
      <c r="K16" s="10">
        <f>VLOOKUP($A16,Deck[[Column104]:[Column118]],COLUMN(K14),0)</f>
        <v>0</v>
      </c>
      <c r="L16" s="10">
        <f>VLOOKUP($A16,Deck[[Column104]:[Column118]],COLUMN(L14),0)</f>
        <v>0</v>
      </c>
      <c r="M16" s="10">
        <f>VLOOKUP($A16,Deck[[Column104]:[Column118]],COLUMN(M14),0)</f>
        <v>0</v>
      </c>
      <c r="N16" s="10">
        <f>VLOOKUP($A16,Deck[[Column104]:[Column118]],COLUMN(N14),0)</f>
        <v>0</v>
      </c>
      <c r="O16" s="266">
        <f t="shared" si="1"/>
        <v>0</v>
      </c>
    </row>
    <row r="17" spans="1:15" ht="18" customHeight="1" thickBot="1" x14ac:dyDescent="0.35">
      <c r="A17" s="263" t="s">
        <v>338</v>
      </c>
      <c r="B17" s="58">
        <f>VLOOKUP($A17,Deck[[Column104]:[Column118]],COLUMN(B15),0)</f>
        <v>0</v>
      </c>
      <c r="C17" s="58">
        <f>VLOOKUP($A17,Deck[[Column104]:[Column118]],COLUMN(C15),0)</f>
        <v>2</v>
      </c>
      <c r="D17" s="58">
        <f>VLOOKUP($A17,Deck[[Column104]:[Column118]],COLUMN(D15),0)</f>
        <v>0</v>
      </c>
      <c r="E17" s="58">
        <f>VLOOKUP($A17,Deck[[Column104]:[Column118]],COLUMN(E15),0)</f>
        <v>0</v>
      </c>
      <c r="F17" s="58">
        <f>VLOOKUP($A17,Deck[[Column104]:[Column118]],COLUMN(F15),0)</f>
        <v>0</v>
      </c>
      <c r="G17" s="58">
        <f>VLOOKUP($A17,Deck[[Column104]:[Column118]],COLUMN(G15),0)</f>
        <v>0</v>
      </c>
      <c r="H17" s="264">
        <f t="shared" si="0"/>
        <v>2</v>
      </c>
      <c r="I17" s="10">
        <f>VLOOKUP($A17,Deck[[Column104]:[Column118]],COLUMN(I15),0)</f>
        <v>0</v>
      </c>
      <c r="J17" s="10">
        <f>VLOOKUP($A17,Deck[[Column104]:[Column118]],COLUMN(J15),0)</f>
        <v>0</v>
      </c>
      <c r="K17" s="10">
        <f>VLOOKUP($A17,Deck[[Column104]:[Column118]],COLUMN(K15),0)</f>
        <v>0</v>
      </c>
      <c r="L17" s="10">
        <f>VLOOKUP($A17,Deck[[Column104]:[Column118]],COLUMN(L15),0)</f>
        <v>0</v>
      </c>
      <c r="M17" s="10">
        <f>VLOOKUP($A17,Deck[[Column104]:[Column118]],COLUMN(M15),0)</f>
        <v>0</v>
      </c>
      <c r="N17" s="10">
        <f>VLOOKUP($A17,Deck[[Column104]:[Column118]],COLUMN(N15),0)</f>
        <v>0</v>
      </c>
      <c r="O17" s="266">
        <f t="shared" si="1"/>
        <v>0</v>
      </c>
    </row>
    <row r="18" spans="1:15" ht="18" customHeight="1" thickBot="1" x14ac:dyDescent="0.35">
      <c r="A18" s="263" t="s">
        <v>339</v>
      </c>
      <c r="B18" s="58">
        <f>VLOOKUP($A18,Deck[[Column104]:[Column118]],COLUMN(B16),0)</f>
        <v>0</v>
      </c>
      <c r="C18" s="58">
        <f>VLOOKUP($A18,Deck[[Column104]:[Column118]],COLUMN(C16),0)</f>
        <v>4</v>
      </c>
      <c r="D18" s="58">
        <f>VLOOKUP($A18,Deck[[Column104]:[Column118]],COLUMN(D16),0)</f>
        <v>0</v>
      </c>
      <c r="E18" s="58">
        <f>VLOOKUP($A18,Deck[[Column104]:[Column118]],COLUMN(E16),0)</f>
        <v>0</v>
      </c>
      <c r="F18" s="58">
        <f>VLOOKUP($A18,Deck[[Column104]:[Column118]],COLUMN(F16),0)</f>
        <v>0</v>
      </c>
      <c r="G18" s="58">
        <f>VLOOKUP($A18,Deck[[Column104]:[Column118]],COLUMN(G16),0)</f>
        <v>0</v>
      </c>
      <c r="H18" s="264">
        <f t="shared" si="0"/>
        <v>4</v>
      </c>
      <c r="I18" s="10">
        <f>VLOOKUP($A18,Deck[[Column104]:[Column118]],COLUMN(I16),0)</f>
        <v>0</v>
      </c>
      <c r="J18" s="10">
        <f>VLOOKUP($A18,Deck[[Column104]:[Column118]],COLUMN(J16),0)</f>
        <v>0</v>
      </c>
      <c r="K18" s="10">
        <f>VLOOKUP($A18,Deck[[Column104]:[Column118]],COLUMN(K16),0)</f>
        <v>0</v>
      </c>
      <c r="L18" s="10">
        <f>VLOOKUP($A18,Deck[[Column104]:[Column118]],COLUMN(L16),0)</f>
        <v>0</v>
      </c>
      <c r="M18" s="10">
        <f>VLOOKUP($A18,Deck[[Column104]:[Column118]],COLUMN(M16),0)</f>
        <v>0</v>
      </c>
      <c r="N18" s="10">
        <f>VLOOKUP($A18,Deck[[Column104]:[Column118]],COLUMN(N16),0)</f>
        <v>0</v>
      </c>
      <c r="O18" s="266">
        <f t="shared" si="1"/>
        <v>0</v>
      </c>
    </row>
    <row r="19" spans="1:15" s="2" customFormat="1" ht="18" customHeight="1" x14ac:dyDescent="0.3">
      <c r="A19" s="78" t="s">
        <v>41</v>
      </c>
      <c r="B19" s="79">
        <f>SUM(B4:B18)</f>
        <v>59</v>
      </c>
      <c r="C19" s="79">
        <f t="shared" ref="C19:O19" si="2">SUM(C4:C18)</f>
        <v>75</v>
      </c>
      <c r="D19" s="79">
        <f t="shared" si="2"/>
        <v>8</v>
      </c>
      <c r="E19" s="79">
        <f t="shared" si="2"/>
        <v>0</v>
      </c>
      <c r="F19" s="79">
        <f t="shared" si="2"/>
        <v>0</v>
      </c>
      <c r="G19" s="79">
        <f t="shared" si="2"/>
        <v>0</v>
      </c>
      <c r="H19" s="265">
        <f t="shared" si="2"/>
        <v>142</v>
      </c>
      <c r="I19" s="79">
        <f t="shared" si="2"/>
        <v>91</v>
      </c>
      <c r="J19" s="79">
        <f t="shared" si="2"/>
        <v>64</v>
      </c>
      <c r="K19" s="79">
        <f t="shared" si="2"/>
        <v>2</v>
      </c>
      <c r="L19" s="79">
        <f t="shared" si="2"/>
        <v>0</v>
      </c>
      <c r="M19" s="79">
        <f t="shared" si="2"/>
        <v>0</v>
      </c>
      <c r="N19" s="79">
        <f t="shared" si="2"/>
        <v>0</v>
      </c>
      <c r="O19" s="265">
        <f t="shared" si="2"/>
        <v>157</v>
      </c>
    </row>
  </sheetData>
  <mergeCells count="3">
    <mergeCell ref="B2:H2"/>
    <mergeCell ref="I2:O2"/>
    <mergeCell ref="A1:O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AE626-65AC-47A6-A936-A8EFC8C190B1}">
  <sheetPr codeName="Sheet8"/>
  <dimension ref="A1:DT34"/>
  <sheetViews>
    <sheetView topLeftCell="AI12" workbookViewId="0">
      <selection activeCell="Y31" sqref="Y31"/>
    </sheetView>
  </sheetViews>
  <sheetFormatPr defaultRowHeight="14.4" x14ac:dyDescent="0.3"/>
  <cols>
    <col min="1" max="1" width="16.5546875" bestFit="1" customWidth="1"/>
    <col min="2" max="2" width="30.77734375" bestFit="1" customWidth="1"/>
    <col min="3" max="3" width="10.44140625" bestFit="1" customWidth="1"/>
    <col min="4" max="4" width="11" bestFit="1" customWidth="1"/>
    <col min="5" max="9" width="10.44140625" bestFit="1" customWidth="1"/>
    <col min="10" max="26" width="11.44140625" bestFit="1" customWidth="1"/>
    <col min="27" max="27" width="16.5546875" bestFit="1" customWidth="1"/>
    <col min="28" max="28" width="11.44140625" bestFit="1" customWidth="1"/>
    <col min="29" max="29" width="14.44140625" bestFit="1" customWidth="1"/>
    <col min="30" max="30" width="17.21875" bestFit="1" customWidth="1"/>
    <col min="31" max="31" width="17.6640625" bestFit="1" customWidth="1"/>
    <col min="32" max="32" width="18.109375" bestFit="1" customWidth="1"/>
    <col min="33" max="33" width="20.6640625" bestFit="1" customWidth="1"/>
    <col min="34" max="34" width="17.44140625" bestFit="1" customWidth="1"/>
    <col min="35" max="36" width="11.44140625" bestFit="1" customWidth="1"/>
    <col min="37" max="37" width="17.21875" bestFit="1" customWidth="1"/>
    <col min="38" max="38" width="17.6640625" bestFit="1" customWidth="1"/>
    <col min="39" max="39" width="18.109375" bestFit="1" customWidth="1"/>
    <col min="40" max="40" width="11.44140625" bestFit="1" customWidth="1"/>
    <col min="41" max="41" width="16.88671875" bestFit="1" customWidth="1"/>
    <col min="42" max="42" width="11.44140625" bestFit="1" customWidth="1"/>
    <col min="43" max="43" width="16.5546875" bestFit="1" customWidth="1"/>
    <col min="44" max="47" width="11.44140625" bestFit="1" customWidth="1"/>
    <col min="48" max="48" width="12" customWidth="1"/>
    <col min="49" max="51" width="11.44140625" bestFit="1" customWidth="1"/>
    <col min="52" max="52" width="12" customWidth="1"/>
    <col min="53" max="56" width="11.44140625" bestFit="1" customWidth="1"/>
    <col min="57" max="57" width="12" customWidth="1"/>
    <col min="58" max="60" width="11.44140625" bestFit="1" customWidth="1"/>
    <col min="61" max="61" width="12" customWidth="1"/>
    <col min="62" max="62" width="11.44140625" bestFit="1" customWidth="1"/>
    <col min="63" max="63" width="16.5546875" bestFit="1" customWidth="1"/>
    <col min="64" max="83" width="11.44140625" bestFit="1" customWidth="1"/>
    <col min="84" max="84" width="16.5546875" bestFit="1" customWidth="1"/>
    <col min="85" max="85" width="13.88671875" bestFit="1" customWidth="1"/>
    <col min="86" max="87" width="11.44140625" bestFit="1" customWidth="1"/>
    <col min="88" max="88" width="12.109375" bestFit="1" customWidth="1"/>
    <col min="89" max="89" width="13.33203125" bestFit="1" customWidth="1"/>
    <col min="90" max="90" width="11.44140625" bestFit="1" customWidth="1"/>
    <col min="91" max="91" width="13.21875" bestFit="1" customWidth="1"/>
    <col min="92" max="92" width="13.5546875" bestFit="1" customWidth="1"/>
    <col min="93" max="93" width="11.44140625" bestFit="1" customWidth="1"/>
    <col min="94" max="94" width="13.88671875" bestFit="1" customWidth="1"/>
    <col min="95" max="96" width="11.44140625" bestFit="1" customWidth="1"/>
    <col min="97" max="97" width="12.109375" bestFit="1" customWidth="1"/>
    <col min="98" max="98" width="13.33203125" bestFit="1" customWidth="1"/>
    <col min="99" max="99" width="11.44140625" bestFit="1" customWidth="1"/>
    <col min="100" max="100" width="13.21875" bestFit="1" customWidth="1"/>
    <col min="101" max="101" width="13.5546875" bestFit="1" customWidth="1"/>
    <col min="102" max="124" width="12.44140625" bestFit="1" customWidth="1"/>
    <col min="125" max="128" width="12.88671875" customWidth="1"/>
  </cols>
  <sheetData>
    <row r="1" spans="1:124" x14ac:dyDescent="0.3">
      <c r="A1" t="s">
        <v>117</v>
      </c>
      <c r="B1" t="s">
        <v>118</v>
      </c>
      <c r="C1" t="s">
        <v>119</v>
      </c>
      <c r="D1" t="s">
        <v>120</v>
      </c>
      <c r="E1" t="s">
        <v>121</v>
      </c>
      <c r="F1" t="s">
        <v>122</v>
      </c>
      <c r="G1" t="s">
        <v>123</v>
      </c>
      <c r="H1" t="s">
        <v>124</v>
      </c>
      <c r="I1" t="s">
        <v>125</v>
      </c>
      <c r="J1" t="s">
        <v>126</v>
      </c>
      <c r="K1" t="s">
        <v>127</v>
      </c>
      <c r="L1" t="s">
        <v>128</v>
      </c>
      <c r="M1" t="s">
        <v>129</v>
      </c>
      <c r="N1" t="s">
        <v>130</v>
      </c>
      <c r="O1" t="s">
        <v>131</v>
      </c>
      <c r="P1" t="s">
        <v>132</v>
      </c>
      <c r="Q1" t="s">
        <v>133</v>
      </c>
      <c r="R1" t="s">
        <v>134</v>
      </c>
      <c r="S1" t="s">
        <v>135</v>
      </c>
      <c r="T1" t="s">
        <v>136</v>
      </c>
      <c r="U1" t="s">
        <v>137</v>
      </c>
      <c r="V1" t="s">
        <v>138</v>
      </c>
      <c r="W1" t="s">
        <v>139</v>
      </c>
      <c r="X1" t="s">
        <v>140</v>
      </c>
      <c r="Y1" t="s">
        <v>141</v>
      </c>
      <c r="Z1" t="s">
        <v>142</v>
      </c>
      <c r="AA1" t="s">
        <v>143</v>
      </c>
      <c r="AB1" t="s">
        <v>144</v>
      </c>
      <c r="AC1" t="s">
        <v>145</v>
      </c>
      <c r="AD1" t="s">
        <v>146</v>
      </c>
      <c r="AE1" t="s">
        <v>147</v>
      </c>
      <c r="AF1" t="s">
        <v>148</v>
      </c>
      <c r="AG1" t="s">
        <v>149</v>
      </c>
      <c r="AH1" t="s">
        <v>150</v>
      </c>
      <c r="AI1" t="s">
        <v>151</v>
      </c>
      <c r="AJ1" t="s">
        <v>152</v>
      </c>
      <c r="AK1" t="s">
        <v>153</v>
      </c>
      <c r="AL1" t="s">
        <v>154</v>
      </c>
      <c r="AM1" t="s">
        <v>155</v>
      </c>
      <c r="AN1" t="s">
        <v>156</v>
      </c>
      <c r="AO1" t="s">
        <v>157</v>
      </c>
      <c r="AP1" t="s">
        <v>158</v>
      </c>
      <c r="AQ1" t="s">
        <v>159</v>
      </c>
      <c r="AR1" t="s">
        <v>160</v>
      </c>
      <c r="AS1" t="s">
        <v>161</v>
      </c>
      <c r="AT1" t="s">
        <v>162</v>
      </c>
      <c r="AU1" t="s">
        <v>163</v>
      </c>
      <c r="AV1" t="s">
        <v>164</v>
      </c>
      <c r="AW1" t="s">
        <v>165</v>
      </c>
      <c r="AX1" t="s">
        <v>166</v>
      </c>
      <c r="AY1" t="s">
        <v>167</v>
      </c>
      <c r="AZ1" t="s">
        <v>168</v>
      </c>
      <c r="BA1" t="s">
        <v>169</v>
      </c>
      <c r="BB1" t="s">
        <v>170</v>
      </c>
      <c r="BC1" t="s">
        <v>171</v>
      </c>
      <c r="BD1" t="s">
        <v>172</v>
      </c>
      <c r="BE1" t="s">
        <v>173</v>
      </c>
      <c r="BF1" t="s">
        <v>174</v>
      </c>
      <c r="BG1" t="s">
        <v>175</v>
      </c>
      <c r="BH1" t="s">
        <v>176</v>
      </c>
      <c r="BI1" t="s">
        <v>177</v>
      </c>
      <c r="BJ1" t="s">
        <v>178</v>
      </c>
      <c r="BK1" t="s">
        <v>179</v>
      </c>
      <c r="BL1" t="s">
        <v>180</v>
      </c>
      <c r="BM1" t="s">
        <v>181</v>
      </c>
      <c r="BN1" t="s">
        <v>182</v>
      </c>
      <c r="BO1" t="s">
        <v>183</v>
      </c>
      <c r="BP1" t="s">
        <v>184</v>
      </c>
      <c r="BQ1" t="s">
        <v>185</v>
      </c>
      <c r="BR1" t="s">
        <v>186</v>
      </c>
      <c r="BS1" t="s">
        <v>187</v>
      </c>
      <c r="BT1" t="s">
        <v>188</v>
      </c>
      <c r="BU1" t="s">
        <v>189</v>
      </c>
      <c r="BV1" t="s">
        <v>190</v>
      </c>
      <c r="BW1" t="s">
        <v>191</v>
      </c>
      <c r="BX1" t="s">
        <v>192</v>
      </c>
      <c r="BY1" t="s">
        <v>193</v>
      </c>
      <c r="BZ1" t="s">
        <v>194</v>
      </c>
      <c r="CA1" t="s">
        <v>195</v>
      </c>
      <c r="CB1" t="s">
        <v>196</v>
      </c>
      <c r="CC1" t="s">
        <v>197</v>
      </c>
      <c r="CD1" t="s">
        <v>198</v>
      </c>
      <c r="CE1" t="s">
        <v>199</v>
      </c>
      <c r="CF1" t="s">
        <v>200</v>
      </c>
      <c r="CG1" t="s">
        <v>201</v>
      </c>
      <c r="CH1" t="s">
        <v>202</v>
      </c>
      <c r="CI1" t="s">
        <v>203</v>
      </c>
      <c r="CJ1" t="s">
        <v>204</v>
      </c>
      <c r="CK1" t="s">
        <v>205</v>
      </c>
      <c r="CL1" t="s">
        <v>206</v>
      </c>
      <c r="CM1" t="s">
        <v>207</v>
      </c>
      <c r="CN1" t="s">
        <v>208</v>
      </c>
      <c r="CO1" t="s">
        <v>209</v>
      </c>
      <c r="CP1" t="s">
        <v>210</v>
      </c>
      <c r="CQ1" t="s">
        <v>211</v>
      </c>
      <c r="CR1" t="s">
        <v>212</v>
      </c>
      <c r="CS1" t="s">
        <v>213</v>
      </c>
      <c r="CT1" t="s">
        <v>214</v>
      </c>
      <c r="CU1" t="s">
        <v>215</v>
      </c>
      <c r="CV1" t="s">
        <v>216</v>
      </c>
      <c r="CW1" t="s">
        <v>217</v>
      </c>
      <c r="CX1" t="s">
        <v>218</v>
      </c>
      <c r="CY1" t="s">
        <v>219</v>
      </c>
      <c r="CZ1" t="s">
        <v>220</v>
      </c>
      <c r="DA1" t="s">
        <v>221</v>
      </c>
      <c r="DB1" t="s">
        <v>222</v>
      </c>
      <c r="DC1" t="s">
        <v>223</v>
      </c>
      <c r="DD1" t="s">
        <v>224</v>
      </c>
      <c r="DE1" t="s">
        <v>225</v>
      </c>
      <c r="DF1" t="s">
        <v>226</v>
      </c>
      <c r="DG1" t="s">
        <v>227</v>
      </c>
      <c r="DH1" t="s">
        <v>228</v>
      </c>
      <c r="DI1" t="s">
        <v>229</v>
      </c>
      <c r="DJ1" t="s">
        <v>230</v>
      </c>
      <c r="DK1" t="s">
        <v>231</v>
      </c>
      <c r="DL1" t="s">
        <v>295</v>
      </c>
      <c r="DM1" t="s">
        <v>296</v>
      </c>
      <c r="DN1" t="s">
        <v>297</v>
      </c>
      <c r="DO1" t="s">
        <v>282</v>
      </c>
      <c r="DP1" t="s">
        <v>283</v>
      </c>
      <c r="DQ1" t="s">
        <v>289</v>
      </c>
      <c r="DR1" t="s">
        <v>290</v>
      </c>
      <c r="DS1" t="s">
        <v>291</v>
      </c>
      <c r="DT1" t="s">
        <v>292</v>
      </c>
    </row>
    <row r="2" spans="1:124" x14ac:dyDescent="0.3">
      <c r="A2" t="s">
        <v>232</v>
      </c>
      <c r="AC2" t="s">
        <v>12</v>
      </c>
      <c r="AD2">
        <v>46082</v>
      </c>
      <c r="AE2">
        <v>46086</v>
      </c>
      <c r="AJ2">
        <v>5</v>
      </c>
      <c r="AK2" t="s">
        <v>233</v>
      </c>
      <c r="AL2">
        <v>30</v>
      </c>
    </row>
    <row r="3" spans="1:124" x14ac:dyDescent="0.3">
      <c r="A3" t="s">
        <v>234</v>
      </c>
      <c r="B3" t="s">
        <v>235</v>
      </c>
      <c r="C3" t="s">
        <v>236</v>
      </c>
      <c r="D3" t="s">
        <v>11</v>
      </c>
      <c r="E3">
        <v>46117</v>
      </c>
      <c r="F3" t="s">
        <v>15</v>
      </c>
      <c r="G3" t="s">
        <v>16</v>
      </c>
      <c r="H3" t="s">
        <v>13</v>
      </c>
      <c r="I3" s="129">
        <v>46117</v>
      </c>
      <c r="J3" t="s">
        <v>15</v>
      </c>
      <c r="K3" t="s">
        <v>16</v>
      </c>
      <c r="L3" t="s">
        <v>13</v>
      </c>
      <c r="M3" t="s">
        <v>112</v>
      </c>
      <c r="N3" t="s">
        <v>237</v>
      </c>
      <c r="O3" t="s">
        <v>13</v>
      </c>
      <c r="P3" t="s">
        <v>15</v>
      </c>
      <c r="Q3" t="s">
        <v>16</v>
      </c>
      <c r="R3" t="s">
        <v>13</v>
      </c>
      <c r="S3" t="s">
        <v>15</v>
      </c>
      <c r="T3" t="s">
        <v>16</v>
      </c>
      <c r="U3" t="s">
        <v>13</v>
      </c>
      <c r="V3" t="s">
        <v>112</v>
      </c>
      <c r="W3" t="s">
        <v>237</v>
      </c>
      <c r="X3" t="s">
        <v>13</v>
      </c>
      <c r="Y3" t="s">
        <v>268</v>
      </c>
      <c r="AA3" t="s">
        <v>85</v>
      </c>
      <c r="AB3" t="s">
        <v>86</v>
      </c>
      <c r="AC3" t="s">
        <v>330</v>
      </c>
      <c r="AD3" t="s">
        <v>238</v>
      </c>
      <c r="AE3" t="s">
        <v>87</v>
      </c>
      <c r="AF3" t="s">
        <v>239</v>
      </c>
      <c r="AG3" t="s">
        <v>99</v>
      </c>
      <c r="AH3" t="s">
        <v>240</v>
      </c>
      <c r="AJ3" t="s">
        <v>18</v>
      </c>
      <c r="AK3" t="s">
        <v>238</v>
      </c>
      <c r="AL3" t="s">
        <v>87</v>
      </c>
      <c r="AM3" t="s">
        <v>239</v>
      </c>
      <c r="AN3" t="s">
        <v>241</v>
      </c>
      <c r="AO3" t="s">
        <v>242</v>
      </c>
      <c r="AQ3" t="s">
        <v>85</v>
      </c>
      <c r="AR3" s="129">
        <v>46117</v>
      </c>
      <c r="AS3" t="s">
        <v>15</v>
      </c>
      <c r="AT3" t="s">
        <v>16</v>
      </c>
      <c r="AU3" t="s">
        <v>88</v>
      </c>
      <c r="AV3" t="s">
        <v>89</v>
      </c>
      <c r="AW3" t="s">
        <v>15</v>
      </c>
      <c r="AX3" t="s">
        <v>16</v>
      </c>
      <c r="AY3" t="s">
        <v>88</v>
      </c>
      <c r="AZ3" t="s">
        <v>89</v>
      </c>
      <c r="BA3">
        <v>46117</v>
      </c>
      <c r="BB3" t="s">
        <v>15</v>
      </c>
      <c r="BC3" t="s">
        <v>16</v>
      </c>
      <c r="BD3" t="s">
        <v>88</v>
      </c>
      <c r="BE3" t="s">
        <v>89</v>
      </c>
      <c r="BF3" t="s">
        <v>15</v>
      </c>
      <c r="BG3" t="s">
        <v>16</v>
      </c>
      <c r="BH3" t="s">
        <v>88</v>
      </c>
      <c r="BI3" t="s">
        <v>89</v>
      </c>
      <c r="BK3" t="s">
        <v>85</v>
      </c>
      <c r="BL3" t="s">
        <v>15</v>
      </c>
      <c r="BM3" t="s">
        <v>20</v>
      </c>
      <c r="BN3" t="s">
        <v>43</v>
      </c>
      <c r="BO3" t="s">
        <v>15</v>
      </c>
      <c r="BP3" t="s">
        <v>20</v>
      </c>
      <c r="BQ3" t="s">
        <v>43</v>
      </c>
      <c r="BR3" t="s">
        <v>15</v>
      </c>
      <c r="BS3" t="s">
        <v>20</v>
      </c>
      <c r="BT3" t="s">
        <v>43</v>
      </c>
      <c r="BU3" t="s">
        <v>15</v>
      </c>
      <c r="BV3" t="s">
        <v>20</v>
      </c>
      <c r="BW3" t="s">
        <v>43</v>
      </c>
      <c r="BX3" t="s">
        <v>15</v>
      </c>
      <c r="BY3" t="s">
        <v>20</v>
      </c>
      <c r="BZ3" t="s">
        <v>43</v>
      </c>
      <c r="CA3" t="s">
        <v>15</v>
      </c>
      <c r="CB3" t="s">
        <v>20</v>
      </c>
      <c r="CC3" t="s">
        <v>43</v>
      </c>
      <c r="CF3" t="s">
        <v>85</v>
      </c>
      <c r="CG3" t="s">
        <v>90</v>
      </c>
      <c r="CH3" t="s">
        <v>24</v>
      </c>
      <c r="CI3" t="s">
        <v>25</v>
      </c>
      <c r="CJ3" t="s">
        <v>26</v>
      </c>
      <c r="CK3" t="s">
        <v>27</v>
      </c>
      <c r="CL3" t="s">
        <v>28</v>
      </c>
      <c r="CM3" t="s">
        <v>293</v>
      </c>
      <c r="CN3" t="s">
        <v>294</v>
      </c>
      <c r="CO3" t="s">
        <v>13</v>
      </c>
      <c r="CP3" t="s">
        <v>90</v>
      </c>
      <c r="CQ3" t="s">
        <v>24</v>
      </c>
      <c r="CR3" t="s">
        <v>25</v>
      </c>
      <c r="CS3" t="s">
        <v>26</v>
      </c>
      <c r="CT3" t="s">
        <v>27</v>
      </c>
      <c r="CU3" t="s">
        <v>28</v>
      </c>
      <c r="CV3" t="s">
        <v>293</v>
      </c>
      <c r="CW3" t="s">
        <v>294</v>
      </c>
      <c r="CX3" t="s">
        <v>13</v>
      </c>
      <c r="CZ3" t="s">
        <v>29</v>
      </c>
      <c r="DA3" t="s">
        <v>78</v>
      </c>
      <c r="DB3" t="s">
        <v>30</v>
      </c>
      <c r="DC3" t="s">
        <v>31</v>
      </c>
      <c r="DD3" t="s">
        <v>32</v>
      </c>
      <c r="DE3" t="s">
        <v>284</v>
      </c>
      <c r="DF3" t="s">
        <v>276</v>
      </c>
      <c r="DG3" t="s">
        <v>33</v>
      </c>
      <c r="DH3" t="s">
        <v>78</v>
      </c>
      <c r="DI3" t="s">
        <v>30</v>
      </c>
      <c r="DJ3" t="s">
        <v>31</v>
      </c>
      <c r="DK3" t="s">
        <v>32</v>
      </c>
      <c r="DL3" t="s">
        <v>284</v>
      </c>
      <c r="DM3" t="s">
        <v>276</v>
      </c>
      <c r="DN3" t="s">
        <v>33</v>
      </c>
    </row>
    <row r="4" spans="1:124" x14ac:dyDescent="0.3">
      <c r="A4" t="s">
        <v>0</v>
      </c>
      <c r="B4" t="s">
        <v>243</v>
      </c>
      <c r="C4">
        <v>0</v>
      </c>
      <c r="D4">
        <v>768730</v>
      </c>
      <c r="E4">
        <v>0</v>
      </c>
      <c r="F4">
        <v>0</v>
      </c>
      <c r="G4">
        <v>6</v>
      </c>
      <c r="H4">
        <v>6</v>
      </c>
      <c r="I4">
        <v>0</v>
      </c>
      <c r="J4">
        <v>8</v>
      </c>
      <c r="K4">
        <v>0</v>
      </c>
      <c r="L4">
        <v>8</v>
      </c>
      <c r="M4">
        <v>12000</v>
      </c>
      <c r="N4">
        <v>756730</v>
      </c>
      <c r="O4">
        <v>768730</v>
      </c>
      <c r="P4">
        <v>3</v>
      </c>
      <c r="Q4">
        <v>2</v>
      </c>
      <c r="R4">
        <v>5</v>
      </c>
      <c r="S4">
        <v>8</v>
      </c>
      <c r="T4">
        <v>1</v>
      </c>
      <c r="U4">
        <v>9</v>
      </c>
      <c r="V4">
        <v>85900</v>
      </c>
      <c r="W4">
        <v>472400</v>
      </c>
      <c r="X4">
        <v>558300</v>
      </c>
      <c r="Y4" t="s">
        <v>56</v>
      </c>
      <c r="AA4" t="s">
        <v>0</v>
      </c>
      <c r="AB4">
        <v>12000000</v>
      </c>
      <c r="AC4">
        <v>0</v>
      </c>
      <c r="AD4">
        <v>768730</v>
      </c>
      <c r="AE4">
        <v>6.4060833329999997E-2</v>
      </c>
      <c r="AF4">
        <v>558300</v>
      </c>
      <c r="AG4">
        <v>210430</v>
      </c>
      <c r="AH4">
        <v>4612380</v>
      </c>
      <c r="AJ4">
        <v>700000</v>
      </c>
      <c r="AK4">
        <v>7299.99</v>
      </c>
      <c r="AL4">
        <v>1.0428557139999999E-2</v>
      </c>
      <c r="AM4">
        <v>27465</v>
      </c>
      <c r="AN4">
        <v>-20165</v>
      </c>
      <c r="AO4">
        <v>43799.94</v>
      </c>
      <c r="AQ4" t="s">
        <v>0</v>
      </c>
      <c r="AR4">
        <v>0</v>
      </c>
      <c r="AS4">
        <v>0</v>
      </c>
      <c r="AT4">
        <v>6</v>
      </c>
      <c r="AU4">
        <v>6</v>
      </c>
      <c r="AV4">
        <v>1</v>
      </c>
      <c r="AW4">
        <v>3</v>
      </c>
      <c r="AX4">
        <v>2</v>
      </c>
      <c r="AY4">
        <v>5</v>
      </c>
      <c r="AZ4">
        <v>0.4</v>
      </c>
      <c r="BA4">
        <v>0</v>
      </c>
      <c r="BB4">
        <v>8</v>
      </c>
      <c r="BC4">
        <v>0</v>
      </c>
      <c r="BD4">
        <v>8</v>
      </c>
      <c r="BE4">
        <v>0</v>
      </c>
      <c r="BF4">
        <v>8</v>
      </c>
      <c r="BG4">
        <v>1</v>
      </c>
      <c r="BH4">
        <v>9</v>
      </c>
      <c r="BI4">
        <v>0.11111111110000001</v>
      </c>
      <c r="BK4" t="s">
        <v>0</v>
      </c>
      <c r="BL4">
        <v>0</v>
      </c>
      <c r="BM4">
        <v>12000</v>
      </c>
      <c r="BN4">
        <v>0</v>
      </c>
      <c r="BO4">
        <v>8</v>
      </c>
      <c r="BP4">
        <v>756730</v>
      </c>
      <c r="BQ4">
        <v>94591</v>
      </c>
      <c r="BR4">
        <v>8</v>
      </c>
      <c r="BS4">
        <v>768730</v>
      </c>
      <c r="BT4">
        <v>96091</v>
      </c>
      <c r="BU4">
        <v>3</v>
      </c>
      <c r="BV4">
        <v>85900</v>
      </c>
      <c r="BW4">
        <v>28633</v>
      </c>
      <c r="BX4">
        <v>8</v>
      </c>
      <c r="BY4">
        <v>472400</v>
      </c>
      <c r="BZ4">
        <v>59050</v>
      </c>
      <c r="CA4">
        <v>11</v>
      </c>
      <c r="CB4">
        <v>558300</v>
      </c>
      <c r="CC4">
        <v>50755</v>
      </c>
      <c r="CF4" t="s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Z4" t="s">
        <v>42</v>
      </c>
      <c r="DA4">
        <v>0</v>
      </c>
      <c r="DB4">
        <v>7</v>
      </c>
      <c r="DC4">
        <v>0</v>
      </c>
      <c r="DD4">
        <v>0</v>
      </c>
      <c r="DE4">
        <v>0</v>
      </c>
      <c r="DF4">
        <v>0</v>
      </c>
      <c r="DG4">
        <v>7</v>
      </c>
      <c r="DH4">
        <v>0</v>
      </c>
      <c r="DI4">
        <v>13</v>
      </c>
      <c r="DJ4">
        <v>0</v>
      </c>
      <c r="DK4">
        <v>0</v>
      </c>
      <c r="DL4">
        <v>0</v>
      </c>
      <c r="DM4">
        <v>0</v>
      </c>
      <c r="DN4">
        <v>13</v>
      </c>
    </row>
    <row r="5" spans="1:124" x14ac:dyDescent="0.3">
      <c r="A5" t="s">
        <v>1</v>
      </c>
      <c r="B5" t="s">
        <v>244</v>
      </c>
      <c r="C5">
        <v>0</v>
      </c>
      <c r="D5">
        <v>138100</v>
      </c>
      <c r="E5">
        <v>0</v>
      </c>
      <c r="F5">
        <v>1</v>
      </c>
      <c r="G5">
        <v>6</v>
      </c>
      <c r="H5">
        <v>7</v>
      </c>
      <c r="I5">
        <v>1</v>
      </c>
      <c r="J5">
        <v>1</v>
      </c>
      <c r="K5">
        <v>1</v>
      </c>
      <c r="L5">
        <v>2</v>
      </c>
      <c r="M5">
        <v>64900</v>
      </c>
      <c r="N5">
        <v>73200</v>
      </c>
      <c r="O5">
        <v>138100</v>
      </c>
      <c r="P5">
        <v>2</v>
      </c>
      <c r="Q5">
        <v>4</v>
      </c>
      <c r="R5">
        <v>6</v>
      </c>
      <c r="S5">
        <v>0</v>
      </c>
      <c r="T5">
        <v>1</v>
      </c>
      <c r="U5">
        <v>1</v>
      </c>
      <c r="V5">
        <v>95700.04</v>
      </c>
      <c r="W5">
        <v>1650</v>
      </c>
      <c r="X5">
        <v>97350.04</v>
      </c>
      <c r="Y5" t="s">
        <v>58</v>
      </c>
      <c r="AA5" t="s">
        <v>1</v>
      </c>
      <c r="AB5">
        <v>3800000</v>
      </c>
      <c r="AC5">
        <v>0</v>
      </c>
      <c r="AD5">
        <v>138100</v>
      </c>
      <c r="AE5">
        <v>3.634210526E-2</v>
      </c>
      <c r="AF5">
        <v>97350.04</v>
      </c>
      <c r="AG5">
        <v>40749.96</v>
      </c>
      <c r="AH5">
        <v>828600</v>
      </c>
      <c r="AJ5">
        <v>200000</v>
      </c>
      <c r="AK5">
        <v>8033</v>
      </c>
      <c r="AL5">
        <v>4.0164999999999999E-2</v>
      </c>
      <c r="AM5">
        <v>950</v>
      </c>
      <c r="AN5">
        <v>7083</v>
      </c>
      <c r="AO5">
        <v>48198</v>
      </c>
      <c r="AQ5" t="s">
        <v>1</v>
      </c>
      <c r="AR5">
        <v>0</v>
      </c>
      <c r="AS5">
        <v>1</v>
      </c>
      <c r="AT5">
        <v>6</v>
      </c>
      <c r="AU5">
        <v>7</v>
      </c>
      <c r="AV5">
        <v>0.85714285710000004</v>
      </c>
      <c r="AW5">
        <v>2</v>
      </c>
      <c r="AX5">
        <v>4</v>
      </c>
      <c r="AY5">
        <v>6</v>
      </c>
      <c r="AZ5">
        <v>0.66666666669999997</v>
      </c>
      <c r="BA5">
        <v>1</v>
      </c>
      <c r="BB5">
        <v>1</v>
      </c>
      <c r="BC5">
        <v>1</v>
      </c>
      <c r="BD5">
        <v>2</v>
      </c>
      <c r="BE5">
        <v>0.5</v>
      </c>
      <c r="BF5">
        <v>0</v>
      </c>
      <c r="BG5">
        <v>1</v>
      </c>
      <c r="BH5">
        <v>1</v>
      </c>
      <c r="BI5">
        <v>1</v>
      </c>
      <c r="BK5" t="s">
        <v>1</v>
      </c>
      <c r="BL5">
        <v>1</v>
      </c>
      <c r="BM5">
        <v>64900</v>
      </c>
      <c r="BN5">
        <v>64900</v>
      </c>
      <c r="BO5">
        <v>1</v>
      </c>
      <c r="BP5">
        <v>73200</v>
      </c>
      <c r="BQ5">
        <v>73200</v>
      </c>
      <c r="BR5">
        <v>2</v>
      </c>
      <c r="BS5">
        <v>138100</v>
      </c>
      <c r="BT5">
        <v>69050</v>
      </c>
      <c r="BU5">
        <v>2</v>
      </c>
      <c r="BV5">
        <v>95700.04</v>
      </c>
      <c r="BW5">
        <v>47850</v>
      </c>
      <c r="BX5">
        <v>0</v>
      </c>
      <c r="BY5">
        <v>1650</v>
      </c>
      <c r="BZ5">
        <v>0</v>
      </c>
      <c r="CA5">
        <v>2</v>
      </c>
      <c r="CB5">
        <v>97350.04</v>
      </c>
      <c r="CC5">
        <v>48675</v>
      </c>
      <c r="CF5" t="s">
        <v>1</v>
      </c>
      <c r="CG5">
        <v>0</v>
      </c>
      <c r="CH5">
        <v>0</v>
      </c>
      <c r="CI5">
        <v>0</v>
      </c>
      <c r="CJ5">
        <v>3</v>
      </c>
      <c r="CK5">
        <v>0</v>
      </c>
      <c r="CL5">
        <v>0</v>
      </c>
      <c r="CM5">
        <v>0</v>
      </c>
      <c r="CN5">
        <v>0</v>
      </c>
      <c r="CO5">
        <v>3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Z5" t="s">
        <v>35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53</v>
      </c>
      <c r="DI5">
        <v>16</v>
      </c>
      <c r="DJ5">
        <v>1</v>
      </c>
      <c r="DK5">
        <v>0</v>
      </c>
      <c r="DL5">
        <v>0</v>
      </c>
      <c r="DM5">
        <v>0</v>
      </c>
      <c r="DN5">
        <v>70</v>
      </c>
    </row>
    <row r="6" spans="1:124" x14ac:dyDescent="0.3">
      <c r="A6" t="s">
        <v>2</v>
      </c>
      <c r="B6" t="s">
        <v>245</v>
      </c>
      <c r="C6">
        <v>0</v>
      </c>
      <c r="D6">
        <v>242149</v>
      </c>
      <c r="E6">
        <v>0</v>
      </c>
      <c r="F6">
        <v>4</v>
      </c>
      <c r="G6">
        <v>4</v>
      </c>
      <c r="H6">
        <v>8</v>
      </c>
      <c r="I6">
        <v>1</v>
      </c>
      <c r="J6">
        <v>2</v>
      </c>
      <c r="K6">
        <v>1</v>
      </c>
      <c r="L6">
        <v>3</v>
      </c>
      <c r="M6">
        <v>141500</v>
      </c>
      <c r="N6">
        <v>100649</v>
      </c>
      <c r="O6">
        <v>242149</v>
      </c>
      <c r="P6">
        <v>1</v>
      </c>
      <c r="Q6">
        <v>2</v>
      </c>
      <c r="R6">
        <v>3</v>
      </c>
      <c r="S6">
        <v>5</v>
      </c>
      <c r="T6">
        <v>0</v>
      </c>
      <c r="U6">
        <v>5</v>
      </c>
      <c r="V6">
        <v>23200</v>
      </c>
      <c r="W6">
        <v>184200</v>
      </c>
      <c r="X6">
        <v>207400</v>
      </c>
      <c r="Y6" t="s">
        <v>116</v>
      </c>
      <c r="AA6" t="s">
        <v>2</v>
      </c>
      <c r="AB6">
        <v>4000000</v>
      </c>
      <c r="AC6">
        <v>0</v>
      </c>
      <c r="AD6">
        <v>242149</v>
      </c>
      <c r="AE6">
        <v>6.0537250000000001E-2</v>
      </c>
      <c r="AF6">
        <v>207400</v>
      </c>
      <c r="AG6">
        <v>34749</v>
      </c>
      <c r="AH6">
        <v>1452894</v>
      </c>
      <c r="AJ6">
        <v>310000</v>
      </c>
      <c r="AK6">
        <v>29689</v>
      </c>
      <c r="AL6">
        <v>9.5770967740000004E-2</v>
      </c>
      <c r="AM6">
        <v>14835</v>
      </c>
      <c r="AN6">
        <v>14854</v>
      </c>
      <c r="AO6">
        <v>178134</v>
      </c>
      <c r="AQ6" t="s">
        <v>2</v>
      </c>
      <c r="AR6">
        <v>0</v>
      </c>
      <c r="AS6">
        <v>4</v>
      </c>
      <c r="AT6">
        <v>4</v>
      </c>
      <c r="AU6">
        <v>8</v>
      </c>
      <c r="AV6">
        <v>0.5</v>
      </c>
      <c r="AW6">
        <v>1</v>
      </c>
      <c r="AX6">
        <v>2</v>
      </c>
      <c r="AY6">
        <v>3</v>
      </c>
      <c r="AZ6">
        <v>0.66666666669999997</v>
      </c>
      <c r="BA6">
        <v>1</v>
      </c>
      <c r="BB6">
        <v>2</v>
      </c>
      <c r="BC6">
        <v>1</v>
      </c>
      <c r="BD6">
        <v>3</v>
      </c>
      <c r="BE6">
        <v>0.33333333329999998</v>
      </c>
      <c r="BF6">
        <v>5</v>
      </c>
      <c r="BG6">
        <v>0</v>
      </c>
      <c r="BH6">
        <v>5</v>
      </c>
      <c r="BI6">
        <v>0</v>
      </c>
      <c r="BK6" t="s">
        <v>2</v>
      </c>
      <c r="BL6">
        <v>4</v>
      </c>
      <c r="BM6">
        <v>141500</v>
      </c>
      <c r="BN6">
        <v>35375</v>
      </c>
      <c r="BO6">
        <v>2</v>
      </c>
      <c r="BP6">
        <v>100649</v>
      </c>
      <c r="BQ6">
        <v>50325</v>
      </c>
      <c r="BR6">
        <v>6</v>
      </c>
      <c r="BS6">
        <v>242149</v>
      </c>
      <c r="BT6">
        <v>40358</v>
      </c>
      <c r="BU6">
        <v>1</v>
      </c>
      <c r="BV6">
        <v>23200</v>
      </c>
      <c r="BW6">
        <v>23200</v>
      </c>
      <c r="BX6">
        <v>5</v>
      </c>
      <c r="BY6">
        <v>184200</v>
      </c>
      <c r="BZ6">
        <v>36840</v>
      </c>
      <c r="CA6">
        <v>6</v>
      </c>
      <c r="CB6">
        <v>207400</v>
      </c>
      <c r="CC6">
        <v>34567</v>
      </c>
      <c r="CF6" t="s">
        <v>2</v>
      </c>
      <c r="CG6">
        <v>0</v>
      </c>
      <c r="CH6">
        <v>6</v>
      </c>
      <c r="CI6">
        <v>3</v>
      </c>
      <c r="CJ6">
        <v>3</v>
      </c>
      <c r="CK6">
        <v>0</v>
      </c>
      <c r="CL6">
        <v>0</v>
      </c>
      <c r="CM6">
        <v>0</v>
      </c>
      <c r="CN6">
        <v>0</v>
      </c>
      <c r="CO6">
        <v>12</v>
      </c>
      <c r="CP6">
        <v>0</v>
      </c>
      <c r="CQ6">
        <v>0</v>
      </c>
      <c r="CR6">
        <v>1</v>
      </c>
      <c r="CS6">
        <v>0</v>
      </c>
      <c r="CT6">
        <v>0</v>
      </c>
      <c r="CU6">
        <v>0</v>
      </c>
      <c r="CV6">
        <v>0</v>
      </c>
      <c r="CW6">
        <v>0</v>
      </c>
      <c r="CX6">
        <v>1</v>
      </c>
      <c r="CZ6" t="s">
        <v>36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20</v>
      </c>
      <c r="DI6">
        <v>20</v>
      </c>
      <c r="DJ6">
        <v>1</v>
      </c>
      <c r="DK6">
        <v>0</v>
      </c>
      <c r="DL6">
        <v>0</v>
      </c>
      <c r="DM6">
        <v>0</v>
      </c>
      <c r="DN6">
        <v>41</v>
      </c>
    </row>
    <row r="7" spans="1:124" x14ac:dyDescent="0.3">
      <c r="A7" t="s">
        <v>3</v>
      </c>
      <c r="B7" t="s">
        <v>246</v>
      </c>
      <c r="C7">
        <v>0</v>
      </c>
      <c r="D7">
        <v>24550</v>
      </c>
      <c r="E7">
        <v>0</v>
      </c>
      <c r="F7">
        <v>2</v>
      </c>
      <c r="G7">
        <v>2</v>
      </c>
      <c r="H7">
        <v>4</v>
      </c>
      <c r="I7">
        <v>0</v>
      </c>
      <c r="J7">
        <v>0</v>
      </c>
      <c r="K7">
        <v>0</v>
      </c>
      <c r="L7">
        <v>0</v>
      </c>
      <c r="M7">
        <v>24550</v>
      </c>
      <c r="N7">
        <v>0</v>
      </c>
      <c r="O7">
        <v>24550</v>
      </c>
      <c r="P7">
        <v>2</v>
      </c>
      <c r="Q7">
        <v>3</v>
      </c>
      <c r="R7">
        <v>5</v>
      </c>
      <c r="S7">
        <v>2</v>
      </c>
      <c r="T7">
        <v>0</v>
      </c>
      <c r="U7">
        <v>2</v>
      </c>
      <c r="V7">
        <v>141700</v>
      </c>
      <c r="W7">
        <v>45000</v>
      </c>
      <c r="X7">
        <v>186700</v>
      </c>
      <c r="Y7" t="s">
        <v>58</v>
      </c>
      <c r="AA7" t="s">
        <v>3</v>
      </c>
      <c r="AB7">
        <v>2500000</v>
      </c>
      <c r="AC7">
        <v>0</v>
      </c>
      <c r="AD7">
        <v>24550</v>
      </c>
      <c r="AE7">
        <v>9.8200000000000006E-3</v>
      </c>
      <c r="AF7">
        <v>186700</v>
      </c>
      <c r="AG7">
        <v>-162150</v>
      </c>
      <c r="AH7">
        <v>147300</v>
      </c>
      <c r="AJ7">
        <v>100000</v>
      </c>
      <c r="AK7">
        <v>0</v>
      </c>
      <c r="AL7">
        <v>0</v>
      </c>
      <c r="AM7">
        <v>9599</v>
      </c>
      <c r="AN7">
        <v>-9599</v>
      </c>
      <c r="AO7">
        <v>0</v>
      </c>
      <c r="AQ7" t="s">
        <v>3</v>
      </c>
      <c r="AR7">
        <v>0</v>
      </c>
      <c r="AS7">
        <v>2</v>
      </c>
      <c r="AT7">
        <v>2</v>
      </c>
      <c r="AU7">
        <v>4</v>
      </c>
      <c r="AV7">
        <v>0.5</v>
      </c>
      <c r="AW7">
        <v>2</v>
      </c>
      <c r="AX7">
        <v>3</v>
      </c>
      <c r="AY7">
        <v>5</v>
      </c>
      <c r="AZ7">
        <v>0.6</v>
      </c>
      <c r="BA7">
        <v>0</v>
      </c>
      <c r="BB7">
        <v>0</v>
      </c>
      <c r="BC7">
        <v>0</v>
      </c>
      <c r="BD7">
        <v>0</v>
      </c>
      <c r="BE7">
        <v>0</v>
      </c>
      <c r="BF7">
        <v>2</v>
      </c>
      <c r="BG7">
        <v>0</v>
      </c>
      <c r="BH7">
        <v>2</v>
      </c>
      <c r="BI7">
        <v>0</v>
      </c>
      <c r="BK7" t="s">
        <v>3</v>
      </c>
      <c r="BL7">
        <v>2</v>
      </c>
      <c r="BM7">
        <v>24550</v>
      </c>
      <c r="BN7">
        <v>12275</v>
      </c>
      <c r="BO7">
        <v>0</v>
      </c>
      <c r="BP7">
        <v>0</v>
      </c>
      <c r="BQ7">
        <v>0</v>
      </c>
      <c r="BR7">
        <v>2</v>
      </c>
      <c r="BS7">
        <v>24550</v>
      </c>
      <c r="BT7">
        <v>12275</v>
      </c>
      <c r="BU7">
        <v>2</v>
      </c>
      <c r="BV7">
        <v>141700</v>
      </c>
      <c r="BW7">
        <v>70850</v>
      </c>
      <c r="BX7">
        <v>2</v>
      </c>
      <c r="BY7">
        <v>45000</v>
      </c>
      <c r="BZ7">
        <v>22500</v>
      </c>
      <c r="CA7">
        <v>4</v>
      </c>
      <c r="CB7">
        <v>186700</v>
      </c>
      <c r="CC7">
        <v>46675</v>
      </c>
      <c r="CF7" t="s">
        <v>3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Z7" t="s">
        <v>40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13</v>
      </c>
      <c r="DI7">
        <v>8</v>
      </c>
      <c r="DJ7">
        <v>0</v>
      </c>
      <c r="DK7">
        <v>0</v>
      </c>
      <c r="DL7">
        <v>0</v>
      </c>
      <c r="DM7">
        <v>0</v>
      </c>
      <c r="DN7">
        <v>21</v>
      </c>
    </row>
    <row r="8" spans="1:124" x14ac:dyDescent="0.3">
      <c r="A8" t="s">
        <v>46</v>
      </c>
      <c r="B8" t="s">
        <v>260</v>
      </c>
      <c r="C8">
        <v>0</v>
      </c>
      <c r="D8">
        <v>338050</v>
      </c>
      <c r="E8">
        <v>0</v>
      </c>
      <c r="F8">
        <v>1</v>
      </c>
      <c r="G8">
        <v>0</v>
      </c>
      <c r="H8">
        <v>1</v>
      </c>
      <c r="I8">
        <v>0</v>
      </c>
      <c r="J8">
        <v>6</v>
      </c>
      <c r="K8">
        <v>0</v>
      </c>
      <c r="L8">
        <v>6</v>
      </c>
      <c r="M8">
        <v>23250</v>
      </c>
      <c r="N8">
        <v>314800</v>
      </c>
      <c r="O8">
        <v>338050</v>
      </c>
      <c r="P8">
        <v>1</v>
      </c>
      <c r="Q8">
        <v>3</v>
      </c>
      <c r="R8">
        <v>4</v>
      </c>
      <c r="S8">
        <v>9</v>
      </c>
      <c r="T8">
        <v>0</v>
      </c>
      <c r="U8">
        <v>9</v>
      </c>
      <c r="V8">
        <v>47800</v>
      </c>
      <c r="W8">
        <v>458200</v>
      </c>
      <c r="X8">
        <v>506000</v>
      </c>
      <c r="Y8" t="s">
        <v>116</v>
      </c>
      <c r="AA8" t="s">
        <v>46</v>
      </c>
      <c r="AB8">
        <v>2800000</v>
      </c>
      <c r="AC8">
        <v>0</v>
      </c>
      <c r="AD8">
        <v>338050</v>
      </c>
      <c r="AE8">
        <v>0.12073214290000001</v>
      </c>
      <c r="AF8">
        <v>506000</v>
      </c>
      <c r="AG8">
        <v>-167950</v>
      </c>
      <c r="AH8">
        <v>2028300</v>
      </c>
      <c r="AJ8">
        <v>130000</v>
      </c>
      <c r="AK8">
        <v>950</v>
      </c>
      <c r="AL8">
        <v>7.3076923079999998E-3</v>
      </c>
      <c r="AM8">
        <v>0</v>
      </c>
      <c r="AN8">
        <v>950</v>
      </c>
      <c r="AO8">
        <v>5700</v>
      </c>
      <c r="AQ8" t="s">
        <v>46</v>
      </c>
      <c r="AR8">
        <v>0</v>
      </c>
      <c r="AS8">
        <v>1</v>
      </c>
      <c r="AT8">
        <v>0</v>
      </c>
      <c r="AU8">
        <v>1</v>
      </c>
      <c r="AV8">
        <v>0</v>
      </c>
      <c r="AW8">
        <v>1</v>
      </c>
      <c r="AX8">
        <v>3</v>
      </c>
      <c r="AY8">
        <v>4</v>
      </c>
      <c r="AZ8">
        <v>0.75</v>
      </c>
      <c r="BA8">
        <v>0</v>
      </c>
      <c r="BB8">
        <v>6</v>
      </c>
      <c r="BC8">
        <v>0</v>
      </c>
      <c r="BD8">
        <v>6</v>
      </c>
      <c r="BE8">
        <v>0</v>
      </c>
      <c r="BF8">
        <v>9</v>
      </c>
      <c r="BG8">
        <v>0</v>
      </c>
      <c r="BH8">
        <v>9</v>
      </c>
      <c r="BI8">
        <v>0</v>
      </c>
      <c r="BK8" t="s">
        <v>46</v>
      </c>
      <c r="BL8">
        <v>1</v>
      </c>
      <c r="BM8">
        <v>23250</v>
      </c>
      <c r="BN8">
        <v>23250</v>
      </c>
      <c r="BO8">
        <v>6</v>
      </c>
      <c r="BP8">
        <v>314800</v>
      </c>
      <c r="BQ8">
        <v>52467</v>
      </c>
      <c r="BR8">
        <v>7</v>
      </c>
      <c r="BS8">
        <v>338050</v>
      </c>
      <c r="BT8">
        <v>48293</v>
      </c>
      <c r="BU8">
        <v>1</v>
      </c>
      <c r="BV8">
        <v>47800</v>
      </c>
      <c r="BW8">
        <v>47800</v>
      </c>
      <c r="BX8">
        <v>9</v>
      </c>
      <c r="BY8">
        <v>458200</v>
      </c>
      <c r="BZ8">
        <v>50911</v>
      </c>
      <c r="CA8">
        <v>10</v>
      </c>
      <c r="CB8">
        <v>506000</v>
      </c>
      <c r="CC8">
        <v>50600</v>
      </c>
      <c r="CF8" t="s">
        <v>46</v>
      </c>
      <c r="CG8">
        <v>0</v>
      </c>
      <c r="CH8">
        <v>6</v>
      </c>
      <c r="CI8">
        <v>3</v>
      </c>
      <c r="CJ8">
        <v>0</v>
      </c>
      <c r="CK8">
        <v>0</v>
      </c>
      <c r="CL8">
        <v>0</v>
      </c>
      <c r="CM8">
        <v>0</v>
      </c>
      <c r="CN8">
        <v>0</v>
      </c>
      <c r="CO8">
        <v>9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Z8" t="s">
        <v>34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4</v>
      </c>
      <c r="DI8">
        <v>2</v>
      </c>
      <c r="DJ8">
        <v>0</v>
      </c>
      <c r="DK8">
        <v>0</v>
      </c>
      <c r="DL8">
        <v>0</v>
      </c>
      <c r="DM8">
        <v>0</v>
      </c>
      <c r="DN8">
        <v>6</v>
      </c>
    </row>
    <row r="9" spans="1:124" x14ac:dyDescent="0.3">
      <c r="A9" t="s">
        <v>301</v>
      </c>
      <c r="B9" t="s">
        <v>263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2</v>
      </c>
      <c r="T9">
        <v>0</v>
      </c>
      <c r="U9">
        <v>2</v>
      </c>
      <c r="V9">
        <v>0</v>
      </c>
      <c r="W9">
        <v>74640</v>
      </c>
      <c r="X9">
        <v>74640</v>
      </c>
      <c r="Y9" t="s">
        <v>116</v>
      </c>
      <c r="AA9" t="s">
        <v>301</v>
      </c>
      <c r="AB9">
        <v>0</v>
      </c>
      <c r="AC9">
        <v>0</v>
      </c>
      <c r="AD9">
        <v>0</v>
      </c>
      <c r="AE9" t="s">
        <v>278</v>
      </c>
      <c r="AF9">
        <v>74640</v>
      </c>
      <c r="AG9">
        <v>-74640</v>
      </c>
      <c r="AH9">
        <v>0</v>
      </c>
      <c r="AJ9">
        <v>50000</v>
      </c>
      <c r="AK9">
        <v>0</v>
      </c>
      <c r="AL9">
        <v>0</v>
      </c>
      <c r="AM9">
        <v>2500</v>
      </c>
      <c r="AN9">
        <v>-2500</v>
      </c>
      <c r="AO9">
        <v>0</v>
      </c>
      <c r="AQ9" t="s">
        <v>301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2</v>
      </c>
      <c r="BG9">
        <v>0</v>
      </c>
      <c r="BH9">
        <v>2</v>
      </c>
      <c r="BI9">
        <v>0</v>
      </c>
      <c r="BK9" t="s">
        <v>301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 t="s">
        <v>278</v>
      </c>
      <c r="BU9">
        <v>0</v>
      </c>
      <c r="BV9">
        <v>0</v>
      </c>
      <c r="BW9">
        <v>0</v>
      </c>
      <c r="BX9">
        <v>2</v>
      </c>
      <c r="BY9">
        <v>74640</v>
      </c>
      <c r="BZ9">
        <v>37320</v>
      </c>
      <c r="CA9">
        <v>2</v>
      </c>
      <c r="CB9">
        <v>74640</v>
      </c>
      <c r="CC9">
        <v>37320</v>
      </c>
      <c r="CF9" t="s">
        <v>301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Z9" t="s">
        <v>38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1</v>
      </c>
      <c r="DI9">
        <v>2</v>
      </c>
      <c r="DJ9">
        <v>0</v>
      </c>
      <c r="DK9">
        <v>0</v>
      </c>
      <c r="DL9">
        <v>0</v>
      </c>
      <c r="DM9">
        <v>0</v>
      </c>
      <c r="DN9">
        <v>3</v>
      </c>
    </row>
    <row r="10" spans="1:124" x14ac:dyDescent="0.3">
      <c r="A10" t="s">
        <v>302</v>
      </c>
      <c r="B10" t="s">
        <v>247</v>
      </c>
      <c r="C10">
        <v>2400</v>
      </c>
      <c r="D10">
        <v>174200.31</v>
      </c>
      <c r="E10">
        <v>2</v>
      </c>
      <c r="F10">
        <v>1</v>
      </c>
      <c r="G10">
        <v>4</v>
      </c>
      <c r="H10">
        <v>5</v>
      </c>
      <c r="I10">
        <v>0</v>
      </c>
      <c r="J10">
        <v>3</v>
      </c>
      <c r="K10">
        <v>0</v>
      </c>
      <c r="L10">
        <v>3</v>
      </c>
      <c r="M10">
        <v>27850</v>
      </c>
      <c r="N10">
        <v>146350.31</v>
      </c>
      <c r="O10">
        <v>174200.31</v>
      </c>
      <c r="P10">
        <v>3</v>
      </c>
      <c r="Q10">
        <v>8</v>
      </c>
      <c r="R10">
        <v>11</v>
      </c>
      <c r="S10">
        <v>7</v>
      </c>
      <c r="T10">
        <v>0</v>
      </c>
      <c r="U10">
        <v>7</v>
      </c>
      <c r="V10">
        <v>383500</v>
      </c>
      <c r="W10">
        <v>277200</v>
      </c>
      <c r="X10">
        <v>660700</v>
      </c>
      <c r="Y10" t="s">
        <v>116</v>
      </c>
      <c r="AA10" t="s">
        <v>302</v>
      </c>
      <c r="AB10">
        <v>5450000</v>
      </c>
      <c r="AC10">
        <v>2400</v>
      </c>
      <c r="AD10">
        <v>174200.31</v>
      </c>
      <c r="AE10">
        <v>3.196335963E-2</v>
      </c>
      <c r="AF10">
        <v>660700</v>
      </c>
      <c r="AG10">
        <v>-486499.69</v>
      </c>
      <c r="AH10">
        <v>1045201.86</v>
      </c>
      <c r="AJ10">
        <v>330000</v>
      </c>
      <c r="AK10">
        <v>4842</v>
      </c>
      <c r="AL10">
        <v>1.467272727E-2</v>
      </c>
      <c r="AM10">
        <v>9600</v>
      </c>
      <c r="AN10">
        <v>-4758</v>
      </c>
      <c r="AO10">
        <v>29052</v>
      </c>
      <c r="AQ10" t="s">
        <v>302</v>
      </c>
      <c r="AR10">
        <v>2</v>
      </c>
      <c r="AS10">
        <v>1</v>
      </c>
      <c r="AT10">
        <v>4</v>
      </c>
      <c r="AU10">
        <v>5</v>
      </c>
      <c r="AV10">
        <v>0.8</v>
      </c>
      <c r="AW10">
        <v>3</v>
      </c>
      <c r="AX10">
        <v>8</v>
      </c>
      <c r="AY10">
        <v>11</v>
      </c>
      <c r="AZ10">
        <v>0.72727272730000003</v>
      </c>
      <c r="BA10">
        <v>0</v>
      </c>
      <c r="BB10">
        <v>3</v>
      </c>
      <c r="BC10">
        <v>0</v>
      </c>
      <c r="BD10">
        <v>3</v>
      </c>
      <c r="BE10">
        <v>0</v>
      </c>
      <c r="BF10">
        <v>7</v>
      </c>
      <c r="BG10">
        <v>0</v>
      </c>
      <c r="BH10">
        <v>7</v>
      </c>
      <c r="BI10">
        <v>0</v>
      </c>
      <c r="BK10" t="s">
        <v>302</v>
      </c>
      <c r="BL10">
        <v>1</v>
      </c>
      <c r="BM10">
        <v>27850</v>
      </c>
      <c r="BN10">
        <v>27850</v>
      </c>
      <c r="BO10">
        <v>3</v>
      </c>
      <c r="BP10">
        <v>146350.31</v>
      </c>
      <c r="BQ10">
        <v>48783</v>
      </c>
      <c r="BR10">
        <v>4</v>
      </c>
      <c r="BS10">
        <v>174200.31</v>
      </c>
      <c r="BT10">
        <v>43550</v>
      </c>
      <c r="BU10">
        <v>3</v>
      </c>
      <c r="BV10">
        <v>383500</v>
      </c>
      <c r="BW10">
        <v>127833</v>
      </c>
      <c r="BX10">
        <v>7</v>
      </c>
      <c r="BY10">
        <v>277200</v>
      </c>
      <c r="BZ10">
        <v>39600</v>
      </c>
      <c r="CA10">
        <v>10</v>
      </c>
      <c r="CB10">
        <v>660700</v>
      </c>
      <c r="CC10">
        <v>66070</v>
      </c>
      <c r="CF10" t="s">
        <v>302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3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3</v>
      </c>
      <c r="CZ10" t="s">
        <v>39</v>
      </c>
      <c r="DA10">
        <v>0</v>
      </c>
      <c r="DB10">
        <v>1</v>
      </c>
      <c r="DC10">
        <v>0</v>
      </c>
      <c r="DD10">
        <v>0</v>
      </c>
      <c r="DE10">
        <v>0</v>
      </c>
      <c r="DF10">
        <v>0</v>
      </c>
      <c r="DG10">
        <v>1</v>
      </c>
      <c r="DH10">
        <v>0</v>
      </c>
      <c r="DI10">
        <v>2</v>
      </c>
      <c r="DJ10">
        <v>0</v>
      </c>
      <c r="DK10">
        <v>0</v>
      </c>
      <c r="DL10">
        <v>0</v>
      </c>
      <c r="DM10">
        <v>0</v>
      </c>
      <c r="DN10">
        <v>2</v>
      </c>
    </row>
    <row r="11" spans="1:124" x14ac:dyDescent="0.3">
      <c r="A11" t="s">
        <v>4</v>
      </c>
      <c r="B11" t="s">
        <v>248</v>
      </c>
      <c r="C11">
        <v>57900</v>
      </c>
      <c r="D11">
        <v>1077299</v>
      </c>
      <c r="E11">
        <v>1</v>
      </c>
      <c r="F11">
        <v>4</v>
      </c>
      <c r="G11">
        <v>5</v>
      </c>
      <c r="H11">
        <v>9</v>
      </c>
      <c r="I11">
        <v>2</v>
      </c>
      <c r="J11">
        <v>8</v>
      </c>
      <c r="K11">
        <v>0</v>
      </c>
      <c r="L11">
        <v>8</v>
      </c>
      <c r="M11">
        <v>180649</v>
      </c>
      <c r="N11">
        <v>896650</v>
      </c>
      <c r="O11">
        <v>1077299</v>
      </c>
      <c r="P11">
        <v>3</v>
      </c>
      <c r="Q11">
        <v>2</v>
      </c>
      <c r="R11">
        <v>5</v>
      </c>
      <c r="S11">
        <v>9</v>
      </c>
      <c r="T11">
        <v>0</v>
      </c>
      <c r="U11">
        <v>9</v>
      </c>
      <c r="V11">
        <v>134500</v>
      </c>
      <c r="W11">
        <v>286900</v>
      </c>
      <c r="X11">
        <v>421400</v>
      </c>
      <c r="Y11" t="s">
        <v>116</v>
      </c>
      <c r="AA11" t="s">
        <v>4</v>
      </c>
      <c r="AB11">
        <v>6200000</v>
      </c>
      <c r="AC11">
        <v>57900</v>
      </c>
      <c r="AD11">
        <v>1077299</v>
      </c>
      <c r="AE11">
        <v>0.17375790320000001</v>
      </c>
      <c r="AF11">
        <v>421400</v>
      </c>
      <c r="AG11">
        <v>655899</v>
      </c>
      <c r="AH11">
        <v>6463794</v>
      </c>
      <c r="AJ11">
        <v>370000</v>
      </c>
      <c r="AK11">
        <v>20800</v>
      </c>
      <c r="AL11">
        <v>5.6216216219999997E-2</v>
      </c>
      <c r="AM11">
        <v>30903</v>
      </c>
      <c r="AN11">
        <v>-10103</v>
      </c>
      <c r="AO11">
        <v>124800</v>
      </c>
      <c r="AQ11" t="s">
        <v>4</v>
      </c>
      <c r="AR11">
        <v>1</v>
      </c>
      <c r="AS11">
        <v>4</v>
      </c>
      <c r="AT11">
        <v>5</v>
      </c>
      <c r="AU11">
        <v>9</v>
      </c>
      <c r="AV11">
        <v>0.55555555560000003</v>
      </c>
      <c r="AW11">
        <v>3</v>
      </c>
      <c r="AX11">
        <v>2</v>
      </c>
      <c r="AY11">
        <v>5</v>
      </c>
      <c r="AZ11">
        <v>0.4</v>
      </c>
      <c r="BA11">
        <v>2</v>
      </c>
      <c r="BB11">
        <v>8</v>
      </c>
      <c r="BC11">
        <v>0</v>
      </c>
      <c r="BD11">
        <v>8</v>
      </c>
      <c r="BE11">
        <v>0</v>
      </c>
      <c r="BF11">
        <v>9</v>
      </c>
      <c r="BG11">
        <v>0</v>
      </c>
      <c r="BH11">
        <v>9</v>
      </c>
      <c r="BI11">
        <v>0</v>
      </c>
      <c r="BK11" t="s">
        <v>4</v>
      </c>
      <c r="BL11">
        <v>4</v>
      </c>
      <c r="BM11">
        <v>180649</v>
      </c>
      <c r="BN11">
        <v>45162</v>
      </c>
      <c r="BO11">
        <v>8</v>
      </c>
      <c r="BP11">
        <v>896650</v>
      </c>
      <c r="BQ11">
        <v>112081</v>
      </c>
      <c r="BR11">
        <v>12</v>
      </c>
      <c r="BS11">
        <v>1077299</v>
      </c>
      <c r="BT11">
        <v>89775</v>
      </c>
      <c r="BU11">
        <v>3</v>
      </c>
      <c r="BV11">
        <v>134500</v>
      </c>
      <c r="BW11">
        <v>44833</v>
      </c>
      <c r="BX11">
        <v>9</v>
      </c>
      <c r="BY11">
        <v>286900</v>
      </c>
      <c r="BZ11">
        <v>31878</v>
      </c>
      <c r="CA11">
        <v>12</v>
      </c>
      <c r="CB11">
        <v>421400</v>
      </c>
      <c r="CC11">
        <v>35117</v>
      </c>
      <c r="CF11" t="s">
        <v>4</v>
      </c>
      <c r="CG11">
        <v>0</v>
      </c>
      <c r="CH11">
        <v>6</v>
      </c>
      <c r="CI11">
        <v>3</v>
      </c>
      <c r="CJ11">
        <v>9</v>
      </c>
      <c r="CK11">
        <v>0</v>
      </c>
      <c r="CL11">
        <v>0</v>
      </c>
      <c r="CM11">
        <v>0</v>
      </c>
      <c r="CN11">
        <v>0</v>
      </c>
      <c r="CO11">
        <v>18</v>
      </c>
      <c r="CP11">
        <v>11</v>
      </c>
      <c r="CQ11">
        <v>2</v>
      </c>
      <c r="CR11">
        <v>3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16</v>
      </c>
      <c r="CZ11" t="s">
        <v>37</v>
      </c>
      <c r="DA11">
        <v>0</v>
      </c>
      <c r="DB11">
        <v>0</v>
      </c>
      <c r="DC11">
        <v>2</v>
      </c>
      <c r="DD11">
        <v>0</v>
      </c>
      <c r="DE11">
        <v>0</v>
      </c>
      <c r="DF11">
        <v>0</v>
      </c>
      <c r="DG11">
        <v>2</v>
      </c>
      <c r="DH11">
        <v>0</v>
      </c>
      <c r="DI11">
        <v>1</v>
      </c>
      <c r="DJ11">
        <v>0</v>
      </c>
      <c r="DK11">
        <v>0</v>
      </c>
      <c r="DL11">
        <v>0</v>
      </c>
      <c r="DM11">
        <v>0</v>
      </c>
      <c r="DN11">
        <v>1</v>
      </c>
    </row>
    <row r="12" spans="1:124" x14ac:dyDescent="0.3">
      <c r="A12" t="s">
        <v>303</v>
      </c>
      <c r="B12" t="s">
        <v>249</v>
      </c>
      <c r="C12">
        <v>0</v>
      </c>
      <c r="D12">
        <v>381320</v>
      </c>
      <c r="E12">
        <v>0</v>
      </c>
      <c r="F12">
        <v>3</v>
      </c>
      <c r="G12">
        <v>5</v>
      </c>
      <c r="H12">
        <v>8</v>
      </c>
      <c r="I12">
        <v>1</v>
      </c>
      <c r="J12">
        <v>11</v>
      </c>
      <c r="K12">
        <v>1</v>
      </c>
      <c r="L12">
        <v>12</v>
      </c>
      <c r="M12">
        <v>84800</v>
      </c>
      <c r="N12">
        <v>296520</v>
      </c>
      <c r="O12">
        <v>381320</v>
      </c>
      <c r="P12">
        <v>4</v>
      </c>
      <c r="Q12">
        <v>2</v>
      </c>
      <c r="R12">
        <v>6</v>
      </c>
      <c r="S12">
        <v>10</v>
      </c>
      <c r="T12">
        <v>0</v>
      </c>
      <c r="U12">
        <v>10</v>
      </c>
      <c r="V12">
        <v>104000</v>
      </c>
      <c r="W12">
        <v>392400</v>
      </c>
      <c r="X12">
        <v>496400</v>
      </c>
      <c r="Y12" t="s">
        <v>116</v>
      </c>
      <c r="AA12" t="s">
        <v>303</v>
      </c>
      <c r="AB12">
        <v>7900000</v>
      </c>
      <c r="AC12">
        <v>0</v>
      </c>
      <c r="AD12">
        <v>381320</v>
      </c>
      <c r="AE12">
        <v>4.826835443E-2</v>
      </c>
      <c r="AF12">
        <v>496400</v>
      </c>
      <c r="AG12">
        <v>-115080</v>
      </c>
      <c r="AH12">
        <v>2287920</v>
      </c>
      <c r="AJ12">
        <v>490000</v>
      </c>
      <c r="AK12">
        <v>25833</v>
      </c>
      <c r="AL12">
        <v>5.2720408160000003E-2</v>
      </c>
      <c r="AM12">
        <v>54042</v>
      </c>
      <c r="AN12">
        <v>-28209</v>
      </c>
      <c r="AO12">
        <v>154998</v>
      </c>
      <c r="AQ12" t="s">
        <v>303</v>
      </c>
      <c r="AR12">
        <v>0</v>
      </c>
      <c r="AS12">
        <v>3</v>
      </c>
      <c r="AT12">
        <v>5</v>
      </c>
      <c r="AU12">
        <v>8</v>
      </c>
      <c r="AV12">
        <v>0.625</v>
      </c>
      <c r="AW12">
        <v>4</v>
      </c>
      <c r="AX12">
        <v>2</v>
      </c>
      <c r="AY12">
        <v>6</v>
      </c>
      <c r="AZ12">
        <v>0.33333333329999998</v>
      </c>
      <c r="BA12">
        <v>1</v>
      </c>
      <c r="BB12">
        <v>11</v>
      </c>
      <c r="BC12">
        <v>1</v>
      </c>
      <c r="BD12">
        <v>12</v>
      </c>
      <c r="BE12">
        <v>8.3333333329999995E-2</v>
      </c>
      <c r="BF12">
        <v>10</v>
      </c>
      <c r="BG12">
        <v>0</v>
      </c>
      <c r="BH12">
        <v>10</v>
      </c>
      <c r="BI12">
        <v>0</v>
      </c>
      <c r="BK12" t="s">
        <v>303</v>
      </c>
      <c r="BL12">
        <v>3</v>
      </c>
      <c r="BM12">
        <v>84800</v>
      </c>
      <c r="BN12">
        <v>28267</v>
      </c>
      <c r="BO12">
        <v>11</v>
      </c>
      <c r="BP12">
        <v>296520</v>
      </c>
      <c r="BQ12">
        <v>26956</v>
      </c>
      <c r="BR12">
        <v>14</v>
      </c>
      <c r="BS12">
        <v>381320</v>
      </c>
      <c r="BT12">
        <v>27237</v>
      </c>
      <c r="BU12">
        <v>4</v>
      </c>
      <c r="BV12">
        <v>104000</v>
      </c>
      <c r="BW12">
        <v>26000</v>
      </c>
      <c r="BX12">
        <v>10</v>
      </c>
      <c r="BY12">
        <v>392400</v>
      </c>
      <c r="BZ12">
        <v>39240</v>
      </c>
      <c r="CA12">
        <v>14</v>
      </c>
      <c r="CB12">
        <v>496400</v>
      </c>
      <c r="CC12">
        <v>35457</v>
      </c>
      <c r="CF12" t="s">
        <v>303</v>
      </c>
      <c r="CG12">
        <v>0</v>
      </c>
      <c r="CH12">
        <v>0</v>
      </c>
      <c r="CI12">
        <v>2</v>
      </c>
      <c r="CJ12">
        <v>0</v>
      </c>
      <c r="CK12">
        <v>0</v>
      </c>
      <c r="CL12">
        <v>0</v>
      </c>
      <c r="CM12">
        <v>1</v>
      </c>
      <c r="CN12">
        <v>0</v>
      </c>
      <c r="CO12">
        <v>3</v>
      </c>
      <c r="CP12">
        <v>2</v>
      </c>
      <c r="CQ12">
        <v>5</v>
      </c>
      <c r="CR12">
        <v>2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9</v>
      </c>
      <c r="CZ12" t="s">
        <v>307</v>
      </c>
      <c r="DA12">
        <v>0</v>
      </c>
      <c r="DB12">
        <v>11</v>
      </c>
      <c r="DC12">
        <v>0</v>
      </c>
      <c r="DD12">
        <v>0</v>
      </c>
      <c r="DE12">
        <v>0</v>
      </c>
      <c r="DF12">
        <v>0</v>
      </c>
      <c r="DG12">
        <v>11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</row>
    <row r="13" spans="1:124" x14ac:dyDescent="0.3">
      <c r="A13" t="s">
        <v>273</v>
      </c>
      <c r="B13" t="s">
        <v>274</v>
      </c>
      <c r="C13">
        <v>0</v>
      </c>
      <c r="D13">
        <v>20550</v>
      </c>
      <c r="E13">
        <v>0</v>
      </c>
      <c r="F13">
        <v>1</v>
      </c>
      <c r="G13">
        <v>3</v>
      </c>
      <c r="H13">
        <v>4</v>
      </c>
      <c r="I13">
        <v>0</v>
      </c>
      <c r="J13">
        <v>0</v>
      </c>
      <c r="K13">
        <v>0</v>
      </c>
      <c r="L13">
        <v>0</v>
      </c>
      <c r="M13">
        <v>20550</v>
      </c>
      <c r="N13">
        <v>0</v>
      </c>
      <c r="O13">
        <v>20550</v>
      </c>
      <c r="P13">
        <v>1</v>
      </c>
      <c r="Q13">
        <v>0</v>
      </c>
      <c r="R13">
        <v>1</v>
      </c>
      <c r="S13">
        <v>3</v>
      </c>
      <c r="T13">
        <v>1</v>
      </c>
      <c r="U13">
        <v>4</v>
      </c>
      <c r="V13">
        <v>36300</v>
      </c>
      <c r="W13">
        <v>156900.07999999999</v>
      </c>
      <c r="X13">
        <v>193200.08</v>
      </c>
      <c r="Y13" t="s">
        <v>57</v>
      </c>
      <c r="AA13" t="s">
        <v>273</v>
      </c>
      <c r="AB13">
        <v>1500000</v>
      </c>
      <c r="AC13">
        <v>0</v>
      </c>
      <c r="AD13">
        <v>20550</v>
      </c>
      <c r="AE13">
        <v>1.37E-2</v>
      </c>
      <c r="AF13">
        <v>193200.08</v>
      </c>
      <c r="AG13">
        <v>-172650.08</v>
      </c>
      <c r="AH13">
        <v>123300</v>
      </c>
      <c r="AJ13">
        <v>50000</v>
      </c>
      <c r="AK13">
        <v>0</v>
      </c>
      <c r="AL13">
        <v>0</v>
      </c>
      <c r="AM13">
        <v>11200</v>
      </c>
      <c r="AN13">
        <v>-11200</v>
      </c>
      <c r="AO13">
        <v>0</v>
      </c>
      <c r="AQ13" t="s">
        <v>273</v>
      </c>
      <c r="AR13">
        <v>0</v>
      </c>
      <c r="AS13">
        <v>1</v>
      </c>
      <c r="AT13">
        <v>3</v>
      </c>
      <c r="AU13">
        <v>4</v>
      </c>
      <c r="AV13">
        <v>0.75</v>
      </c>
      <c r="AW13">
        <v>1</v>
      </c>
      <c r="AX13">
        <v>0</v>
      </c>
      <c r="AY13">
        <v>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3</v>
      </c>
      <c r="BG13">
        <v>1</v>
      </c>
      <c r="BH13">
        <v>4</v>
      </c>
      <c r="BI13">
        <v>0.25</v>
      </c>
      <c r="BK13" t="s">
        <v>273</v>
      </c>
      <c r="BL13">
        <v>1</v>
      </c>
      <c r="BM13">
        <v>20550</v>
      </c>
      <c r="BN13">
        <v>20550</v>
      </c>
      <c r="BO13">
        <v>0</v>
      </c>
      <c r="BP13">
        <v>0</v>
      </c>
      <c r="BQ13">
        <v>0</v>
      </c>
      <c r="BR13">
        <v>1</v>
      </c>
      <c r="BS13">
        <v>20550</v>
      </c>
      <c r="BT13">
        <v>20550</v>
      </c>
      <c r="BU13">
        <v>1</v>
      </c>
      <c r="BV13">
        <v>36300</v>
      </c>
      <c r="BW13">
        <v>36300</v>
      </c>
      <c r="BX13">
        <v>3</v>
      </c>
      <c r="BY13">
        <v>156900.07999999999</v>
      </c>
      <c r="BZ13">
        <v>52300</v>
      </c>
      <c r="CA13">
        <v>4</v>
      </c>
      <c r="CB13">
        <v>193200.08</v>
      </c>
      <c r="CC13">
        <v>48300</v>
      </c>
      <c r="CF13" t="s">
        <v>273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Z13" t="s">
        <v>309</v>
      </c>
      <c r="DA13">
        <v>0</v>
      </c>
      <c r="DB13">
        <v>6</v>
      </c>
      <c r="DC13">
        <v>0</v>
      </c>
      <c r="DD13">
        <v>0</v>
      </c>
      <c r="DE13">
        <v>0</v>
      </c>
      <c r="DF13">
        <v>0</v>
      </c>
      <c r="DG13">
        <v>6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</row>
    <row r="14" spans="1:124" x14ac:dyDescent="0.3">
      <c r="A14" t="s">
        <v>5</v>
      </c>
      <c r="B14" t="s">
        <v>250</v>
      </c>
      <c r="C14">
        <v>0</v>
      </c>
      <c r="D14">
        <v>187950.06</v>
      </c>
      <c r="E14">
        <v>0</v>
      </c>
      <c r="F14">
        <v>1</v>
      </c>
      <c r="G14">
        <v>2</v>
      </c>
      <c r="H14">
        <v>3</v>
      </c>
      <c r="I14">
        <v>0</v>
      </c>
      <c r="J14">
        <v>3</v>
      </c>
      <c r="K14">
        <v>0</v>
      </c>
      <c r="L14">
        <v>3</v>
      </c>
      <c r="M14">
        <v>37150.019999999997</v>
      </c>
      <c r="N14">
        <v>150800.04</v>
      </c>
      <c r="O14">
        <v>187950.06</v>
      </c>
      <c r="P14">
        <v>3</v>
      </c>
      <c r="Q14">
        <v>2</v>
      </c>
      <c r="R14">
        <v>5</v>
      </c>
      <c r="S14">
        <v>2</v>
      </c>
      <c r="T14">
        <v>0</v>
      </c>
      <c r="U14">
        <v>2</v>
      </c>
      <c r="V14">
        <v>189400</v>
      </c>
      <c r="W14">
        <v>70200</v>
      </c>
      <c r="X14">
        <v>259600</v>
      </c>
      <c r="Y14" t="s">
        <v>58</v>
      </c>
      <c r="AA14" t="s">
        <v>5</v>
      </c>
      <c r="AB14">
        <v>3800000</v>
      </c>
      <c r="AC14">
        <v>0</v>
      </c>
      <c r="AD14">
        <v>187950.06</v>
      </c>
      <c r="AE14">
        <v>4.9460542109999998E-2</v>
      </c>
      <c r="AF14">
        <v>259600</v>
      </c>
      <c r="AG14">
        <v>-71649.94</v>
      </c>
      <c r="AH14">
        <v>1127700.3600000001</v>
      </c>
      <c r="AJ14">
        <v>200000</v>
      </c>
      <c r="AK14">
        <v>0</v>
      </c>
      <c r="AL14">
        <v>0</v>
      </c>
      <c r="AM14">
        <v>14900</v>
      </c>
      <c r="AN14">
        <v>-14900</v>
      </c>
      <c r="AO14">
        <v>0</v>
      </c>
      <c r="AQ14" t="s">
        <v>5</v>
      </c>
      <c r="AR14">
        <v>0</v>
      </c>
      <c r="AS14">
        <v>1</v>
      </c>
      <c r="AT14">
        <v>2</v>
      </c>
      <c r="AU14">
        <v>3</v>
      </c>
      <c r="AV14">
        <v>0.66666666669999997</v>
      </c>
      <c r="AW14">
        <v>3</v>
      </c>
      <c r="AX14">
        <v>2</v>
      </c>
      <c r="AY14">
        <v>5</v>
      </c>
      <c r="AZ14">
        <v>0.4</v>
      </c>
      <c r="BA14">
        <v>0</v>
      </c>
      <c r="BB14">
        <v>3</v>
      </c>
      <c r="BC14">
        <v>0</v>
      </c>
      <c r="BD14">
        <v>3</v>
      </c>
      <c r="BE14">
        <v>0</v>
      </c>
      <c r="BF14">
        <v>2</v>
      </c>
      <c r="BG14">
        <v>0</v>
      </c>
      <c r="BH14">
        <v>2</v>
      </c>
      <c r="BI14">
        <v>0</v>
      </c>
      <c r="BK14" t="s">
        <v>5</v>
      </c>
      <c r="BL14">
        <v>1</v>
      </c>
      <c r="BM14">
        <v>37150.019999999997</v>
      </c>
      <c r="BN14">
        <v>37150</v>
      </c>
      <c r="BO14">
        <v>3</v>
      </c>
      <c r="BP14">
        <v>150800.04</v>
      </c>
      <c r="BQ14">
        <v>50267</v>
      </c>
      <c r="BR14">
        <v>4</v>
      </c>
      <c r="BS14">
        <v>187950.06</v>
      </c>
      <c r="BT14">
        <v>46988</v>
      </c>
      <c r="BU14">
        <v>3</v>
      </c>
      <c r="BV14">
        <v>189400</v>
      </c>
      <c r="BW14">
        <v>63133</v>
      </c>
      <c r="BX14">
        <v>2</v>
      </c>
      <c r="BY14">
        <v>70200</v>
      </c>
      <c r="BZ14">
        <v>35100</v>
      </c>
      <c r="CA14">
        <v>5</v>
      </c>
      <c r="CB14">
        <v>259600</v>
      </c>
      <c r="CC14">
        <v>51920</v>
      </c>
      <c r="CF14" t="s">
        <v>5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Z14" t="s">
        <v>335</v>
      </c>
      <c r="DA14">
        <v>36</v>
      </c>
      <c r="DB14">
        <v>24</v>
      </c>
      <c r="DC14">
        <v>0</v>
      </c>
      <c r="DD14">
        <v>0</v>
      </c>
      <c r="DE14">
        <v>0</v>
      </c>
      <c r="DF14">
        <v>0</v>
      </c>
      <c r="DG14">
        <v>60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</row>
    <row r="15" spans="1:124" x14ac:dyDescent="0.3">
      <c r="A15" t="s">
        <v>6</v>
      </c>
      <c r="B15" t="s">
        <v>251</v>
      </c>
      <c r="C15">
        <v>114400</v>
      </c>
      <c r="D15">
        <v>383750</v>
      </c>
      <c r="E15">
        <v>0</v>
      </c>
      <c r="F15">
        <v>2</v>
      </c>
      <c r="G15">
        <v>3</v>
      </c>
      <c r="H15">
        <v>5</v>
      </c>
      <c r="I15">
        <v>1</v>
      </c>
      <c r="J15">
        <v>5</v>
      </c>
      <c r="K15">
        <v>0</v>
      </c>
      <c r="L15">
        <v>5</v>
      </c>
      <c r="M15">
        <v>128450</v>
      </c>
      <c r="N15">
        <v>255300</v>
      </c>
      <c r="O15">
        <v>383750</v>
      </c>
      <c r="P15">
        <v>0</v>
      </c>
      <c r="Q15">
        <v>1</v>
      </c>
      <c r="R15">
        <v>1</v>
      </c>
      <c r="S15">
        <v>8</v>
      </c>
      <c r="T15">
        <v>1</v>
      </c>
      <c r="U15">
        <v>9</v>
      </c>
      <c r="V15">
        <v>23700</v>
      </c>
      <c r="W15">
        <v>288880.7</v>
      </c>
      <c r="X15">
        <v>312580.7</v>
      </c>
      <c r="Y15" t="s">
        <v>310</v>
      </c>
      <c r="AA15" t="s">
        <v>6</v>
      </c>
      <c r="AB15">
        <v>4100000</v>
      </c>
      <c r="AC15">
        <v>114400</v>
      </c>
      <c r="AD15">
        <v>383750</v>
      </c>
      <c r="AE15">
        <v>9.3597560979999994E-2</v>
      </c>
      <c r="AF15">
        <v>312580.7</v>
      </c>
      <c r="AG15">
        <v>71169.3</v>
      </c>
      <c r="AH15">
        <v>2302500</v>
      </c>
      <c r="AJ15">
        <v>270000</v>
      </c>
      <c r="AK15">
        <v>14100</v>
      </c>
      <c r="AL15">
        <v>5.2222222220000003E-2</v>
      </c>
      <c r="AM15">
        <v>5600</v>
      </c>
      <c r="AN15">
        <v>8500</v>
      </c>
      <c r="AO15">
        <v>84600</v>
      </c>
      <c r="AQ15" t="s">
        <v>6</v>
      </c>
      <c r="AR15">
        <v>0</v>
      </c>
      <c r="AS15">
        <v>2</v>
      </c>
      <c r="AT15">
        <v>3</v>
      </c>
      <c r="AU15">
        <v>5</v>
      </c>
      <c r="AV15">
        <v>0.6</v>
      </c>
      <c r="AW15">
        <v>0</v>
      </c>
      <c r="AX15">
        <v>1</v>
      </c>
      <c r="AY15">
        <v>1</v>
      </c>
      <c r="AZ15">
        <v>1</v>
      </c>
      <c r="BA15">
        <v>1</v>
      </c>
      <c r="BB15">
        <v>5</v>
      </c>
      <c r="BC15">
        <v>0</v>
      </c>
      <c r="BD15">
        <v>5</v>
      </c>
      <c r="BE15">
        <v>0</v>
      </c>
      <c r="BF15">
        <v>8</v>
      </c>
      <c r="BG15">
        <v>1</v>
      </c>
      <c r="BH15">
        <v>9</v>
      </c>
      <c r="BI15">
        <v>0.11111111110000001</v>
      </c>
      <c r="BK15" t="s">
        <v>6</v>
      </c>
      <c r="BL15">
        <v>2</v>
      </c>
      <c r="BM15">
        <v>128450</v>
      </c>
      <c r="BN15">
        <v>64225</v>
      </c>
      <c r="BO15">
        <v>5</v>
      </c>
      <c r="BP15">
        <v>255300</v>
      </c>
      <c r="BQ15">
        <v>51060</v>
      </c>
      <c r="BR15">
        <v>7</v>
      </c>
      <c r="BS15">
        <v>383750</v>
      </c>
      <c r="BT15">
        <v>54821</v>
      </c>
      <c r="BU15">
        <v>0</v>
      </c>
      <c r="BV15">
        <v>23700</v>
      </c>
      <c r="BW15">
        <v>0</v>
      </c>
      <c r="BX15">
        <v>8</v>
      </c>
      <c r="BY15">
        <v>288880.7</v>
      </c>
      <c r="BZ15">
        <v>36110</v>
      </c>
      <c r="CA15">
        <v>8</v>
      </c>
      <c r="CB15">
        <v>312580.7</v>
      </c>
      <c r="CC15">
        <v>39073</v>
      </c>
      <c r="CF15" t="s">
        <v>6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Z15" t="s">
        <v>336</v>
      </c>
      <c r="DA15">
        <v>20</v>
      </c>
      <c r="DB15">
        <v>14</v>
      </c>
      <c r="DC15">
        <v>2</v>
      </c>
      <c r="DD15">
        <v>0</v>
      </c>
      <c r="DE15">
        <v>0</v>
      </c>
      <c r="DF15">
        <v>0</v>
      </c>
      <c r="DG15">
        <v>36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</row>
    <row r="16" spans="1:124" x14ac:dyDescent="0.3">
      <c r="A16" t="s">
        <v>44</v>
      </c>
      <c r="B16" t="s">
        <v>257</v>
      </c>
      <c r="C16">
        <v>0</v>
      </c>
      <c r="D16">
        <v>393400</v>
      </c>
      <c r="E16">
        <v>0</v>
      </c>
      <c r="F16">
        <v>1</v>
      </c>
      <c r="G16">
        <v>4</v>
      </c>
      <c r="H16">
        <v>5</v>
      </c>
      <c r="I16">
        <v>0</v>
      </c>
      <c r="J16">
        <v>9</v>
      </c>
      <c r="K16">
        <v>0</v>
      </c>
      <c r="L16">
        <v>9</v>
      </c>
      <c r="M16">
        <v>37300</v>
      </c>
      <c r="N16">
        <v>356100</v>
      </c>
      <c r="O16">
        <v>393400</v>
      </c>
      <c r="P16">
        <v>4</v>
      </c>
      <c r="Q16">
        <v>7</v>
      </c>
      <c r="R16">
        <v>11</v>
      </c>
      <c r="S16">
        <v>6</v>
      </c>
      <c r="T16">
        <v>0</v>
      </c>
      <c r="U16">
        <v>6</v>
      </c>
      <c r="V16">
        <v>136300</v>
      </c>
      <c r="W16">
        <v>219500</v>
      </c>
      <c r="X16">
        <v>355800</v>
      </c>
      <c r="Y16" t="s">
        <v>116</v>
      </c>
      <c r="AA16" t="s">
        <v>44</v>
      </c>
      <c r="AB16">
        <v>4000000</v>
      </c>
      <c r="AC16">
        <v>0</v>
      </c>
      <c r="AD16">
        <v>393400</v>
      </c>
      <c r="AE16">
        <v>9.8350000000000007E-2</v>
      </c>
      <c r="AF16">
        <v>355800</v>
      </c>
      <c r="AG16">
        <v>37600</v>
      </c>
      <c r="AH16">
        <v>2360400</v>
      </c>
      <c r="AJ16">
        <v>180000</v>
      </c>
      <c r="AK16">
        <v>11465</v>
      </c>
      <c r="AL16">
        <v>6.3694444439999998E-2</v>
      </c>
      <c r="AM16">
        <v>16240</v>
      </c>
      <c r="AN16">
        <v>-4775</v>
      </c>
      <c r="AO16">
        <v>68790</v>
      </c>
      <c r="AQ16" t="s">
        <v>44</v>
      </c>
      <c r="AR16">
        <v>0</v>
      </c>
      <c r="AS16">
        <v>1</v>
      </c>
      <c r="AT16">
        <v>4</v>
      </c>
      <c r="AU16">
        <v>5</v>
      </c>
      <c r="AV16">
        <v>0.8</v>
      </c>
      <c r="AW16">
        <v>4</v>
      </c>
      <c r="AX16">
        <v>7</v>
      </c>
      <c r="AY16">
        <v>11</v>
      </c>
      <c r="AZ16">
        <v>0.63636363640000004</v>
      </c>
      <c r="BA16">
        <v>0</v>
      </c>
      <c r="BB16">
        <v>9</v>
      </c>
      <c r="BC16">
        <v>0</v>
      </c>
      <c r="BD16">
        <v>9</v>
      </c>
      <c r="BE16">
        <v>0</v>
      </c>
      <c r="BF16">
        <v>6</v>
      </c>
      <c r="BG16">
        <v>0</v>
      </c>
      <c r="BH16">
        <v>6</v>
      </c>
      <c r="BI16">
        <v>0</v>
      </c>
      <c r="BK16" t="s">
        <v>44</v>
      </c>
      <c r="BL16">
        <v>1</v>
      </c>
      <c r="BM16">
        <v>37300</v>
      </c>
      <c r="BN16">
        <v>37300</v>
      </c>
      <c r="BO16">
        <v>9</v>
      </c>
      <c r="BP16">
        <v>356100</v>
      </c>
      <c r="BQ16">
        <v>39567</v>
      </c>
      <c r="BR16">
        <v>10</v>
      </c>
      <c r="BS16">
        <v>393400</v>
      </c>
      <c r="BT16">
        <v>39340</v>
      </c>
      <c r="BU16">
        <v>4</v>
      </c>
      <c r="BV16">
        <v>136300</v>
      </c>
      <c r="BW16">
        <v>34075</v>
      </c>
      <c r="BX16">
        <v>6</v>
      </c>
      <c r="BY16">
        <v>219500</v>
      </c>
      <c r="BZ16">
        <v>36583</v>
      </c>
      <c r="CA16">
        <v>10</v>
      </c>
      <c r="CB16">
        <v>355800</v>
      </c>
      <c r="CC16">
        <v>35580</v>
      </c>
      <c r="CF16" t="s">
        <v>44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Z16" t="s">
        <v>337</v>
      </c>
      <c r="DA16">
        <v>3</v>
      </c>
      <c r="DB16">
        <v>6</v>
      </c>
      <c r="DC16">
        <v>4</v>
      </c>
      <c r="DD16">
        <v>0</v>
      </c>
      <c r="DE16">
        <v>0</v>
      </c>
      <c r="DF16">
        <v>0</v>
      </c>
      <c r="DG16">
        <v>13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</row>
    <row r="17" spans="1:118" x14ac:dyDescent="0.3">
      <c r="A17" t="s">
        <v>7</v>
      </c>
      <c r="B17" t="s">
        <v>252</v>
      </c>
      <c r="C17">
        <v>34750.019999999997</v>
      </c>
      <c r="D17">
        <v>365100.33</v>
      </c>
      <c r="E17">
        <v>1</v>
      </c>
      <c r="F17">
        <v>6</v>
      </c>
      <c r="G17">
        <v>2</v>
      </c>
      <c r="H17">
        <v>8</v>
      </c>
      <c r="I17">
        <v>1</v>
      </c>
      <c r="J17">
        <v>6</v>
      </c>
      <c r="K17">
        <v>0</v>
      </c>
      <c r="L17">
        <v>6</v>
      </c>
      <c r="M17">
        <v>175250.02</v>
      </c>
      <c r="N17">
        <v>189850.31</v>
      </c>
      <c r="O17">
        <v>365100.33</v>
      </c>
      <c r="P17">
        <v>1</v>
      </c>
      <c r="Q17">
        <v>3</v>
      </c>
      <c r="R17">
        <v>4</v>
      </c>
      <c r="S17">
        <v>9</v>
      </c>
      <c r="T17">
        <v>0</v>
      </c>
      <c r="U17">
        <v>9</v>
      </c>
      <c r="V17">
        <v>27300</v>
      </c>
      <c r="W17">
        <v>354300.12</v>
      </c>
      <c r="X17">
        <v>381600.12</v>
      </c>
      <c r="Y17" t="s">
        <v>57</v>
      </c>
      <c r="AA17" t="s">
        <v>7</v>
      </c>
      <c r="AB17">
        <v>6600000</v>
      </c>
      <c r="AC17">
        <v>34750.019999999997</v>
      </c>
      <c r="AD17">
        <v>365100.33</v>
      </c>
      <c r="AE17">
        <v>5.5318231820000001E-2</v>
      </c>
      <c r="AF17">
        <v>381600.12</v>
      </c>
      <c r="AG17">
        <v>-16499.79</v>
      </c>
      <c r="AH17">
        <v>2190601.98</v>
      </c>
      <c r="AJ17">
        <v>350000</v>
      </c>
      <c r="AK17">
        <v>3050</v>
      </c>
      <c r="AL17">
        <v>8.7142857140000002E-3</v>
      </c>
      <c r="AM17">
        <v>10600</v>
      </c>
      <c r="AN17">
        <v>-7550</v>
      </c>
      <c r="AO17">
        <v>18300</v>
      </c>
      <c r="AQ17" t="s">
        <v>7</v>
      </c>
      <c r="AR17">
        <v>1</v>
      </c>
      <c r="AS17">
        <v>6</v>
      </c>
      <c r="AT17">
        <v>2</v>
      </c>
      <c r="AU17">
        <v>8</v>
      </c>
      <c r="AV17">
        <v>0.25</v>
      </c>
      <c r="AW17">
        <v>1</v>
      </c>
      <c r="AX17">
        <v>3</v>
      </c>
      <c r="AY17">
        <v>4</v>
      </c>
      <c r="AZ17">
        <v>0.75</v>
      </c>
      <c r="BA17">
        <v>1</v>
      </c>
      <c r="BB17">
        <v>6</v>
      </c>
      <c r="BC17">
        <v>0</v>
      </c>
      <c r="BD17">
        <v>6</v>
      </c>
      <c r="BE17">
        <v>0</v>
      </c>
      <c r="BF17">
        <v>9</v>
      </c>
      <c r="BG17">
        <v>0</v>
      </c>
      <c r="BH17">
        <v>9</v>
      </c>
      <c r="BI17">
        <v>0</v>
      </c>
      <c r="BK17" t="s">
        <v>7</v>
      </c>
      <c r="BL17">
        <v>6</v>
      </c>
      <c r="BM17">
        <v>175250.02</v>
      </c>
      <c r="BN17">
        <v>29208</v>
      </c>
      <c r="BO17">
        <v>6</v>
      </c>
      <c r="BP17">
        <v>189850.31</v>
      </c>
      <c r="BQ17">
        <v>31642</v>
      </c>
      <c r="BR17">
        <v>12</v>
      </c>
      <c r="BS17">
        <v>365100.33</v>
      </c>
      <c r="BT17">
        <v>30425</v>
      </c>
      <c r="BU17">
        <v>1</v>
      </c>
      <c r="BV17">
        <v>27300</v>
      </c>
      <c r="BW17">
        <v>27300</v>
      </c>
      <c r="BX17">
        <v>9</v>
      </c>
      <c r="BY17">
        <v>354300.12</v>
      </c>
      <c r="BZ17">
        <v>39367</v>
      </c>
      <c r="CA17">
        <v>10</v>
      </c>
      <c r="CB17">
        <v>381600.12</v>
      </c>
      <c r="CC17">
        <v>38160</v>
      </c>
      <c r="CF17" t="s">
        <v>7</v>
      </c>
      <c r="CG17">
        <v>0</v>
      </c>
      <c r="CH17">
        <v>6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6</v>
      </c>
      <c r="CP17">
        <v>2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2</v>
      </c>
      <c r="CZ17" t="s">
        <v>338</v>
      </c>
      <c r="DA17">
        <v>0</v>
      </c>
      <c r="DB17">
        <v>2</v>
      </c>
      <c r="DC17">
        <v>0</v>
      </c>
      <c r="DD17">
        <v>0</v>
      </c>
      <c r="DE17">
        <v>0</v>
      </c>
      <c r="DF17">
        <v>0</v>
      </c>
      <c r="DG17">
        <v>2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</row>
    <row r="18" spans="1:118" x14ac:dyDescent="0.3">
      <c r="A18" t="s">
        <v>10</v>
      </c>
      <c r="B18" t="s">
        <v>253</v>
      </c>
      <c r="C18">
        <v>80950</v>
      </c>
      <c r="D18">
        <v>531816.06000000006</v>
      </c>
      <c r="E18">
        <v>2</v>
      </c>
      <c r="F18">
        <v>5</v>
      </c>
      <c r="G18">
        <v>6</v>
      </c>
      <c r="H18">
        <v>11</v>
      </c>
      <c r="I18">
        <v>0</v>
      </c>
      <c r="J18">
        <v>9</v>
      </c>
      <c r="K18">
        <v>1</v>
      </c>
      <c r="L18">
        <v>10</v>
      </c>
      <c r="M18">
        <v>211350.02</v>
      </c>
      <c r="N18">
        <v>320466.03999999998</v>
      </c>
      <c r="O18">
        <v>531816.06000000006</v>
      </c>
      <c r="P18">
        <v>6</v>
      </c>
      <c r="Q18">
        <v>4</v>
      </c>
      <c r="R18">
        <v>10</v>
      </c>
      <c r="S18">
        <v>10</v>
      </c>
      <c r="T18">
        <v>0</v>
      </c>
      <c r="U18">
        <v>10</v>
      </c>
      <c r="V18">
        <v>231975</v>
      </c>
      <c r="W18">
        <v>594000.07999999996</v>
      </c>
      <c r="X18">
        <v>825975.08</v>
      </c>
      <c r="Y18" t="s">
        <v>116</v>
      </c>
      <c r="AA18" t="s">
        <v>10</v>
      </c>
      <c r="AB18">
        <v>6500000</v>
      </c>
      <c r="AC18">
        <v>80950</v>
      </c>
      <c r="AD18">
        <v>531816.06000000006</v>
      </c>
      <c r="AE18">
        <v>8.1817855379999999E-2</v>
      </c>
      <c r="AF18">
        <v>825975.08</v>
      </c>
      <c r="AG18">
        <v>-294159.02</v>
      </c>
      <c r="AH18">
        <v>3190896.36</v>
      </c>
      <c r="AJ18">
        <v>350000</v>
      </c>
      <c r="AK18">
        <v>28115</v>
      </c>
      <c r="AL18">
        <v>8.0328571429999995E-2</v>
      </c>
      <c r="AM18">
        <v>91225</v>
      </c>
      <c r="AN18">
        <v>-63110</v>
      </c>
      <c r="AO18">
        <v>168690</v>
      </c>
      <c r="AQ18" t="s">
        <v>10</v>
      </c>
      <c r="AR18">
        <v>2</v>
      </c>
      <c r="AS18">
        <v>5</v>
      </c>
      <c r="AT18">
        <v>6</v>
      </c>
      <c r="AU18">
        <v>11</v>
      </c>
      <c r="AV18">
        <v>0.54545454550000005</v>
      </c>
      <c r="AW18">
        <v>6</v>
      </c>
      <c r="AX18">
        <v>4</v>
      </c>
      <c r="AY18">
        <v>10</v>
      </c>
      <c r="AZ18">
        <v>0.4</v>
      </c>
      <c r="BA18">
        <v>0</v>
      </c>
      <c r="BB18">
        <v>9</v>
      </c>
      <c r="BC18">
        <v>1</v>
      </c>
      <c r="BD18">
        <v>10</v>
      </c>
      <c r="BE18">
        <v>0.1</v>
      </c>
      <c r="BF18">
        <v>10</v>
      </c>
      <c r="BG18">
        <v>0</v>
      </c>
      <c r="BH18">
        <v>10</v>
      </c>
      <c r="BI18">
        <v>0</v>
      </c>
      <c r="BK18" t="s">
        <v>10</v>
      </c>
      <c r="BL18">
        <v>5</v>
      </c>
      <c r="BM18">
        <v>211350.02</v>
      </c>
      <c r="BN18">
        <v>42270</v>
      </c>
      <c r="BO18">
        <v>9</v>
      </c>
      <c r="BP18">
        <v>320466.03999999998</v>
      </c>
      <c r="BQ18">
        <v>35607</v>
      </c>
      <c r="BR18">
        <v>14</v>
      </c>
      <c r="BS18">
        <v>531816.06000000006</v>
      </c>
      <c r="BT18">
        <v>37987</v>
      </c>
      <c r="BU18">
        <v>6</v>
      </c>
      <c r="BV18">
        <v>231975</v>
      </c>
      <c r="BW18">
        <v>38663</v>
      </c>
      <c r="BX18">
        <v>10</v>
      </c>
      <c r="BY18">
        <v>594000.07999999996</v>
      </c>
      <c r="BZ18">
        <v>59400</v>
      </c>
      <c r="CA18">
        <v>16</v>
      </c>
      <c r="CB18">
        <v>825975.08</v>
      </c>
      <c r="CC18">
        <v>51623</v>
      </c>
      <c r="CF18" t="s">
        <v>10</v>
      </c>
      <c r="CG18">
        <v>0</v>
      </c>
      <c r="CH18">
        <v>3</v>
      </c>
      <c r="CI18">
        <v>2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5</v>
      </c>
      <c r="CP18">
        <v>3</v>
      </c>
      <c r="CQ18">
        <v>2</v>
      </c>
      <c r="CR18">
        <v>0</v>
      </c>
      <c r="CS18">
        <v>3</v>
      </c>
      <c r="CT18">
        <v>0</v>
      </c>
      <c r="CU18">
        <v>0</v>
      </c>
      <c r="CV18">
        <v>0</v>
      </c>
      <c r="CW18">
        <v>0</v>
      </c>
      <c r="CX18">
        <v>8</v>
      </c>
      <c r="CZ18" t="s">
        <v>339</v>
      </c>
      <c r="DA18">
        <v>0</v>
      </c>
      <c r="DB18">
        <v>4</v>
      </c>
      <c r="DC18">
        <v>0</v>
      </c>
      <c r="DD18">
        <v>0</v>
      </c>
      <c r="DE18">
        <v>0</v>
      </c>
      <c r="DF18">
        <v>0</v>
      </c>
      <c r="DG18">
        <v>4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</row>
    <row r="19" spans="1:118" x14ac:dyDescent="0.3">
      <c r="A19" t="s">
        <v>45</v>
      </c>
      <c r="B19" t="s">
        <v>259</v>
      </c>
      <c r="C19">
        <v>0</v>
      </c>
      <c r="D19">
        <v>90150</v>
      </c>
      <c r="E19">
        <v>0</v>
      </c>
      <c r="F19">
        <v>2</v>
      </c>
      <c r="G19">
        <v>1</v>
      </c>
      <c r="H19">
        <v>3</v>
      </c>
      <c r="I19">
        <v>0</v>
      </c>
      <c r="J19">
        <v>1</v>
      </c>
      <c r="K19">
        <v>1</v>
      </c>
      <c r="L19">
        <v>2</v>
      </c>
      <c r="M19">
        <v>45050</v>
      </c>
      <c r="N19">
        <v>45100</v>
      </c>
      <c r="O19">
        <v>90150</v>
      </c>
      <c r="P19">
        <v>0</v>
      </c>
      <c r="Q19">
        <v>1</v>
      </c>
      <c r="R19">
        <v>1</v>
      </c>
      <c r="S19">
        <v>1</v>
      </c>
      <c r="T19">
        <v>1</v>
      </c>
      <c r="U19">
        <v>2</v>
      </c>
      <c r="V19">
        <v>1200</v>
      </c>
      <c r="W19">
        <v>23500</v>
      </c>
      <c r="X19">
        <v>24700</v>
      </c>
      <c r="Y19" t="s">
        <v>116</v>
      </c>
      <c r="AA19" t="s">
        <v>45</v>
      </c>
      <c r="AB19">
        <v>2500000</v>
      </c>
      <c r="AC19">
        <v>0</v>
      </c>
      <c r="AD19">
        <v>90150</v>
      </c>
      <c r="AE19">
        <v>3.6060000000000002E-2</v>
      </c>
      <c r="AF19">
        <v>24700</v>
      </c>
      <c r="AG19">
        <v>65450</v>
      </c>
      <c r="AH19">
        <v>540900</v>
      </c>
      <c r="AJ19">
        <v>300000</v>
      </c>
      <c r="AK19">
        <v>0</v>
      </c>
      <c r="AL19">
        <v>0</v>
      </c>
      <c r="AM19">
        <v>0</v>
      </c>
      <c r="AN19">
        <v>0</v>
      </c>
      <c r="AO19">
        <v>0</v>
      </c>
      <c r="AQ19" t="s">
        <v>45</v>
      </c>
      <c r="AR19">
        <v>0</v>
      </c>
      <c r="AS19">
        <v>2</v>
      </c>
      <c r="AT19">
        <v>1</v>
      </c>
      <c r="AU19">
        <v>3</v>
      </c>
      <c r="AV19">
        <v>0.33333333329999998</v>
      </c>
      <c r="AW19">
        <v>0</v>
      </c>
      <c r="AX19">
        <v>1</v>
      </c>
      <c r="AY19">
        <v>1</v>
      </c>
      <c r="AZ19">
        <v>1</v>
      </c>
      <c r="BA19">
        <v>0</v>
      </c>
      <c r="BB19">
        <v>1</v>
      </c>
      <c r="BC19">
        <v>1</v>
      </c>
      <c r="BD19">
        <v>2</v>
      </c>
      <c r="BE19">
        <v>0.5</v>
      </c>
      <c r="BF19">
        <v>1</v>
      </c>
      <c r="BG19">
        <v>1</v>
      </c>
      <c r="BH19">
        <v>2</v>
      </c>
      <c r="BI19">
        <v>0.5</v>
      </c>
      <c r="BK19" t="s">
        <v>45</v>
      </c>
      <c r="BL19">
        <v>2</v>
      </c>
      <c r="BM19">
        <v>45050</v>
      </c>
      <c r="BN19">
        <v>22525</v>
      </c>
      <c r="BO19">
        <v>1</v>
      </c>
      <c r="BP19">
        <v>45100</v>
      </c>
      <c r="BQ19">
        <v>45100</v>
      </c>
      <c r="BR19">
        <v>3</v>
      </c>
      <c r="BS19">
        <v>90150</v>
      </c>
      <c r="BT19">
        <v>30050</v>
      </c>
      <c r="BU19">
        <v>0</v>
      </c>
      <c r="BV19">
        <v>1200</v>
      </c>
      <c r="BW19">
        <v>0</v>
      </c>
      <c r="BX19">
        <v>1</v>
      </c>
      <c r="BY19">
        <v>23500</v>
      </c>
      <c r="BZ19">
        <v>23500</v>
      </c>
      <c r="CA19">
        <v>1</v>
      </c>
      <c r="CB19">
        <v>24700</v>
      </c>
      <c r="CC19">
        <v>24700</v>
      </c>
      <c r="CF19" t="s">
        <v>45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Z19" t="s">
        <v>41</v>
      </c>
      <c r="DA19">
        <v>59</v>
      </c>
      <c r="DB19">
        <v>75</v>
      </c>
      <c r="DC19">
        <v>8</v>
      </c>
      <c r="DD19">
        <v>0</v>
      </c>
      <c r="DE19">
        <v>0</v>
      </c>
      <c r="DF19">
        <v>0</v>
      </c>
      <c r="DG19">
        <v>142</v>
      </c>
      <c r="DH19">
        <v>91</v>
      </c>
      <c r="DI19">
        <v>64</v>
      </c>
      <c r="DJ19">
        <v>2</v>
      </c>
      <c r="DK19">
        <v>0</v>
      </c>
      <c r="DL19">
        <v>0</v>
      </c>
      <c r="DM19">
        <v>0</v>
      </c>
      <c r="DN19">
        <v>157</v>
      </c>
    </row>
    <row r="20" spans="1:118" x14ac:dyDescent="0.3">
      <c r="A20" t="s">
        <v>304</v>
      </c>
      <c r="B20" t="s">
        <v>254</v>
      </c>
      <c r="C20">
        <v>136020</v>
      </c>
      <c r="D20">
        <v>823820</v>
      </c>
      <c r="E20">
        <v>1</v>
      </c>
      <c r="F20">
        <v>1</v>
      </c>
      <c r="G20">
        <v>5</v>
      </c>
      <c r="H20">
        <v>6</v>
      </c>
      <c r="I20">
        <v>1</v>
      </c>
      <c r="J20">
        <v>7</v>
      </c>
      <c r="K20">
        <v>0</v>
      </c>
      <c r="L20">
        <v>7</v>
      </c>
      <c r="M20">
        <v>120400</v>
      </c>
      <c r="N20">
        <v>703420</v>
      </c>
      <c r="O20">
        <v>823820</v>
      </c>
      <c r="P20">
        <v>1</v>
      </c>
      <c r="Q20">
        <v>2</v>
      </c>
      <c r="R20">
        <v>3</v>
      </c>
      <c r="S20">
        <v>5</v>
      </c>
      <c r="T20">
        <v>0</v>
      </c>
      <c r="U20">
        <v>5</v>
      </c>
      <c r="V20">
        <v>26100</v>
      </c>
      <c r="W20">
        <v>335100.03999999998</v>
      </c>
      <c r="X20">
        <v>361200.04</v>
      </c>
      <c r="Y20" t="s">
        <v>56</v>
      </c>
      <c r="AA20" t="s">
        <v>304</v>
      </c>
      <c r="AB20">
        <v>6000000</v>
      </c>
      <c r="AC20">
        <v>136020</v>
      </c>
      <c r="AD20">
        <v>823820</v>
      </c>
      <c r="AE20">
        <v>0.1373033333</v>
      </c>
      <c r="AF20">
        <v>361200.04</v>
      </c>
      <c r="AG20">
        <v>462619.96</v>
      </c>
      <c r="AH20">
        <v>4942920</v>
      </c>
      <c r="AJ20">
        <v>350000</v>
      </c>
      <c r="AK20">
        <v>24890</v>
      </c>
      <c r="AL20">
        <v>7.1114285710000003E-2</v>
      </c>
      <c r="AM20">
        <v>0</v>
      </c>
      <c r="AN20">
        <v>24890</v>
      </c>
      <c r="AO20">
        <v>149340</v>
      </c>
      <c r="AQ20" t="s">
        <v>304</v>
      </c>
      <c r="AR20">
        <v>1</v>
      </c>
      <c r="AS20">
        <v>1</v>
      </c>
      <c r="AT20">
        <v>5</v>
      </c>
      <c r="AU20">
        <v>6</v>
      </c>
      <c r="AV20">
        <v>0.83333333330000003</v>
      </c>
      <c r="AW20">
        <v>1</v>
      </c>
      <c r="AX20">
        <v>2</v>
      </c>
      <c r="AY20">
        <v>3</v>
      </c>
      <c r="AZ20">
        <v>0.66666666669999997</v>
      </c>
      <c r="BA20">
        <v>1</v>
      </c>
      <c r="BB20">
        <v>7</v>
      </c>
      <c r="BC20">
        <v>0</v>
      </c>
      <c r="BD20">
        <v>7</v>
      </c>
      <c r="BE20">
        <v>0</v>
      </c>
      <c r="BF20">
        <v>5</v>
      </c>
      <c r="BG20">
        <v>0</v>
      </c>
      <c r="BH20">
        <v>5</v>
      </c>
      <c r="BI20">
        <v>0</v>
      </c>
      <c r="BK20" t="s">
        <v>304</v>
      </c>
      <c r="BL20">
        <v>1</v>
      </c>
      <c r="BM20">
        <v>120400</v>
      </c>
      <c r="BN20">
        <v>120400</v>
      </c>
      <c r="BO20">
        <v>7</v>
      </c>
      <c r="BP20">
        <v>703420</v>
      </c>
      <c r="BQ20">
        <v>100489</v>
      </c>
      <c r="BR20">
        <v>8</v>
      </c>
      <c r="BS20">
        <v>823820</v>
      </c>
      <c r="BT20">
        <v>102978</v>
      </c>
      <c r="BU20">
        <v>1</v>
      </c>
      <c r="BV20">
        <v>26100</v>
      </c>
      <c r="BW20">
        <v>26100</v>
      </c>
      <c r="BX20">
        <v>5</v>
      </c>
      <c r="BY20">
        <v>335100.03999999998</v>
      </c>
      <c r="BZ20">
        <v>67020</v>
      </c>
      <c r="CA20">
        <v>6</v>
      </c>
      <c r="CB20">
        <v>361200.04</v>
      </c>
      <c r="CC20">
        <v>60200</v>
      </c>
      <c r="CF20" t="s">
        <v>304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</row>
    <row r="21" spans="1:118" x14ac:dyDescent="0.3">
      <c r="A21" t="s">
        <v>305</v>
      </c>
      <c r="B21" t="s">
        <v>258</v>
      </c>
      <c r="C21">
        <v>2200</v>
      </c>
      <c r="D21">
        <v>247750.69</v>
      </c>
      <c r="E21">
        <v>2</v>
      </c>
      <c r="F21">
        <v>0</v>
      </c>
      <c r="G21">
        <v>4</v>
      </c>
      <c r="H21">
        <v>4</v>
      </c>
      <c r="I21">
        <v>0</v>
      </c>
      <c r="J21">
        <v>6</v>
      </c>
      <c r="K21">
        <v>0</v>
      </c>
      <c r="L21">
        <v>6</v>
      </c>
      <c r="M21">
        <v>4400</v>
      </c>
      <c r="N21">
        <v>243350.69</v>
      </c>
      <c r="O21">
        <v>247750.69</v>
      </c>
      <c r="P21">
        <v>2</v>
      </c>
      <c r="Q21">
        <v>1</v>
      </c>
      <c r="R21">
        <v>3</v>
      </c>
      <c r="S21">
        <v>8</v>
      </c>
      <c r="T21">
        <v>1</v>
      </c>
      <c r="U21">
        <v>9</v>
      </c>
      <c r="V21">
        <v>92100.04</v>
      </c>
      <c r="W21">
        <v>491700</v>
      </c>
      <c r="X21">
        <v>583800.04</v>
      </c>
      <c r="Y21" t="s">
        <v>56</v>
      </c>
      <c r="AA21" t="s">
        <v>305</v>
      </c>
      <c r="AB21">
        <v>6300000</v>
      </c>
      <c r="AC21">
        <v>2200</v>
      </c>
      <c r="AD21">
        <v>247750.69</v>
      </c>
      <c r="AE21">
        <v>3.9325506349999997E-2</v>
      </c>
      <c r="AF21">
        <v>583800.04</v>
      </c>
      <c r="AG21">
        <v>-336049.35</v>
      </c>
      <c r="AH21">
        <v>1486504.14</v>
      </c>
      <c r="AJ21">
        <v>370000</v>
      </c>
      <c r="AK21">
        <v>16783</v>
      </c>
      <c r="AL21">
        <v>4.5359459460000001E-2</v>
      </c>
      <c r="AM21">
        <v>23833</v>
      </c>
      <c r="AN21">
        <v>-7050</v>
      </c>
      <c r="AO21">
        <v>100698</v>
      </c>
      <c r="AQ21" t="s">
        <v>305</v>
      </c>
      <c r="AR21">
        <v>2</v>
      </c>
      <c r="AS21">
        <v>0</v>
      </c>
      <c r="AT21">
        <v>4</v>
      </c>
      <c r="AU21">
        <v>4</v>
      </c>
      <c r="AV21">
        <v>1</v>
      </c>
      <c r="AW21">
        <v>2</v>
      </c>
      <c r="AX21">
        <v>1</v>
      </c>
      <c r="AY21">
        <v>3</v>
      </c>
      <c r="AZ21">
        <v>0.33333333329999998</v>
      </c>
      <c r="BA21">
        <v>0</v>
      </c>
      <c r="BB21">
        <v>6</v>
      </c>
      <c r="BC21">
        <v>0</v>
      </c>
      <c r="BD21">
        <v>6</v>
      </c>
      <c r="BE21">
        <v>0</v>
      </c>
      <c r="BF21">
        <v>8</v>
      </c>
      <c r="BG21">
        <v>1</v>
      </c>
      <c r="BH21">
        <v>9</v>
      </c>
      <c r="BI21">
        <v>0.11111111110000001</v>
      </c>
      <c r="BK21" t="s">
        <v>305</v>
      </c>
      <c r="BL21">
        <v>0</v>
      </c>
      <c r="BM21">
        <v>4400</v>
      </c>
      <c r="BN21">
        <v>0</v>
      </c>
      <c r="BO21">
        <v>6</v>
      </c>
      <c r="BP21">
        <v>243350.69</v>
      </c>
      <c r="BQ21">
        <v>40558</v>
      </c>
      <c r="BR21">
        <v>6</v>
      </c>
      <c r="BS21">
        <v>247750.69</v>
      </c>
      <c r="BT21">
        <v>41292</v>
      </c>
      <c r="BU21">
        <v>2</v>
      </c>
      <c r="BV21">
        <v>92100.04</v>
      </c>
      <c r="BW21">
        <v>46050</v>
      </c>
      <c r="BX21">
        <v>8</v>
      </c>
      <c r="BY21">
        <v>491700</v>
      </c>
      <c r="BZ21">
        <v>61463</v>
      </c>
      <c r="CA21">
        <v>10</v>
      </c>
      <c r="CB21">
        <v>583800.04</v>
      </c>
      <c r="CC21">
        <v>58380</v>
      </c>
      <c r="CF21" t="s">
        <v>305</v>
      </c>
      <c r="CG21">
        <v>0</v>
      </c>
      <c r="CH21">
        <v>3</v>
      </c>
      <c r="CI21">
        <v>3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6</v>
      </c>
      <c r="CP21">
        <v>1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1</v>
      </c>
    </row>
    <row r="22" spans="1:118" x14ac:dyDescent="0.3">
      <c r="A22" t="s">
        <v>306</v>
      </c>
      <c r="B22" t="s">
        <v>277</v>
      </c>
      <c r="C22">
        <v>1000</v>
      </c>
      <c r="D22">
        <v>160700.01999999999</v>
      </c>
      <c r="E22">
        <v>1</v>
      </c>
      <c r="F22">
        <v>3</v>
      </c>
      <c r="G22">
        <v>2</v>
      </c>
      <c r="H22">
        <v>5</v>
      </c>
      <c r="I22">
        <v>0</v>
      </c>
      <c r="J22">
        <v>1</v>
      </c>
      <c r="K22">
        <v>0</v>
      </c>
      <c r="L22">
        <v>1</v>
      </c>
      <c r="M22">
        <v>126150.02</v>
      </c>
      <c r="N22">
        <v>34550</v>
      </c>
      <c r="O22">
        <v>160700.01999999999</v>
      </c>
      <c r="P22">
        <v>1</v>
      </c>
      <c r="Q22">
        <v>5</v>
      </c>
      <c r="R22">
        <v>6</v>
      </c>
      <c r="S22">
        <v>2</v>
      </c>
      <c r="T22">
        <v>0</v>
      </c>
      <c r="U22">
        <v>2</v>
      </c>
      <c r="V22">
        <v>73200</v>
      </c>
      <c r="W22">
        <v>131700</v>
      </c>
      <c r="X22">
        <v>204900</v>
      </c>
      <c r="Y22" t="s">
        <v>56</v>
      </c>
      <c r="AA22" t="s">
        <v>306</v>
      </c>
      <c r="AB22">
        <v>2500000</v>
      </c>
      <c r="AC22">
        <v>1000</v>
      </c>
      <c r="AD22">
        <v>160700.01999999999</v>
      </c>
      <c r="AE22">
        <v>6.4280008E-2</v>
      </c>
      <c r="AF22">
        <v>204900</v>
      </c>
      <c r="AG22">
        <v>-44199.98</v>
      </c>
      <c r="AH22">
        <v>964200.12</v>
      </c>
      <c r="AJ22">
        <v>100000</v>
      </c>
      <c r="AK22">
        <v>5000</v>
      </c>
      <c r="AL22">
        <v>0.05</v>
      </c>
      <c r="AM22">
        <v>2370</v>
      </c>
      <c r="AN22">
        <v>2630</v>
      </c>
      <c r="AO22">
        <v>30000</v>
      </c>
      <c r="AQ22" t="s">
        <v>306</v>
      </c>
      <c r="AR22">
        <v>1</v>
      </c>
      <c r="AS22">
        <v>3</v>
      </c>
      <c r="AT22">
        <v>2</v>
      </c>
      <c r="AU22">
        <v>5</v>
      </c>
      <c r="AV22">
        <v>0.4</v>
      </c>
      <c r="AW22">
        <v>1</v>
      </c>
      <c r="AX22">
        <v>5</v>
      </c>
      <c r="AY22">
        <v>6</v>
      </c>
      <c r="AZ22">
        <v>0.83333333330000003</v>
      </c>
      <c r="BA22">
        <v>0</v>
      </c>
      <c r="BB22">
        <v>1</v>
      </c>
      <c r="BC22">
        <v>0</v>
      </c>
      <c r="BD22">
        <v>1</v>
      </c>
      <c r="BE22">
        <v>0</v>
      </c>
      <c r="BF22">
        <v>2</v>
      </c>
      <c r="BG22">
        <v>0</v>
      </c>
      <c r="BH22">
        <v>2</v>
      </c>
      <c r="BI22">
        <v>0</v>
      </c>
      <c r="BK22" t="s">
        <v>306</v>
      </c>
      <c r="BL22">
        <v>3</v>
      </c>
      <c r="BM22">
        <v>126150.02</v>
      </c>
      <c r="BN22">
        <v>42050</v>
      </c>
      <c r="BO22">
        <v>1</v>
      </c>
      <c r="BP22">
        <v>34550</v>
      </c>
      <c r="BQ22">
        <v>34550</v>
      </c>
      <c r="BR22">
        <v>4</v>
      </c>
      <c r="BS22">
        <v>160700.01999999999</v>
      </c>
      <c r="BT22">
        <v>40175</v>
      </c>
      <c r="BU22">
        <v>1</v>
      </c>
      <c r="BV22">
        <v>73200</v>
      </c>
      <c r="BW22">
        <v>73200</v>
      </c>
      <c r="BX22">
        <v>2</v>
      </c>
      <c r="BY22">
        <v>131700</v>
      </c>
      <c r="BZ22">
        <v>65850</v>
      </c>
      <c r="CA22">
        <v>3</v>
      </c>
      <c r="CB22">
        <v>204900</v>
      </c>
      <c r="CC22">
        <v>68300</v>
      </c>
      <c r="CF22" t="s">
        <v>306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</row>
    <row r="23" spans="1:118" x14ac:dyDescent="0.3">
      <c r="A23" t="s">
        <v>299</v>
      </c>
      <c r="B23" t="s">
        <v>300</v>
      </c>
      <c r="C23">
        <v>1200</v>
      </c>
      <c r="D23">
        <v>3600</v>
      </c>
      <c r="E23">
        <v>1</v>
      </c>
      <c r="F23">
        <v>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>
        <v>3600</v>
      </c>
      <c r="N23">
        <v>0</v>
      </c>
      <c r="O23">
        <v>3600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 t="s">
        <v>56</v>
      </c>
      <c r="AA23" t="s">
        <v>299</v>
      </c>
      <c r="AB23">
        <v>0</v>
      </c>
      <c r="AC23">
        <v>1200</v>
      </c>
      <c r="AD23">
        <v>3600</v>
      </c>
      <c r="AE23" t="s">
        <v>278</v>
      </c>
      <c r="AF23">
        <v>0</v>
      </c>
      <c r="AG23">
        <v>3600</v>
      </c>
      <c r="AH23">
        <v>21600</v>
      </c>
      <c r="AJ23">
        <v>0</v>
      </c>
      <c r="AK23">
        <v>0</v>
      </c>
      <c r="AL23" t="s">
        <v>278</v>
      </c>
      <c r="AM23">
        <v>0</v>
      </c>
      <c r="AN23">
        <v>0</v>
      </c>
      <c r="AO23">
        <v>0</v>
      </c>
      <c r="AQ23" t="s">
        <v>299</v>
      </c>
      <c r="AR23">
        <v>1</v>
      </c>
      <c r="AS23">
        <v>0</v>
      </c>
      <c r="AT23">
        <v>3</v>
      </c>
      <c r="AU23">
        <v>3</v>
      </c>
      <c r="AV23">
        <v>1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K23" t="s">
        <v>299</v>
      </c>
      <c r="BL23">
        <v>0</v>
      </c>
      <c r="BM23">
        <v>3600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3600</v>
      </c>
      <c r="BT23" t="s">
        <v>278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F23" t="s">
        <v>299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</row>
    <row r="24" spans="1:118" x14ac:dyDescent="0.3">
      <c r="A24" t="s">
        <v>8</v>
      </c>
      <c r="B24" t="s">
        <v>255</v>
      </c>
      <c r="C24">
        <v>258650.02</v>
      </c>
      <c r="D24">
        <v>338850.02</v>
      </c>
      <c r="E24">
        <v>3</v>
      </c>
      <c r="F24">
        <v>4</v>
      </c>
      <c r="G24">
        <v>3</v>
      </c>
      <c r="H24">
        <v>7</v>
      </c>
      <c r="I24">
        <v>3</v>
      </c>
      <c r="J24">
        <v>4</v>
      </c>
      <c r="K24">
        <v>0</v>
      </c>
      <c r="L24">
        <v>4</v>
      </c>
      <c r="M24">
        <v>159400</v>
      </c>
      <c r="N24">
        <v>179450.02</v>
      </c>
      <c r="O24">
        <v>338850.02</v>
      </c>
      <c r="P24">
        <v>2</v>
      </c>
      <c r="Q24">
        <v>2</v>
      </c>
      <c r="R24">
        <v>4</v>
      </c>
      <c r="S24">
        <v>2</v>
      </c>
      <c r="T24">
        <v>2</v>
      </c>
      <c r="U24">
        <v>4</v>
      </c>
      <c r="V24">
        <v>59500</v>
      </c>
      <c r="W24">
        <v>46600</v>
      </c>
      <c r="X24">
        <v>106100</v>
      </c>
      <c r="Y24" t="s">
        <v>57</v>
      </c>
      <c r="AA24" t="s">
        <v>8</v>
      </c>
      <c r="AB24">
        <v>2500000</v>
      </c>
      <c r="AC24">
        <v>258650.02</v>
      </c>
      <c r="AD24">
        <v>338850.02</v>
      </c>
      <c r="AE24">
        <v>0.13554000799999999</v>
      </c>
      <c r="AF24">
        <v>106100</v>
      </c>
      <c r="AG24">
        <v>232750.02</v>
      </c>
      <c r="AH24">
        <v>2033100.12</v>
      </c>
      <c r="AJ24">
        <v>130000</v>
      </c>
      <c r="AK24">
        <v>970</v>
      </c>
      <c r="AL24">
        <v>7.4615384620000001E-3</v>
      </c>
      <c r="AM24">
        <v>8100</v>
      </c>
      <c r="AN24">
        <v>-7130</v>
      </c>
      <c r="AO24">
        <v>5820</v>
      </c>
      <c r="AQ24" t="s">
        <v>8</v>
      </c>
      <c r="AR24">
        <v>3</v>
      </c>
      <c r="AS24">
        <v>4</v>
      </c>
      <c r="AT24">
        <v>3</v>
      </c>
      <c r="AU24">
        <v>7</v>
      </c>
      <c r="AV24">
        <v>0.42857142860000003</v>
      </c>
      <c r="AW24">
        <v>2</v>
      </c>
      <c r="AX24">
        <v>2</v>
      </c>
      <c r="AY24">
        <v>4</v>
      </c>
      <c r="AZ24">
        <v>0.5</v>
      </c>
      <c r="BA24">
        <v>3</v>
      </c>
      <c r="BB24">
        <v>4</v>
      </c>
      <c r="BC24">
        <v>0</v>
      </c>
      <c r="BD24">
        <v>4</v>
      </c>
      <c r="BE24">
        <v>0</v>
      </c>
      <c r="BF24">
        <v>2</v>
      </c>
      <c r="BG24">
        <v>2</v>
      </c>
      <c r="BH24">
        <v>4</v>
      </c>
      <c r="BI24">
        <v>0.5</v>
      </c>
      <c r="BK24" t="s">
        <v>8</v>
      </c>
      <c r="BL24">
        <v>4</v>
      </c>
      <c r="BM24">
        <v>159400</v>
      </c>
      <c r="BN24">
        <v>39850</v>
      </c>
      <c r="BO24">
        <v>4</v>
      </c>
      <c r="BP24">
        <v>179450.02</v>
      </c>
      <c r="BQ24">
        <v>44863</v>
      </c>
      <c r="BR24">
        <v>8</v>
      </c>
      <c r="BS24">
        <v>338850.02</v>
      </c>
      <c r="BT24">
        <v>42356</v>
      </c>
      <c r="BU24">
        <v>2</v>
      </c>
      <c r="BV24">
        <v>59500</v>
      </c>
      <c r="BW24">
        <v>29750</v>
      </c>
      <c r="BX24">
        <v>2</v>
      </c>
      <c r="BY24">
        <v>46600</v>
      </c>
      <c r="BZ24">
        <v>23300</v>
      </c>
      <c r="CA24">
        <v>4</v>
      </c>
      <c r="CB24">
        <v>106100</v>
      </c>
      <c r="CC24">
        <v>26525</v>
      </c>
      <c r="CF24" t="s">
        <v>8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</row>
    <row r="25" spans="1:118" x14ac:dyDescent="0.3">
      <c r="A25" t="s">
        <v>9</v>
      </c>
      <c r="B25" t="s">
        <v>256</v>
      </c>
      <c r="C25">
        <v>1200</v>
      </c>
      <c r="D25">
        <v>228699.02</v>
      </c>
      <c r="E25">
        <v>3</v>
      </c>
      <c r="F25">
        <v>2</v>
      </c>
      <c r="G25">
        <v>5</v>
      </c>
      <c r="H25">
        <v>7</v>
      </c>
      <c r="I25">
        <v>0</v>
      </c>
      <c r="J25">
        <v>4</v>
      </c>
      <c r="K25">
        <v>0</v>
      </c>
      <c r="L25">
        <v>4</v>
      </c>
      <c r="M25">
        <v>88150</v>
      </c>
      <c r="N25">
        <v>140549.01999999999</v>
      </c>
      <c r="O25">
        <v>228699.02</v>
      </c>
      <c r="P25">
        <v>1</v>
      </c>
      <c r="Q25">
        <v>2</v>
      </c>
      <c r="R25">
        <v>3</v>
      </c>
      <c r="S25">
        <v>2</v>
      </c>
      <c r="T25">
        <v>0</v>
      </c>
      <c r="U25">
        <v>2</v>
      </c>
      <c r="V25">
        <v>69800</v>
      </c>
      <c r="W25">
        <v>113860</v>
      </c>
      <c r="X25">
        <v>183660</v>
      </c>
      <c r="Y25" t="s">
        <v>310</v>
      </c>
      <c r="AA25" t="s">
        <v>9</v>
      </c>
      <c r="AB25">
        <v>2600000</v>
      </c>
      <c r="AC25">
        <v>1200</v>
      </c>
      <c r="AD25">
        <v>228699.02</v>
      </c>
      <c r="AE25">
        <v>8.7961161539999999E-2</v>
      </c>
      <c r="AF25">
        <v>183660</v>
      </c>
      <c r="AG25">
        <v>45039.02</v>
      </c>
      <c r="AH25">
        <v>1372194.12</v>
      </c>
      <c r="AJ25">
        <v>170000</v>
      </c>
      <c r="AK25">
        <v>22300</v>
      </c>
      <c r="AL25">
        <v>0.13117647060000001</v>
      </c>
      <c r="AM25">
        <v>13245</v>
      </c>
      <c r="AN25">
        <v>9055</v>
      </c>
      <c r="AO25">
        <v>133800</v>
      </c>
      <c r="AQ25" t="s">
        <v>9</v>
      </c>
      <c r="AR25">
        <v>3</v>
      </c>
      <c r="AS25">
        <v>2</v>
      </c>
      <c r="AT25">
        <v>5</v>
      </c>
      <c r="AU25">
        <v>7</v>
      </c>
      <c r="AV25">
        <v>0.71428571429999999</v>
      </c>
      <c r="AW25">
        <v>1</v>
      </c>
      <c r="AX25">
        <v>2</v>
      </c>
      <c r="AY25">
        <v>3</v>
      </c>
      <c r="AZ25">
        <v>0.66666666669999997</v>
      </c>
      <c r="BA25">
        <v>0</v>
      </c>
      <c r="BB25">
        <v>4</v>
      </c>
      <c r="BC25">
        <v>0</v>
      </c>
      <c r="BD25">
        <v>4</v>
      </c>
      <c r="BE25">
        <v>0</v>
      </c>
      <c r="BF25">
        <v>2</v>
      </c>
      <c r="BG25">
        <v>0</v>
      </c>
      <c r="BH25">
        <v>2</v>
      </c>
      <c r="BI25">
        <v>0</v>
      </c>
      <c r="BK25" t="s">
        <v>9</v>
      </c>
      <c r="BL25">
        <v>2</v>
      </c>
      <c r="BM25">
        <v>88150</v>
      </c>
      <c r="BN25">
        <v>44075</v>
      </c>
      <c r="BO25">
        <v>4</v>
      </c>
      <c r="BP25">
        <v>140549.01999999999</v>
      </c>
      <c r="BQ25">
        <v>35137</v>
      </c>
      <c r="BR25">
        <v>6</v>
      </c>
      <c r="BS25">
        <v>228699.02</v>
      </c>
      <c r="BT25">
        <v>38117</v>
      </c>
      <c r="BU25">
        <v>1</v>
      </c>
      <c r="BV25">
        <v>69800</v>
      </c>
      <c r="BW25">
        <v>69800</v>
      </c>
      <c r="BX25">
        <v>2</v>
      </c>
      <c r="BY25">
        <v>113860</v>
      </c>
      <c r="BZ25">
        <v>56930</v>
      </c>
      <c r="CA25">
        <v>3</v>
      </c>
      <c r="CB25">
        <v>183660</v>
      </c>
      <c r="CC25">
        <v>61220</v>
      </c>
      <c r="CF25" t="s">
        <v>9</v>
      </c>
      <c r="CG25">
        <v>0</v>
      </c>
      <c r="CH25">
        <v>0</v>
      </c>
      <c r="CI25">
        <v>3</v>
      </c>
      <c r="CJ25">
        <v>3</v>
      </c>
      <c r="CK25">
        <v>0</v>
      </c>
      <c r="CL25">
        <v>0</v>
      </c>
      <c r="CM25">
        <v>0</v>
      </c>
      <c r="CN25">
        <v>0</v>
      </c>
      <c r="CO25">
        <v>6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</row>
    <row r="26" spans="1:118" x14ac:dyDescent="0.3">
      <c r="A26" t="s">
        <v>266</v>
      </c>
      <c r="B26" t="s">
        <v>267</v>
      </c>
      <c r="C26">
        <v>0</v>
      </c>
      <c r="D26">
        <v>108350</v>
      </c>
      <c r="E26">
        <v>0</v>
      </c>
      <c r="F26">
        <v>2</v>
      </c>
      <c r="G26">
        <v>2</v>
      </c>
      <c r="H26">
        <v>4</v>
      </c>
      <c r="I26">
        <v>0</v>
      </c>
      <c r="J26">
        <v>2</v>
      </c>
      <c r="K26">
        <v>0</v>
      </c>
      <c r="L26">
        <v>2</v>
      </c>
      <c r="M26">
        <v>64250</v>
      </c>
      <c r="N26">
        <v>44100</v>
      </c>
      <c r="O26">
        <v>108350</v>
      </c>
      <c r="P26">
        <v>0</v>
      </c>
      <c r="Q26">
        <v>2</v>
      </c>
      <c r="R26">
        <v>2</v>
      </c>
      <c r="S26">
        <v>3</v>
      </c>
      <c r="T26">
        <v>0</v>
      </c>
      <c r="U26">
        <v>3</v>
      </c>
      <c r="V26">
        <v>2200</v>
      </c>
      <c r="W26">
        <v>183600</v>
      </c>
      <c r="X26">
        <v>185800</v>
      </c>
      <c r="Y26" t="s">
        <v>57</v>
      </c>
      <c r="AA26" t="s">
        <v>266</v>
      </c>
      <c r="AB26">
        <v>2200000</v>
      </c>
      <c r="AC26">
        <v>0</v>
      </c>
      <c r="AD26">
        <v>108350</v>
      </c>
      <c r="AE26">
        <v>4.9250000000000002E-2</v>
      </c>
      <c r="AF26">
        <v>185800</v>
      </c>
      <c r="AG26">
        <v>-77450</v>
      </c>
      <c r="AH26">
        <v>650100</v>
      </c>
      <c r="AJ26">
        <v>150000</v>
      </c>
      <c r="AK26">
        <v>2650</v>
      </c>
      <c r="AL26">
        <v>1.7666666670000001E-2</v>
      </c>
      <c r="AM26">
        <v>0</v>
      </c>
      <c r="AN26">
        <v>2650</v>
      </c>
      <c r="AO26">
        <v>15900</v>
      </c>
      <c r="AQ26" t="s">
        <v>266</v>
      </c>
      <c r="AR26">
        <v>0</v>
      </c>
      <c r="AS26">
        <v>2</v>
      </c>
      <c r="AT26">
        <v>2</v>
      </c>
      <c r="AU26">
        <v>4</v>
      </c>
      <c r="AV26">
        <v>0.5</v>
      </c>
      <c r="AW26">
        <v>0</v>
      </c>
      <c r="AX26">
        <v>2</v>
      </c>
      <c r="AY26">
        <v>2</v>
      </c>
      <c r="AZ26">
        <v>1</v>
      </c>
      <c r="BA26">
        <v>0</v>
      </c>
      <c r="BB26">
        <v>2</v>
      </c>
      <c r="BC26">
        <v>0</v>
      </c>
      <c r="BD26">
        <v>2</v>
      </c>
      <c r="BE26">
        <v>0</v>
      </c>
      <c r="BF26">
        <v>3</v>
      </c>
      <c r="BG26">
        <v>0</v>
      </c>
      <c r="BH26">
        <v>3</v>
      </c>
      <c r="BI26">
        <v>0</v>
      </c>
      <c r="BK26" t="s">
        <v>266</v>
      </c>
      <c r="BL26">
        <v>2</v>
      </c>
      <c r="BM26">
        <v>64250</v>
      </c>
      <c r="BN26">
        <v>32125</v>
      </c>
      <c r="BO26">
        <v>2</v>
      </c>
      <c r="BP26">
        <v>44100</v>
      </c>
      <c r="BQ26">
        <v>22050</v>
      </c>
      <c r="BR26">
        <v>4</v>
      </c>
      <c r="BS26">
        <v>108350</v>
      </c>
      <c r="BT26">
        <v>27088</v>
      </c>
      <c r="BU26">
        <v>0</v>
      </c>
      <c r="BV26">
        <v>2200</v>
      </c>
      <c r="BW26">
        <v>0</v>
      </c>
      <c r="BX26">
        <v>3</v>
      </c>
      <c r="BY26">
        <v>183600</v>
      </c>
      <c r="BZ26">
        <v>61200</v>
      </c>
      <c r="CA26">
        <v>3</v>
      </c>
      <c r="CB26">
        <v>185800</v>
      </c>
      <c r="CC26">
        <v>61933</v>
      </c>
      <c r="CF26" t="s">
        <v>266</v>
      </c>
      <c r="CG26">
        <v>0</v>
      </c>
      <c r="CH26">
        <v>3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3</v>
      </c>
      <c r="CP26">
        <v>2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2</v>
      </c>
    </row>
    <row r="27" spans="1:118" x14ac:dyDescent="0.3">
      <c r="A27" t="s">
        <v>308</v>
      </c>
      <c r="B27" t="s">
        <v>262</v>
      </c>
      <c r="C27">
        <v>0</v>
      </c>
      <c r="D27">
        <v>32000</v>
      </c>
      <c r="E27">
        <v>0</v>
      </c>
      <c r="F27">
        <v>1</v>
      </c>
      <c r="G27">
        <v>0</v>
      </c>
      <c r="H27">
        <v>1</v>
      </c>
      <c r="I27">
        <v>0</v>
      </c>
      <c r="J27">
        <v>0</v>
      </c>
      <c r="K27">
        <v>0</v>
      </c>
      <c r="L27">
        <v>0</v>
      </c>
      <c r="M27">
        <v>32000</v>
      </c>
      <c r="N27">
        <v>0</v>
      </c>
      <c r="O27">
        <v>32000</v>
      </c>
      <c r="P27">
        <v>0</v>
      </c>
      <c r="Q27">
        <v>0</v>
      </c>
      <c r="R27">
        <v>0</v>
      </c>
      <c r="S27">
        <v>1</v>
      </c>
      <c r="T27">
        <v>0</v>
      </c>
      <c r="U27">
        <v>1</v>
      </c>
      <c r="V27">
        <v>0</v>
      </c>
      <c r="W27">
        <v>60000</v>
      </c>
      <c r="X27">
        <v>60000</v>
      </c>
      <c r="Y27" t="s">
        <v>58</v>
      </c>
      <c r="AA27" t="s">
        <v>308</v>
      </c>
      <c r="AB27">
        <v>0</v>
      </c>
      <c r="AC27">
        <v>0</v>
      </c>
      <c r="AD27">
        <v>32000</v>
      </c>
      <c r="AE27" t="s">
        <v>278</v>
      </c>
      <c r="AF27">
        <v>60000</v>
      </c>
      <c r="AG27">
        <v>-28000</v>
      </c>
      <c r="AH27">
        <v>192000</v>
      </c>
      <c r="AJ27">
        <v>0</v>
      </c>
      <c r="AK27">
        <v>0</v>
      </c>
      <c r="AL27" t="s">
        <v>278</v>
      </c>
      <c r="AM27">
        <v>0</v>
      </c>
      <c r="AN27">
        <v>0</v>
      </c>
      <c r="AO27">
        <v>0</v>
      </c>
      <c r="AQ27" t="s">
        <v>308</v>
      </c>
      <c r="AR27">
        <v>0</v>
      </c>
      <c r="AS27">
        <v>1</v>
      </c>
      <c r="AT27">
        <v>0</v>
      </c>
      <c r="AU27">
        <v>1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H27">
        <v>1</v>
      </c>
      <c r="BI27">
        <v>0</v>
      </c>
      <c r="BK27" t="s">
        <v>308</v>
      </c>
      <c r="BL27">
        <v>1</v>
      </c>
      <c r="BM27">
        <v>32000</v>
      </c>
      <c r="BN27">
        <v>32000</v>
      </c>
      <c r="BO27">
        <v>0</v>
      </c>
      <c r="BP27">
        <v>0</v>
      </c>
      <c r="BQ27">
        <v>0</v>
      </c>
      <c r="BR27">
        <v>1</v>
      </c>
      <c r="BS27">
        <v>32000</v>
      </c>
      <c r="BT27">
        <v>32000</v>
      </c>
      <c r="BU27">
        <v>0</v>
      </c>
      <c r="BV27">
        <v>0</v>
      </c>
      <c r="BW27">
        <v>0</v>
      </c>
      <c r="BX27">
        <v>1</v>
      </c>
      <c r="BY27">
        <v>60000</v>
      </c>
      <c r="BZ27">
        <v>60000</v>
      </c>
      <c r="CA27">
        <v>1</v>
      </c>
      <c r="CB27">
        <v>60000</v>
      </c>
      <c r="CC27">
        <v>60000</v>
      </c>
      <c r="CF27" t="s">
        <v>308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1</v>
      </c>
      <c r="CN27">
        <v>0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2</v>
      </c>
      <c r="CX27">
        <v>2</v>
      </c>
    </row>
    <row r="28" spans="1:118" x14ac:dyDescent="0.3">
      <c r="A28" t="s">
        <v>108</v>
      </c>
      <c r="B28" t="s">
        <v>265</v>
      </c>
      <c r="C28">
        <v>0</v>
      </c>
      <c r="D28">
        <v>220450</v>
      </c>
      <c r="E28">
        <v>0</v>
      </c>
      <c r="F28">
        <v>0</v>
      </c>
      <c r="G28">
        <v>4</v>
      </c>
      <c r="H28">
        <v>4</v>
      </c>
      <c r="I28">
        <v>0</v>
      </c>
      <c r="J28">
        <v>4</v>
      </c>
      <c r="K28">
        <v>0</v>
      </c>
      <c r="L28">
        <v>4</v>
      </c>
      <c r="M28">
        <v>4800</v>
      </c>
      <c r="N28">
        <v>215650</v>
      </c>
      <c r="O28">
        <v>220450</v>
      </c>
      <c r="P28">
        <v>0</v>
      </c>
      <c r="Q28">
        <v>0</v>
      </c>
      <c r="R28">
        <v>0</v>
      </c>
      <c r="S28">
        <v>4</v>
      </c>
      <c r="T28">
        <v>0</v>
      </c>
      <c r="U28">
        <v>4</v>
      </c>
      <c r="V28">
        <v>0</v>
      </c>
      <c r="W28">
        <v>160900</v>
      </c>
      <c r="X28">
        <v>160900</v>
      </c>
      <c r="Y28" t="s">
        <v>56</v>
      </c>
      <c r="AA28" t="s">
        <v>108</v>
      </c>
      <c r="AB28">
        <v>2200000</v>
      </c>
      <c r="AC28">
        <v>0</v>
      </c>
      <c r="AD28">
        <v>220450</v>
      </c>
      <c r="AE28">
        <v>0.10020454550000001</v>
      </c>
      <c r="AF28">
        <v>160900</v>
      </c>
      <c r="AG28">
        <v>59550</v>
      </c>
      <c r="AH28">
        <v>1322700</v>
      </c>
      <c r="AJ28">
        <v>150000</v>
      </c>
      <c r="AK28">
        <v>16230</v>
      </c>
      <c r="AL28">
        <v>0.1082</v>
      </c>
      <c r="AM28">
        <v>14170</v>
      </c>
      <c r="AN28">
        <v>2060</v>
      </c>
      <c r="AO28">
        <v>97380</v>
      </c>
      <c r="AQ28" t="s">
        <v>108</v>
      </c>
      <c r="AR28">
        <v>0</v>
      </c>
      <c r="AS28">
        <v>0</v>
      </c>
      <c r="AT28">
        <v>4</v>
      </c>
      <c r="AU28">
        <v>4</v>
      </c>
      <c r="AV28">
        <v>1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4</v>
      </c>
      <c r="BC28">
        <v>0</v>
      </c>
      <c r="BD28">
        <v>4</v>
      </c>
      <c r="BE28">
        <v>0</v>
      </c>
      <c r="BF28">
        <v>4</v>
      </c>
      <c r="BG28">
        <v>0</v>
      </c>
      <c r="BH28">
        <v>4</v>
      </c>
      <c r="BI28">
        <v>0</v>
      </c>
      <c r="BK28" t="s">
        <v>108</v>
      </c>
      <c r="BL28">
        <v>0</v>
      </c>
      <c r="BM28">
        <v>4800</v>
      </c>
      <c r="BN28">
        <v>0</v>
      </c>
      <c r="BO28">
        <v>4</v>
      </c>
      <c r="BP28">
        <v>215650</v>
      </c>
      <c r="BQ28">
        <v>53913</v>
      </c>
      <c r="BR28">
        <v>4</v>
      </c>
      <c r="BS28">
        <v>220450</v>
      </c>
      <c r="BT28">
        <v>55113</v>
      </c>
      <c r="BU28">
        <v>0</v>
      </c>
      <c r="BV28">
        <v>0</v>
      </c>
      <c r="BW28">
        <v>0</v>
      </c>
      <c r="BX28">
        <v>4</v>
      </c>
      <c r="BY28">
        <v>160900</v>
      </c>
      <c r="BZ28">
        <v>40225</v>
      </c>
      <c r="CA28">
        <v>4</v>
      </c>
      <c r="CB28">
        <v>160900</v>
      </c>
      <c r="CC28">
        <v>40225</v>
      </c>
      <c r="CF28" t="s">
        <v>108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</row>
    <row r="29" spans="1:118" x14ac:dyDescent="0.3">
      <c r="A29" t="s">
        <v>280</v>
      </c>
      <c r="B29" t="s">
        <v>281</v>
      </c>
      <c r="C29">
        <v>2200</v>
      </c>
      <c r="D29">
        <v>64250</v>
      </c>
      <c r="E29">
        <v>2</v>
      </c>
      <c r="F29">
        <v>1</v>
      </c>
      <c r="G29">
        <v>2</v>
      </c>
      <c r="H29">
        <v>3</v>
      </c>
      <c r="I29">
        <v>0</v>
      </c>
      <c r="J29">
        <v>1</v>
      </c>
      <c r="K29">
        <v>0</v>
      </c>
      <c r="L29">
        <v>1</v>
      </c>
      <c r="M29">
        <v>19150</v>
      </c>
      <c r="N29">
        <v>45100</v>
      </c>
      <c r="O29">
        <v>64250</v>
      </c>
      <c r="P29">
        <v>2</v>
      </c>
      <c r="Q29">
        <v>0</v>
      </c>
      <c r="R29">
        <v>2</v>
      </c>
      <c r="S29">
        <v>7</v>
      </c>
      <c r="T29">
        <v>0</v>
      </c>
      <c r="U29">
        <v>7</v>
      </c>
      <c r="V29">
        <v>47200</v>
      </c>
      <c r="W29">
        <v>729600</v>
      </c>
      <c r="X29">
        <v>776800</v>
      </c>
      <c r="Y29" t="s">
        <v>56</v>
      </c>
      <c r="AA29" t="s">
        <v>280</v>
      </c>
      <c r="AB29">
        <v>2100000</v>
      </c>
      <c r="AC29">
        <v>2200</v>
      </c>
      <c r="AD29">
        <v>64250</v>
      </c>
      <c r="AE29">
        <v>3.0595238100000002E-2</v>
      </c>
      <c r="AF29">
        <v>776800</v>
      </c>
      <c r="AG29">
        <v>-712550</v>
      </c>
      <c r="AH29">
        <v>385500</v>
      </c>
      <c r="AJ29">
        <v>50000</v>
      </c>
      <c r="AK29">
        <v>0</v>
      </c>
      <c r="AL29">
        <v>0</v>
      </c>
      <c r="AM29">
        <v>9320</v>
      </c>
      <c r="AN29">
        <v>-9320</v>
      </c>
      <c r="AO29">
        <v>0</v>
      </c>
      <c r="AQ29" t="s">
        <v>280</v>
      </c>
      <c r="AR29">
        <v>2</v>
      </c>
      <c r="AS29">
        <v>1</v>
      </c>
      <c r="AT29">
        <v>2</v>
      </c>
      <c r="AU29">
        <v>3</v>
      </c>
      <c r="AV29">
        <v>0.66666666669999997</v>
      </c>
      <c r="AW29">
        <v>2</v>
      </c>
      <c r="AX29">
        <v>0</v>
      </c>
      <c r="AY29">
        <v>2</v>
      </c>
      <c r="AZ29">
        <v>0</v>
      </c>
      <c r="BA29">
        <v>0</v>
      </c>
      <c r="BB29">
        <v>1</v>
      </c>
      <c r="BC29">
        <v>0</v>
      </c>
      <c r="BD29">
        <v>1</v>
      </c>
      <c r="BE29">
        <v>0</v>
      </c>
      <c r="BF29">
        <v>7</v>
      </c>
      <c r="BG29">
        <v>0</v>
      </c>
      <c r="BH29">
        <v>7</v>
      </c>
      <c r="BI29">
        <v>0</v>
      </c>
      <c r="BK29" t="s">
        <v>280</v>
      </c>
      <c r="BL29">
        <v>1</v>
      </c>
      <c r="BM29">
        <v>19150</v>
      </c>
      <c r="BN29">
        <v>19150</v>
      </c>
      <c r="BO29">
        <v>1</v>
      </c>
      <c r="BP29">
        <v>45100</v>
      </c>
      <c r="BQ29">
        <v>45100</v>
      </c>
      <c r="BR29">
        <v>2</v>
      </c>
      <c r="BS29">
        <v>64250</v>
      </c>
      <c r="BT29">
        <v>32125</v>
      </c>
      <c r="BU29">
        <v>2</v>
      </c>
      <c r="BV29">
        <v>47200</v>
      </c>
      <c r="BW29">
        <v>23600</v>
      </c>
      <c r="BX29">
        <v>7</v>
      </c>
      <c r="BY29">
        <v>729600</v>
      </c>
      <c r="BZ29">
        <v>104229</v>
      </c>
      <c r="CA29">
        <v>9</v>
      </c>
      <c r="CB29">
        <v>776800</v>
      </c>
      <c r="CC29">
        <v>86311</v>
      </c>
      <c r="CF29" t="s">
        <v>280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</row>
    <row r="30" spans="1:118" x14ac:dyDescent="0.3">
      <c r="A30" t="s">
        <v>98</v>
      </c>
      <c r="B30" t="s">
        <v>264</v>
      </c>
      <c r="C30">
        <v>34750.019999999997</v>
      </c>
      <c r="D30">
        <v>192750.02</v>
      </c>
      <c r="E30">
        <v>1</v>
      </c>
      <c r="F30">
        <v>5</v>
      </c>
      <c r="G30">
        <v>1</v>
      </c>
      <c r="H30">
        <v>6</v>
      </c>
      <c r="I30">
        <v>0</v>
      </c>
      <c r="J30">
        <v>3</v>
      </c>
      <c r="K30">
        <v>0</v>
      </c>
      <c r="L30">
        <v>3</v>
      </c>
      <c r="M30">
        <v>125600.02</v>
      </c>
      <c r="N30">
        <v>67150</v>
      </c>
      <c r="O30">
        <v>192750.02</v>
      </c>
      <c r="P30">
        <v>1</v>
      </c>
      <c r="Q30">
        <v>3</v>
      </c>
      <c r="R30">
        <v>4</v>
      </c>
      <c r="S30">
        <v>1</v>
      </c>
      <c r="T30">
        <v>0</v>
      </c>
      <c r="U30">
        <v>1</v>
      </c>
      <c r="V30">
        <v>63500</v>
      </c>
      <c r="W30">
        <v>22500</v>
      </c>
      <c r="X30">
        <v>86000</v>
      </c>
      <c r="Y30" t="s">
        <v>116</v>
      </c>
      <c r="AA30" t="s">
        <v>98</v>
      </c>
      <c r="AB30">
        <v>2200000</v>
      </c>
      <c r="AC30">
        <v>34750.019999999997</v>
      </c>
      <c r="AD30">
        <v>192750.02</v>
      </c>
      <c r="AE30">
        <v>8.7613645449999999E-2</v>
      </c>
      <c r="AF30">
        <v>86000</v>
      </c>
      <c r="AG30">
        <v>106750.02</v>
      </c>
      <c r="AH30">
        <v>1156500.1200000001</v>
      </c>
      <c r="AJ30">
        <v>150000</v>
      </c>
      <c r="AK30">
        <v>51273</v>
      </c>
      <c r="AL30">
        <v>0.34182000000000001</v>
      </c>
      <c r="AM30">
        <v>2500</v>
      </c>
      <c r="AN30">
        <v>48773</v>
      </c>
      <c r="AO30">
        <v>307638</v>
      </c>
      <c r="AQ30" t="s">
        <v>98</v>
      </c>
      <c r="AR30">
        <v>1</v>
      </c>
      <c r="AS30">
        <v>5</v>
      </c>
      <c r="AT30">
        <v>1</v>
      </c>
      <c r="AU30">
        <v>6</v>
      </c>
      <c r="AV30">
        <v>0.16666666669999999</v>
      </c>
      <c r="AW30">
        <v>1</v>
      </c>
      <c r="AX30">
        <v>3</v>
      </c>
      <c r="AY30">
        <v>4</v>
      </c>
      <c r="AZ30">
        <v>0.75</v>
      </c>
      <c r="BA30">
        <v>0</v>
      </c>
      <c r="BB30">
        <v>3</v>
      </c>
      <c r="BC30">
        <v>0</v>
      </c>
      <c r="BD30">
        <v>3</v>
      </c>
      <c r="BE30">
        <v>0</v>
      </c>
      <c r="BF30">
        <v>1</v>
      </c>
      <c r="BG30">
        <v>0</v>
      </c>
      <c r="BH30">
        <v>1</v>
      </c>
      <c r="BI30">
        <v>0</v>
      </c>
      <c r="BK30" t="s">
        <v>98</v>
      </c>
      <c r="BL30">
        <v>5</v>
      </c>
      <c r="BM30">
        <v>125600.02</v>
      </c>
      <c r="BN30">
        <v>25120</v>
      </c>
      <c r="BO30">
        <v>3</v>
      </c>
      <c r="BP30">
        <v>67150</v>
      </c>
      <c r="BQ30">
        <v>22383</v>
      </c>
      <c r="BR30">
        <v>8</v>
      </c>
      <c r="BS30">
        <v>192750.02</v>
      </c>
      <c r="BT30">
        <v>24094</v>
      </c>
      <c r="BU30">
        <v>1</v>
      </c>
      <c r="BV30">
        <v>63500</v>
      </c>
      <c r="BW30">
        <v>63500</v>
      </c>
      <c r="BX30">
        <v>1</v>
      </c>
      <c r="BY30">
        <v>22500</v>
      </c>
      <c r="BZ30">
        <v>22500</v>
      </c>
      <c r="CA30">
        <v>2</v>
      </c>
      <c r="CB30">
        <v>86000</v>
      </c>
      <c r="CC30">
        <v>43000</v>
      </c>
      <c r="CF30" t="s">
        <v>98</v>
      </c>
      <c r="CG30">
        <v>0</v>
      </c>
      <c r="CH30">
        <v>3</v>
      </c>
      <c r="CI30">
        <v>0</v>
      </c>
      <c r="CJ30">
        <v>0</v>
      </c>
      <c r="CK30">
        <v>0</v>
      </c>
      <c r="CL30">
        <v>0</v>
      </c>
      <c r="CM30">
        <v>1</v>
      </c>
      <c r="CN30">
        <v>1</v>
      </c>
      <c r="CO30">
        <v>5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</row>
    <row r="31" spans="1:118" x14ac:dyDescent="0.3">
      <c r="A31" t="s">
        <v>84</v>
      </c>
      <c r="B31" t="s">
        <v>261</v>
      </c>
      <c r="C31">
        <v>18200</v>
      </c>
      <c r="D31">
        <v>18200</v>
      </c>
      <c r="E31">
        <v>3</v>
      </c>
      <c r="F31">
        <v>0</v>
      </c>
      <c r="G31">
        <v>6</v>
      </c>
      <c r="H31">
        <v>6</v>
      </c>
      <c r="I31">
        <v>0</v>
      </c>
      <c r="J31">
        <v>0</v>
      </c>
      <c r="K31">
        <v>0</v>
      </c>
      <c r="L31">
        <v>0</v>
      </c>
      <c r="M31">
        <v>18200</v>
      </c>
      <c r="N31">
        <v>0</v>
      </c>
      <c r="O31">
        <v>18200</v>
      </c>
      <c r="P31">
        <v>1</v>
      </c>
      <c r="Q31">
        <v>8</v>
      </c>
      <c r="R31">
        <v>9</v>
      </c>
      <c r="S31">
        <v>0</v>
      </c>
      <c r="T31">
        <v>0</v>
      </c>
      <c r="U31">
        <v>0</v>
      </c>
      <c r="V31">
        <v>15400</v>
      </c>
      <c r="W31">
        <v>0</v>
      </c>
      <c r="X31">
        <v>15400</v>
      </c>
      <c r="Y31" t="s">
        <v>115</v>
      </c>
      <c r="AA31" t="s">
        <v>84</v>
      </c>
      <c r="AB31">
        <v>0</v>
      </c>
      <c r="AC31">
        <v>18200</v>
      </c>
      <c r="AD31">
        <v>18200</v>
      </c>
      <c r="AE31" t="s">
        <v>278</v>
      </c>
      <c r="AF31">
        <v>15400</v>
      </c>
      <c r="AG31">
        <v>2800</v>
      </c>
      <c r="AH31">
        <v>109200</v>
      </c>
      <c r="AJ31">
        <v>65000</v>
      </c>
      <c r="AK31">
        <v>0</v>
      </c>
      <c r="AL31">
        <v>0</v>
      </c>
      <c r="AM31">
        <v>0</v>
      </c>
      <c r="AN31">
        <v>0</v>
      </c>
      <c r="AO31">
        <v>0</v>
      </c>
      <c r="AQ31" t="s">
        <v>84</v>
      </c>
      <c r="AR31">
        <v>3</v>
      </c>
      <c r="AS31">
        <v>0</v>
      </c>
      <c r="AT31">
        <v>6</v>
      </c>
      <c r="AU31">
        <v>6</v>
      </c>
      <c r="AV31">
        <v>1</v>
      </c>
      <c r="AW31">
        <v>1</v>
      </c>
      <c r="AX31">
        <v>8</v>
      </c>
      <c r="AY31">
        <v>9</v>
      </c>
      <c r="AZ31">
        <v>0.88888888889999995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K31" t="s">
        <v>84</v>
      </c>
      <c r="BL31">
        <v>0</v>
      </c>
      <c r="BM31">
        <v>18200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18200</v>
      </c>
      <c r="BT31" t="s">
        <v>278</v>
      </c>
      <c r="BU31">
        <v>1</v>
      </c>
      <c r="BV31">
        <v>15400</v>
      </c>
      <c r="BW31">
        <v>15400</v>
      </c>
      <c r="BX31">
        <v>0</v>
      </c>
      <c r="BY31">
        <v>0</v>
      </c>
      <c r="BZ31">
        <v>0</v>
      </c>
      <c r="CA31">
        <v>1</v>
      </c>
      <c r="CB31">
        <v>15400</v>
      </c>
      <c r="CC31">
        <v>15400</v>
      </c>
      <c r="CF31" t="s">
        <v>84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</row>
    <row r="32" spans="1:118" x14ac:dyDescent="0.3">
      <c r="B32" t="s">
        <v>13</v>
      </c>
      <c r="C32">
        <v>745820.06</v>
      </c>
      <c r="D32">
        <v>7556534.5300000003</v>
      </c>
      <c r="E32">
        <v>23</v>
      </c>
      <c r="F32">
        <v>53</v>
      </c>
      <c r="G32">
        <v>90</v>
      </c>
      <c r="H32">
        <v>143</v>
      </c>
      <c r="I32">
        <v>11</v>
      </c>
      <c r="J32">
        <v>104</v>
      </c>
      <c r="K32">
        <v>5</v>
      </c>
      <c r="L32">
        <v>109</v>
      </c>
      <c r="M32">
        <v>1980699.1</v>
      </c>
      <c r="N32">
        <v>5575835.4299999997</v>
      </c>
      <c r="O32">
        <v>7556534.5300000003</v>
      </c>
      <c r="P32">
        <v>45</v>
      </c>
      <c r="Q32">
        <v>69</v>
      </c>
      <c r="R32">
        <v>114</v>
      </c>
      <c r="S32">
        <v>126</v>
      </c>
      <c r="T32">
        <v>8</v>
      </c>
      <c r="U32">
        <v>134</v>
      </c>
      <c r="V32">
        <v>2111475.08</v>
      </c>
      <c r="W32">
        <v>6175431.0199999996</v>
      </c>
      <c r="X32">
        <v>8286906.0999999996</v>
      </c>
      <c r="AA32" t="s">
        <v>13</v>
      </c>
      <c r="AB32">
        <v>102250000</v>
      </c>
      <c r="AC32">
        <v>745820.06</v>
      </c>
      <c r="AD32">
        <v>7556534.5300000003</v>
      </c>
      <c r="AE32">
        <v>7.3902538190000006E-2</v>
      </c>
      <c r="AF32">
        <v>8286906.0999999996</v>
      </c>
      <c r="AG32">
        <v>-730371.57</v>
      </c>
      <c r="AH32">
        <v>45339207.18</v>
      </c>
      <c r="AJ32">
        <v>6065000</v>
      </c>
      <c r="AK32">
        <v>294272.99</v>
      </c>
      <c r="AL32">
        <v>4.8519866449999997E-2</v>
      </c>
      <c r="AM32">
        <v>373197</v>
      </c>
      <c r="AN32">
        <v>-78924</v>
      </c>
      <c r="AO32">
        <v>1765637.94</v>
      </c>
      <c r="AQ32" t="s">
        <v>13</v>
      </c>
      <c r="AR32">
        <v>23</v>
      </c>
      <c r="AS32">
        <v>53</v>
      </c>
      <c r="AT32">
        <v>90</v>
      </c>
      <c r="AU32">
        <v>143</v>
      </c>
      <c r="AV32">
        <v>0.62937062939999999</v>
      </c>
      <c r="AW32">
        <v>45</v>
      </c>
      <c r="AX32">
        <v>69</v>
      </c>
      <c r="AY32">
        <v>114</v>
      </c>
      <c r="AZ32">
        <v>0.60526315789999996</v>
      </c>
      <c r="BA32">
        <v>11</v>
      </c>
      <c r="BB32">
        <v>104</v>
      </c>
      <c r="BC32">
        <v>5</v>
      </c>
      <c r="BD32">
        <v>109</v>
      </c>
      <c r="BE32">
        <v>4.5871559630000003E-2</v>
      </c>
      <c r="BF32">
        <v>126</v>
      </c>
      <c r="BG32">
        <v>8</v>
      </c>
      <c r="BH32">
        <v>134</v>
      </c>
      <c r="BI32">
        <v>5.9701492539999998E-2</v>
      </c>
      <c r="BK32" t="s">
        <v>13</v>
      </c>
      <c r="BL32">
        <v>53</v>
      </c>
      <c r="BM32">
        <v>1980699.1</v>
      </c>
      <c r="BN32">
        <v>37372</v>
      </c>
      <c r="BO32">
        <v>104</v>
      </c>
      <c r="BP32">
        <v>5575835.4299999997</v>
      </c>
      <c r="BQ32">
        <v>53614</v>
      </c>
      <c r="BR32">
        <v>157</v>
      </c>
      <c r="BS32">
        <v>7556534.5300000003</v>
      </c>
      <c r="BT32">
        <v>48131</v>
      </c>
      <c r="BU32">
        <v>45</v>
      </c>
      <c r="BV32">
        <v>2111475.08</v>
      </c>
      <c r="BW32">
        <v>46922</v>
      </c>
      <c r="BX32">
        <v>126</v>
      </c>
      <c r="BY32">
        <v>6175431.0199999996</v>
      </c>
      <c r="BZ32">
        <v>49011</v>
      </c>
      <c r="CA32">
        <v>171</v>
      </c>
      <c r="CB32">
        <v>8286906.0999999996</v>
      </c>
      <c r="CC32">
        <v>48461</v>
      </c>
      <c r="CF32" t="s">
        <v>13</v>
      </c>
      <c r="CG32">
        <v>0</v>
      </c>
      <c r="CH32">
        <v>36</v>
      </c>
      <c r="CI32">
        <v>19</v>
      </c>
      <c r="CJ32">
        <v>18</v>
      </c>
      <c r="CK32">
        <v>0</v>
      </c>
      <c r="CL32">
        <v>0</v>
      </c>
      <c r="CM32">
        <v>3</v>
      </c>
      <c r="CN32">
        <v>1</v>
      </c>
      <c r="CO32">
        <v>77</v>
      </c>
      <c r="CP32">
        <v>21</v>
      </c>
      <c r="CQ32">
        <v>9</v>
      </c>
      <c r="CR32">
        <v>9</v>
      </c>
      <c r="CS32">
        <v>3</v>
      </c>
      <c r="CT32">
        <v>0</v>
      </c>
      <c r="CU32">
        <v>0</v>
      </c>
      <c r="CV32">
        <v>0</v>
      </c>
      <c r="CW32">
        <v>2</v>
      </c>
      <c r="CX32">
        <v>44</v>
      </c>
    </row>
    <row r="33" spans="8:118" x14ac:dyDescent="0.3">
      <c r="H33">
        <v>148</v>
      </c>
      <c r="AA33" t="s">
        <v>279</v>
      </c>
      <c r="AB33">
        <v>88450000</v>
      </c>
      <c r="AD33">
        <v>6349385.4699999997</v>
      </c>
      <c r="AE33">
        <v>7.1785025099999997E-2</v>
      </c>
      <c r="AF33">
        <v>6712246.0999999996</v>
      </c>
      <c r="AG33">
        <v>-362860.63</v>
      </c>
      <c r="AH33">
        <v>38096312.82</v>
      </c>
      <c r="AJ33">
        <v>5200000</v>
      </c>
      <c r="AK33">
        <v>200849.99</v>
      </c>
      <c r="AL33">
        <v>3.862499808E-2</v>
      </c>
      <c r="AM33">
        <v>325862</v>
      </c>
      <c r="AN33">
        <v>-125012</v>
      </c>
      <c r="AO33">
        <v>1205099.94</v>
      </c>
      <c r="AR33">
        <v>10</v>
      </c>
      <c r="AS33">
        <v>38</v>
      </c>
      <c r="AT33">
        <v>64</v>
      </c>
      <c r="AU33">
        <v>102</v>
      </c>
      <c r="AV33">
        <v>0.62745098040000002</v>
      </c>
      <c r="AW33">
        <v>38</v>
      </c>
      <c r="AX33">
        <v>52</v>
      </c>
      <c r="AY33">
        <v>90</v>
      </c>
      <c r="AZ33">
        <v>0.57777777779999995</v>
      </c>
      <c r="BA33">
        <v>8</v>
      </c>
      <c r="BB33">
        <v>86</v>
      </c>
      <c r="BC33">
        <v>5</v>
      </c>
      <c r="BD33">
        <v>91</v>
      </c>
      <c r="BE33">
        <v>5.4945054950000002E-2</v>
      </c>
      <c r="BF33">
        <v>106</v>
      </c>
      <c r="BG33">
        <v>6</v>
      </c>
      <c r="BH33">
        <v>112</v>
      </c>
      <c r="BI33">
        <v>5.3571428570000003E-2</v>
      </c>
      <c r="BL33">
        <v>38</v>
      </c>
      <c r="BM33">
        <v>1465549.08</v>
      </c>
      <c r="BN33">
        <v>38567</v>
      </c>
      <c r="BO33">
        <v>86</v>
      </c>
      <c r="BP33">
        <v>4883836.3899999997</v>
      </c>
      <c r="BQ33">
        <v>56789</v>
      </c>
      <c r="BR33">
        <v>124</v>
      </c>
      <c r="BS33">
        <v>6349385.4699999997</v>
      </c>
      <c r="BT33">
        <v>51205</v>
      </c>
      <c r="BU33">
        <v>38</v>
      </c>
      <c r="BV33">
        <v>1853875.08</v>
      </c>
      <c r="BW33">
        <v>48786</v>
      </c>
      <c r="BX33">
        <v>106</v>
      </c>
      <c r="BY33">
        <v>4858371.0199999996</v>
      </c>
      <c r="BZ33">
        <v>45834</v>
      </c>
      <c r="CA33">
        <v>144</v>
      </c>
      <c r="CB33">
        <v>6712246.0999999996</v>
      </c>
      <c r="CC33">
        <v>46613</v>
      </c>
      <c r="CE33">
        <v>0</v>
      </c>
      <c r="CZ33" t="s">
        <v>42</v>
      </c>
      <c r="DA33">
        <v>0</v>
      </c>
      <c r="DB33">
        <v>7</v>
      </c>
      <c r="DC33">
        <v>0</v>
      </c>
      <c r="DD33">
        <v>0</v>
      </c>
      <c r="DE33">
        <v>0</v>
      </c>
      <c r="DG33">
        <v>7</v>
      </c>
      <c r="DH33">
        <v>0</v>
      </c>
      <c r="DI33">
        <v>13</v>
      </c>
      <c r="DJ33">
        <v>0</v>
      </c>
      <c r="DK33">
        <v>0</v>
      </c>
      <c r="DM33">
        <v>0</v>
      </c>
      <c r="DN33">
        <v>13</v>
      </c>
    </row>
    <row r="34" spans="8:118" x14ac:dyDescent="0.3">
      <c r="AA34" t="s">
        <v>107</v>
      </c>
      <c r="AB34">
        <v>13800000</v>
      </c>
      <c r="AD34">
        <v>1207149.06</v>
      </c>
      <c r="AE34">
        <v>8.7474569569999994E-2</v>
      </c>
      <c r="AF34">
        <v>1574660</v>
      </c>
      <c r="AG34">
        <v>-367510.94</v>
      </c>
      <c r="AH34">
        <v>7242894.3600000003</v>
      </c>
      <c r="AI34">
        <v>0</v>
      </c>
      <c r="AJ34">
        <v>865000</v>
      </c>
      <c r="AK34">
        <v>93423</v>
      </c>
      <c r="AL34">
        <v>0.10800346819999999</v>
      </c>
      <c r="AM34">
        <v>47335</v>
      </c>
      <c r="AN34">
        <v>46088</v>
      </c>
      <c r="AO34">
        <v>560538</v>
      </c>
      <c r="AR34">
        <v>13</v>
      </c>
      <c r="AS34">
        <v>15</v>
      </c>
      <c r="AT34">
        <v>26</v>
      </c>
      <c r="AU34">
        <v>41</v>
      </c>
      <c r="AV34">
        <v>0.63414634150000004</v>
      </c>
      <c r="AW34">
        <v>7</v>
      </c>
      <c r="AX34">
        <v>17</v>
      </c>
      <c r="AY34">
        <v>24</v>
      </c>
      <c r="AZ34">
        <v>0.70833333330000003</v>
      </c>
      <c r="BA34">
        <v>3</v>
      </c>
      <c r="BB34">
        <v>18</v>
      </c>
      <c r="BC34">
        <v>0</v>
      </c>
      <c r="BD34">
        <v>18</v>
      </c>
      <c r="BE34">
        <v>0</v>
      </c>
      <c r="BF34">
        <v>20</v>
      </c>
      <c r="BG34">
        <v>2</v>
      </c>
      <c r="BH34">
        <v>22</v>
      </c>
      <c r="BI34">
        <v>9.0909090910000004E-2</v>
      </c>
      <c r="BL34">
        <v>15</v>
      </c>
      <c r="BM34">
        <v>515150.02</v>
      </c>
      <c r="BN34">
        <v>34343</v>
      </c>
      <c r="BO34">
        <v>18</v>
      </c>
      <c r="BP34">
        <v>691999.04</v>
      </c>
      <c r="BQ34">
        <v>38444</v>
      </c>
      <c r="BR34">
        <v>33</v>
      </c>
      <c r="BS34">
        <v>1207149.06</v>
      </c>
      <c r="BT34">
        <v>36580</v>
      </c>
      <c r="BU34">
        <v>7</v>
      </c>
      <c r="BV34">
        <v>257600</v>
      </c>
      <c r="BW34">
        <v>36800</v>
      </c>
      <c r="BX34">
        <v>20</v>
      </c>
      <c r="BY34">
        <v>1317060</v>
      </c>
      <c r="BZ34">
        <v>65853</v>
      </c>
      <c r="CA34">
        <v>27</v>
      </c>
      <c r="CB34">
        <v>1574660</v>
      </c>
      <c r="CC34">
        <v>58321</v>
      </c>
      <c r="CE34">
        <v>0</v>
      </c>
      <c r="CZ34" t="s">
        <v>34</v>
      </c>
      <c r="DA34">
        <v>0</v>
      </c>
      <c r="DB34">
        <v>0</v>
      </c>
      <c r="DC34">
        <v>0</v>
      </c>
      <c r="DD34">
        <v>0</v>
      </c>
      <c r="DE34">
        <v>0</v>
      </c>
      <c r="DG34">
        <v>0</v>
      </c>
      <c r="DH34">
        <v>4</v>
      </c>
      <c r="DI34">
        <v>2</v>
      </c>
      <c r="DJ34">
        <v>0</v>
      </c>
      <c r="DK34">
        <v>0</v>
      </c>
      <c r="DM34">
        <v>0</v>
      </c>
      <c r="DN34">
        <v>6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224945-8E77-4B4E-BA9C-F17068F8D7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YoY Pt Growth</vt:lpstr>
      <vt:lpstr>YoY Sales Growth</vt:lpstr>
      <vt:lpstr>Sales Summary</vt:lpstr>
      <vt:lpstr>CHC Sales - YTD</vt:lpstr>
      <vt:lpstr>OL Sales YTD</vt:lpstr>
      <vt:lpstr>MT- MNT TRACKER</vt:lpstr>
      <vt:lpstr>ABV</vt:lpstr>
      <vt:lpstr>Box Enrollment</vt:lpstr>
      <vt:lpstr>Package Enrollment</vt:lpstr>
      <vt:lpstr>Sheet1</vt:lpstr>
      <vt:lpstr>East</vt:lpstr>
      <vt:lpstr>SalesTracker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</dc:creator>
  <cp:lastModifiedBy>Raka</cp:lastModifiedBy>
  <cp:lastPrinted>2025-06-18T05:09:00Z</cp:lastPrinted>
  <dcterms:created xsi:type="dcterms:W3CDTF">2023-07-17T11:08:07Z</dcterms:created>
  <dcterms:modified xsi:type="dcterms:W3CDTF">2026-04-06T11:21:09Z</dcterms:modified>
</cp:coreProperties>
</file>