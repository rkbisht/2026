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kesh Bisht\rk\"/>
    </mc:Choice>
  </mc:AlternateContent>
  <xr:revisionPtr revIDLastSave="0" documentId="13_ncr:1_{F4C96706-F02D-4061-8C06-15C54DF2823D}" xr6:coauthVersionLast="47" xr6:coauthVersionMax="47" xr10:uidLastSave="{00000000-0000-0000-0000-000000000000}"/>
  <bookViews>
    <workbookView xWindow="-108" yWindow="-108" windowWidth="23256" windowHeight="12456" activeTab="1" xr2:uid="{8845BF95-FDD8-446A-9F6C-E982CF832BD6}"/>
  </bookViews>
  <sheets>
    <sheet name="abv" sheetId="31" r:id="rId1"/>
    <sheet name="MT-MNT" sheetId="29" r:id="rId2"/>
    <sheet name="REVENUE" sheetId="30" r:id="rId3"/>
    <sheet name="2026-27" sheetId="33" r:id="rId4"/>
    <sheet name="TgtvsAch-CHC" sheetId="25" r:id="rId5"/>
    <sheet name="2025-26" sheetId="32" r:id="rId6"/>
    <sheet name="MT-MNT 2023-24" sheetId="2" r:id="rId7"/>
    <sheet name="2024-25" sheetId="27" r:id="rId8"/>
    <sheet name="2023-24" sheetId="20" r:id="rId9"/>
    <sheet name="Revenue2023-24" sheetId="12" r:id="rId10"/>
    <sheet name="2022-23" sheetId="6" r:id="rId11"/>
    <sheet name="YoY Growth" sheetId="7" r:id="rId12"/>
  </sheets>
  <definedNames>
    <definedName name="_xlnm._FilterDatabase" localSheetId="10" hidden="1">'2022-23'!$A$3:$P$19</definedName>
    <definedName name="_xlnm._FilterDatabase" localSheetId="4" hidden="1">'TgtvsAch-CHC'!$A$2:$A$32</definedName>
    <definedName name="_xlnm._FilterDatabase" localSheetId="11" hidden="1">'YoY Growth'!#REF!</definedName>
    <definedName name="NEW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7" i="29" l="1"/>
  <c r="M37" i="29"/>
  <c r="AS5" i="33"/>
  <c r="AO5" i="33"/>
  <c r="BC5" i="29"/>
  <c r="BC36" i="29" s="1"/>
  <c r="BC6" i="29"/>
  <c r="BC7" i="29"/>
  <c r="BC8" i="29"/>
  <c r="BC9" i="29"/>
  <c r="BC10" i="29"/>
  <c r="BC11" i="29"/>
  <c r="BC12" i="29"/>
  <c r="BC13" i="29"/>
  <c r="BC14" i="29"/>
  <c r="BC15" i="29"/>
  <c r="BC16" i="29"/>
  <c r="BC17" i="29"/>
  <c r="BC18" i="29"/>
  <c r="BC19" i="29"/>
  <c r="BC20" i="29"/>
  <c r="BC21" i="29"/>
  <c r="BC22" i="29"/>
  <c r="BC23" i="29"/>
  <c r="BC24" i="29"/>
  <c r="BC25" i="29"/>
  <c r="BC26" i="29"/>
  <c r="BC27" i="29"/>
  <c r="BC28" i="29"/>
  <c r="BC29" i="29"/>
  <c r="BC30" i="29"/>
  <c r="BC31" i="29"/>
  <c r="BC32" i="29"/>
  <c r="BC33" i="29"/>
  <c r="BC34" i="29"/>
  <c r="BC35" i="29"/>
  <c r="BC4" i="29"/>
  <c r="BA36" i="29"/>
  <c r="BB36" i="29"/>
  <c r="M5" i="29"/>
  <c r="M36" i="29" s="1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K36" i="29"/>
  <c r="L36" i="29"/>
  <c r="M4" i="29"/>
  <c r="E35" i="30"/>
  <c r="U35" i="30"/>
  <c r="AZ35" i="25"/>
  <c r="AY35" i="25"/>
  <c r="BA4" i="25"/>
  <c r="BA5" i="25"/>
  <c r="BA6" i="25"/>
  <c r="BA7" i="25"/>
  <c r="BA8" i="25"/>
  <c r="BA9" i="25"/>
  <c r="BA10" i="25"/>
  <c r="BA11" i="25"/>
  <c r="BA12" i="25"/>
  <c r="BA13" i="25"/>
  <c r="BA14" i="25"/>
  <c r="BA15" i="25"/>
  <c r="BA16" i="25"/>
  <c r="BA17" i="25"/>
  <c r="BA18" i="25"/>
  <c r="BA19" i="25"/>
  <c r="BA20" i="25"/>
  <c r="BA21" i="25"/>
  <c r="BA22" i="25"/>
  <c r="BA23" i="25"/>
  <c r="BA24" i="25"/>
  <c r="BA25" i="25"/>
  <c r="BA26" i="25"/>
  <c r="BA27" i="25"/>
  <c r="BA28" i="25"/>
  <c r="BA29" i="25"/>
  <c r="BA30" i="25"/>
  <c r="BA31" i="25"/>
  <c r="BA32" i="25"/>
  <c r="BA33" i="25"/>
  <c r="BA34" i="25"/>
  <c r="BA3" i="25"/>
  <c r="M35" i="25"/>
  <c r="L35" i="25"/>
  <c r="K35" i="25"/>
  <c r="M4" i="25"/>
  <c r="M5" i="25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" i="25"/>
  <c r="AT5" i="33"/>
  <c r="AU5" i="33"/>
  <c r="AV5" i="33"/>
  <c r="AT6" i="33"/>
  <c r="AU6" i="33"/>
  <c r="AV6" i="33"/>
  <c r="AW6" i="33"/>
  <c r="AT7" i="33"/>
  <c r="AU7" i="33"/>
  <c r="AV7" i="33"/>
  <c r="AW7" i="33"/>
  <c r="AT8" i="33"/>
  <c r="AU8" i="33"/>
  <c r="AV8" i="33"/>
  <c r="AW8" i="33"/>
  <c r="AT9" i="33"/>
  <c r="AU9" i="33"/>
  <c r="AV9" i="33"/>
  <c r="AW9" i="33"/>
  <c r="AT10" i="33"/>
  <c r="AU10" i="33"/>
  <c r="AV10" i="33"/>
  <c r="AW10" i="33"/>
  <c r="AT11" i="33"/>
  <c r="AU11" i="33"/>
  <c r="AV11" i="33"/>
  <c r="AW11" i="33"/>
  <c r="AT12" i="33"/>
  <c r="AU12" i="33"/>
  <c r="AV12" i="33"/>
  <c r="AW12" i="33"/>
  <c r="AT13" i="33"/>
  <c r="AU13" i="33"/>
  <c r="AV13" i="33"/>
  <c r="AW13" i="33"/>
  <c r="AT14" i="33"/>
  <c r="AU14" i="33"/>
  <c r="AV14" i="33"/>
  <c r="AW14" i="33"/>
  <c r="AT15" i="33"/>
  <c r="AU15" i="33"/>
  <c r="AV15" i="33"/>
  <c r="AW15" i="33"/>
  <c r="AT16" i="33"/>
  <c r="AU16" i="33"/>
  <c r="AV16" i="33"/>
  <c r="AW16" i="33"/>
  <c r="AT17" i="33"/>
  <c r="AU17" i="33"/>
  <c r="AV17" i="33"/>
  <c r="AW17" i="33"/>
  <c r="AT18" i="33"/>
  <c r="AU18" i="33"/>
  <c r="AV18" i="33"/>
  <c r="AW18" i="33"/>
  <c r="AT19" i="33"/>
  <c r="AU19" i="33"/>
  <c r="AV19" i="33"/>
  <c r="AW19" i="33"/>
  <c r="AT20" i="33"/>
  <c r="AU20" i="33"/>
  <c r="AV20" i="33"/>
  <c r="AW20" i="33"/>
  <c r="AT21" i="33"/>
  <c r="AU21" i="33"/>
  <c r="AV21" i="33"/>
  <c r="AW21" i="33"/>
  <c r="AT22" i="33"/>
  <c r="AU22" i="33"/>
  <c r="AV22" i="33"/>
  <c r="AW22" i="33"/>
  <c r="AT23" i="33"/>
  <c r="AU23" i="33"/>
  <c r="AV23" i="33"/>
  <c r="AW23" i="33"/>
  <c r="AT24" i="33"/>
  <c r="AU24" i="33"/>
  <c r="AV24" i="33"/>
  <c r="AW24" i="33"/>
  <c r="AT25" i="33"/>
  <c r="AU25" i="33"/>
  <c r="AV25" i="33"/>
  <c r="AW25" i="33"/>
  <c r="AT26" i="33"/>
  <c r="AU26" i="33"/>
  <c r="AV26" i="33"/>
  <c r="AW26" i="33"/>
  <c r="AT27" i="33"/>
  <c r="AU27" i="33"/>
  <c r="AV27" i="33"/>
  <c r="AW27" i="33"/>
  <c r="AT28" i="33"/>
  <c r="AU28" i="33"/>
  <c r="AV28" i="33"/>
  <c r="AW28" i="33"/>
  <c r="AT29" i="33"/>
  <c r="AU29" i="33"/>
  <c r="AV29" i="33"/>
  <c r="AW29" i="33"/>
  <c r="AT30" i="33"/>
  <c r="AU30" i="33"/>
  <c r="AV30" i="33"/>
  <c r="AW30" i="33"/>
  <c r="AT31" i="33"/>
  <c r="AU31" i="33"/>
  <c r="AV31" i="33"/>
  <c r="AW31" i="33"/>
  <c r="AT32" i="33"/>
  <c r="AU32" i="33"/>
  <c r="AV32" i="33"/>
  <c r="AW32" i="33"/>
  <c r="AT33" i="33"/>
  <c r="AU33" i="33"/>
  <c r="AV33" i="33"/>
  <c r="AW33" i="33"/>
  <c r="AT34" i="33"/>
  <c r="AU34" i="33"/>
  <c r="AV34" i="33"/>
  <c r="AW34" i="33"/>
  <c r="AT35" i="33"/>
  <c r="AU35" i="33"/>
  <c r="AV35" i="33"/>
  <c r="AW35" i="33"/>
  <c r="AU4" i="33"/>
  <c r="AV4" i="33"/>
  <c r="AW4" i="33"/>
  <c r="AT4" i="33"/>
  <c r="AR5" i="33"/>
  <c r="AR6" i="33"/>
  <c r="AR7" i="33"/>
  <c r="AR8" i="33"/>
  <c r="AR9" i="33"/>
  <c r="AR10" i="33"/>
  <c r="AR11" i="33"/>
  <c r="AR12" i="33"/>
  <c r="AR13" i="33"/>
  <c r="AR14" i="33"/>
  <c r="AR15" i="33"/>
  <c r="AR16" i="33"/>
  <c r="AR17" i="33"/>
  <c r="AR18" i="33"/>
  <c r="AR19" i="33"/>
  <c r="AR20" i="33"/>
  <c r="AR21" i="33"/>
  <c r="AR22" i="33"/>
  <c r="AR23" i="33"/>
  <c r="AR24" i="33"/>
  <c r="AR25" i="33"/>
  <c r="AR26" i="33"/>
  <c r="AR27" i="33"/>
  <c r="AR28" i="33"/>
  <c r="AR29" i="33"/>
  <c r="AR30" i="33"/>
  <c r="AR31" i="33"/>
  <c r="AR32" i="33"/>
  <c r="AR33" i="33"/>
  <c r="AR34" i="33"/>
  <c r="AR35" i="33"/>
  <c r="AN5" i="33"/>
  <c r="AN9" i="33"/>
  <c r="AN13" i="33"/>
  <c r="AN21" i="33"/>
  <c r="AN25" i="33"/>
  <c r="AN26" i="33"/>
  <c r="AN28" i="33"/>
  <c r="AN30" i="33"/>
  <c r="AN31" i="33"/>
  <c r="AN33" i="33"/>
  <c r="AN34" i="33"/>
  <c r="AN4" i="33"/>
  <c r="AG5" i="33"/>
  <c r="AG36" i="33" s="1"/>
  <c r="AC5" i="33"/>
  <c r="U5" i="33"/>
  <c r="Q5" i="33"/>
  <c r="I5" i="33"/>
  <c r="I36" i="33" s="1"/>
  <c r="E5" i="33"/>
  <c r="AK37" i="33"/>
  <c r="Y37" i="33"/>
  <c r="M37" i="33"/>
  <c r="C36" i="33"/>
  <c r="D36" i="33"/>
  <c r="E36" i="33"/>
  <c r="F36" i="33"/>
  <c r="G36" i="33"/>
  <c r="H36" i="33"/>
  <c r="J36" i="33"/>
  <c r="K36" i="33"/>
  <c r="L36" i="33"/>
  <c r="M36" i="33"/>
  <c r="N36" i="33"/>
  <c r="O36" i="33"/>
  <c r="P36" i="33"/>
  <c r="Q36" i="33"/>
  <c r="R36" i="33"/>
  <c r="S36" i="33"/>
  <c r="T36" i="33"/>
  <c r="U36" i="33"/>
  <c r="V36" i="33"/>
  <c r="W36" i="33"/>
  <c r="X36" i="33"/>
  <c r="Y36" i="33"/>
  <c r="Z36" i="33"/>
  <c r="AA36" i="33"/>
  <c r="AB36" i="33"/>
  <c r="AC36" i="33"/>
  <c r="AD36" i="33"/>
  <c r="AE36" i="33"/>
  <c r="AF36" i="33"/>
  <c r="AH36" i="33"/>
  <c r="AI36" i="33"/>
  <c r="AJ36" i="33"/>
  <c r="AK36" i="33"/>
  <c r="B36" i="33"/>
  <c r="BA35" i="25" l="1"/>
  <c r="AN29" i="33"/>
  <c r="AR4" i="33"/>
  <c r="AN19" i="33"/>
  <c r="AN11" i="33"/>
  <c r="AN7" i="33"/>
  <c r="AN18" i="33"/>
  <c r="AN14" i="33"/>
  <c r="AN17" i="33"/>
  <c r="AN35" i="33"/>
  <c r="AN20" i="33"/>
  <c r="AN32" i="33"/>
  <c r="AN22" i="33"/>
  <c r="AN15" i="33"/>
  <c r="AN8" i="33"/>
  <c r="AN10" i="33"/>
  <c r="AN27" i="33"/>
  <c r="AN24" i="33"/>
  <c r="AN6" i="33"/>
  <c r="AN23" i="33"/>
  <c r="AN16" i="33"/>
  <c r="AN12" i="33"/>
  <c r="AY36" i="29"/>
  <c r="AZ36" i="29"/>
  <c r="AX36" i="29"/>
  <c r="AZ5" i="29"/>
  <c r="AZ6" i="29"/>
  <c r="AZ7" i="29"/>
  <c r="AZ8" i="29"/>
  <c r="AZ9" i="29"/>
  <c r="AZ10" i="29"/>
  <c r="AZ11" i="29"/>
  <c r="AZ12" i="29"/>
  <c r="AZ13" i="29"/>
  <c r="AZ14" i="29"/>
  <c r="AZ15" i="29"/>
  <c r="AZ16" i="29"/>
  <c r="AZ17" i="29"/>
  <c r="AZ18" i="29"/>
  <c r="AZ19" i="29"/>
  <c r="AZ20" i="29"/>
  <c r="AZ21" i="29"/>
  <c r="AZ22" i="29"/>
  <c r="AZ23" i="29"/>
  <c r="AZ24" i="29"/>
  <c r="AZ25" i="29"/>
  <c r="AZ26" i="29"/>
  <c r="AZ27" i="29"/>
  <c r="AZ28" i="29"/>
  <c r="AZ29" i="29"/>
  <c r="AZ30" i="29"/>
  <c r="AZ31" i="29"/>
  <c r="AZ32" i="29"/>
  <c r="AZ33" i="29"/>
  <c r="AZ34" i="29"/>
  <c r="AZ35" i="29"/>
  <c r="AZ4" i="29"/>
  <c r="J9" i="29"/>
  <c r="J11" i="29"/>
  <c r="J15" i="29"/>
  <c r="J19" i="29"/>
  <c r="J25" i="29"/>
  <c r="J27" i="29"/>
  <c r="J28" i="29"/>
  <c r="J30" i="29"/>
  <c r="J35" i="29"/>
  <c r="J4" i="29"/>
  <c r="S35" i="30"/>
  <c r="R35" i="30"/>
  <c r="C35" i="30"/>
  <c r="B35" i="30"/>
  <c r="I36" i="29" l="1"/>
  <c r="J20" i="29"/>
  <c r="J23" i="29"/>
  <c r="H36" i="29"/>
  <c r="J34" i="29"/>
  <c r="J22" i="29"/>
  <c r="J33" i="29"/>
  <c r="J14" i="29"/>
  <c r="J7" i="29"/>
  <c r="J24" i="29"/>
  <c r="J17" i="29"/>
  <c r="J13" i="29"/>
  <c r="J6" i="29"/>
  <c r="J12" i="29"/>
  <c r="J32" i="29"/>
  <c r="J10" i="29"/>
  <c r="J29" i="29"/>
  <c r="J5" i="29"/>
  <c r="J26" i="29"/>
  <c r="J18" i="29"/>
  <c r="J8" i="29"/>
  <c r="J16" i="29"/>
  <c r="J31" i="29"/>
  <c r="J21" i="29"/>
  <c r="T35" i="30"/>
  <c r="D35" i="30"/>
  <c r="AH5" i="33"/>
  <c r="AI5" i="33"/>
  <c r="AH6" i="33"/>
  <c r="AI6" i="33"/>
  <c r="AH7" i="33"/>
  <c r="AI7" i="33"/>
  <c r="AH8" i="33"/>
  <c r="AJ8" i="33" s="1"/>
  <c r="AI8" i="33"/>
  <c r="AH9" i="33"/>
  <c r="AI9" i="33"/>
  <c r="AH10" i="33"/>
  <c r="AI10" i="33"/>
  <c r="AJ10" i="33"/>
  <c r="AH11" i="33"/>
  <c r="AI11" i="33"/>
  <c r="AH12" i="33"/>
  <c r="AJ12" i="33" s="1"/>
  <c r="AI12" i="33"/>
  <c r="AH13" i="33"/>
  <c r="AI13" i="33"/>
  <c r="AH14" i="33"/>
  <c r="AI14" i="33"/>
  <c r="AH15" i="33"/>
  <c r="AI15" i="33"/>
  <c r="AH16" i="33"/>
  <c r="AI16" i="33"/>
  <c r="AH17" i="33"/>
  <c r="AI17" i="33"/>
  <c r="AH18" i="33"/>
  <c r="AI18" i="33"/>
  <c r="AJ18" i="33" s="1"/>
  <c r="AH19" i="33"/>
  <c r="AI19" i="33"/>
  <c r="AH20" i="33"/>
  <c r="AJ20" i="33" s="1"/>
  <c r="AI20" i="33"/>
  <c r="AH21" i="33"/>
  <c r="AI21" i="33"/>
  <c r="AH22" i="33"/>
  <c r="AI22" i="33"/>
  <c r="AH23" i="33"/>
  <c r="AI23" i="33"/>
  <c r="AH24" i="33"/>
  <c r="AJ24" i="33" s="1"/>
  <c r="AI24" i="33"/>
  <c r="AH25" i="33"/>
  <c r="AI25" i="33"/>
  <c r="AH26" i="33"/>
  <c r="AI26" i="33"/>
  <c r="AJ26" i="33"/>
  <c r="AH27" i="33"/>
  <c r="AI27" i="33"/>
  <c r="AH28" i="33"/>
  <c r="AI28" i="33"/>
  <c r="AH29" i="33"/>
  <c r="AI29" i="33"/>
  <c r="AH30" i="33"/>
  <c r="AI30" i="33"/>
  <c r="AH31" i="33"/>
  <c r="AI31" i="33"/>
  <c r="AH32" i="33"/>
  <c r="AI32" i="33"/>
  <c r="AJ32" i="33" s="1"/>
  <c r="AH33" i="33"/>
  <c r="AI33" i="33"/>
  <c r="AH34" i="33"/>
  <c r="AI34" i="33"/>
  <c r="AJ34" i="33" s="1"/>
  <c r="AH35" i="33"/>
  <c r="AI35" i="33"/>
  <c r="AP36" i="33"/>
  <c r="AQ36" i="33"/>
  <c r="AN36" i="33"/>
  <c r="AI4" i="33"/>
  <c r="AM36" i="33" s="1"/>
  <c r="AL36" i="33"/>
  <c r="AH4" i="33"/>
  <c r="AK6" i="33"/>
  <c r="AK9" i="33"/>
  <c r="AK13" i="33"/>
  <c r="AK17" i="33"/>
  <c r="AK22" i="33"/>
  <c r="AK25" i="33"/>
  <c r="AK29" i="33"/>
  <c r="AK33" i="33"/>
  <c r="AB6" i="33"/>
  <c r="AB7" i="33"/>
  <c r="AB8" i="33"/>
  <c r="AB9" i="33"/>
  <c r="AB10" i="33"/>
  <c r="AB11" i="33"/>
  <c r="AB12" i="33"/>
  <c r="AB13" i="33"/>
  <c r="AB14" i="33"/>
  <c r="AB15" i="33"/>
  <c r="AB16" i="33"/>
  <c r="AB17" i="33"/>
  <c r="AB18" i="33"/>
  <c r="AB19" i="33"/>
  <c r="AB20" i="33"/>
  <c r="AB21" i="33"/>
  <c r="AB22" i="33"/>
  <c r="AB23" i="33"/>
  <c r="AB24" i="33"/>
  <c r="AB25" i="33"/>
  <c r="AB26" i="33"/>
  <c r="AB27" i="33"/>
  <c r="AB28" i="33"/>
  <c r="AB29" i="33"/>
  <c r="AB30" i="33"/>
  <c r="AB31" i="33"/>
  <c r="AB32" i="33"/>
  <c r="AB33" i="33"/>
  <c r="AB34" i="33"/>
  <c r="AB35" i="33"/>
  <c r="AF5" i="33"/>
  <c r="AF6" i="33"/>
  <c r="AF7" i="33"/>
  <c r="AF8" i="33"/>
  <c r="AF9" i="33"/>
  <c r="AF10" i="33"/>
  <c r="AF11" i="33"/>
  <c r="AF12" i="33"/>
  <c r="AF13" i="33"/>
  <c r="AF14" i="33"/>
  <c r="AF15" i="33"/>
  <c r="AF16" i="33"/>
  <c r="AF17" i="33"/>
  <c r="AF18" i="33"/>
  <c r="AF19" i="33"/>
  <c r="AF20" i="33"/>
  <c r="AF21" i="33"/>
  <c r="AF22" i="33"/>
  <c r="AF23" i="33"/>
  <c r="AF24" i="33"/>
  <c r="AF25" i="33"/>
  <c r="AF26" i="33"/>
  <c r="AF27" i="33"/>
  <c r="AF28" i="33"/>
  <c r="AF29" i="33"/>
  <c r="AF30" i="33"/>
  <c r="AF31" i="33"/>
  <c r="AF32" i="33"/>
  <c r="AF33" i="33"/>
  <c r="AF34" i="33"/>
  <c r="AF35" i="33"/>
  <c r="AF4" i="33"/>
  <c r="AB4" i="33"/>
  <c r="AR36" i="33"/>
  <c r="AS36" i="33"/>
  <c r="AT36" i="33"/>
  <c r="AU36" i="33"/>
  <c r="AV36" i="33"/>
  <c r="AW36" i="33"/>
  <c r="AX36" i="33"/>
  <c r="AY36" i="33"/>
  <c r="AZ36" i="33"/>
  <c r="BA36" i="33"/>
  <c r="BB36" i="33"/>
  <c r="BC36" i="33"/>
  <c r="BD36" i="33"/>
  <c r="BE36" i="33"/>
  <c r="BF36" i="33"/>
  <c r="BG36" i="33"/>
  <c r="BH36" i="33"/>
  <c r="BI36" i="33"/>
  <c r="BJ36" i="33"/>
  <c r="BK36" i="33"/>
  <c r="BL36" i="33"/>
  <c r="BM36" i="33"/>
  <c r="BN36" i="33"/>
  <c r="BO36" i="33"/>
  <c r="BP36" i="33"/>
  <c r="BQ36" i="33"/>
  <c r="BR36" i="33"/>
  <c r="BS36" i="33"/>
  <c r="BT36" i="33"/>
  <c r="BU36" i="33"/>
  <c r="BV36" i="33"/>
  <c r="BW36" i="33"/>
  <c r="BX36" i="33"/>
  <c r="BY36" i="33"/>
  <c r="BZ36" i="33"/>
  <c r="CA36" i="33"/>
  <c r="CB36" i="33"/>
  <c r="CC36" i="33"/>
  <c r="CD36" i="33"/>
  <c r="CE36" i="33"/>
  <c r="CF36" i="33"/>
  <c r="CG36" i="33"/>
  <c r="CH36" i="33"/>
  <c r="CI36" i="33"/>
  <c r="CJ36" i="33"/>
  <c r="CK36" i="33"/>
  <c r="CL36" i="33"/>
  <c r="CM36" i="33"/>
  <c r="CN36" i="33"/>
  <c r="CO36" i="33"/>
  <c r="CP36" i="33"/>
  <c r="CQ36" i="33"/>
  <c r="CR36" i="33"/>
  <c r="CS36" i="33"/>
  <c r="CT36" i="33"/>
  <c r="CU36" i="33"/>
  <c r="CV36" i="33"/>
  <c r="CW36" i="33"/>
  <c r="CX36" i="33"/>
  <c r="CY36" i="33"/>
  <c r="CZ36" i="33"/>
  <c r="DA36" i="33"/>
  <c r="DB36" i="33"/>
  <c r="DC36" i="33"/>
  <c r="DD36" i="33"/>
  <c r="DE36" i="33"/>
  <c r="DF36" i="33"/>
  <c r="DG36" i="33"/>
  <c r="DH36" i="33"/>
  <c r="DI36" i="33"/>
  <c r="DJ36" i="33"/>
  <c r="DK36" i="33"/>
  <c r="DL36" i="33"/>
  <c r="DM36" i="33"/>
  <c r="DN36" i="33"/>
  <c r="DO36" i="33"/>
  <c r="DP36" i="33"/>
  <c r="DQ36" i="33"/>
  <c r="DR36" i="33"/>
  <c r="DS36" i="33"/>
  <c r="DT36" i="33"/>
  <c r="DU36" i="33"/>
  <c r="DV36" i="33"/>
  <c r="DW36" i="33"/>
  <c r="DX36" i="33"/>
  <c r="DY36" i="33"/>
  <c r="DZ36" i="33"/>
  <c r="EA36" i="33"/>
  <c r="EB36" i="33"/>
  <c r="EC36" i="33"/>
  <c r="ED36" i="33"/>
  <c r="EE36" i="33"/>
  <c r="EF36" i="33"/>
  <c r="EG36" i="33"/>
  <c r="EH36" i="33"/>
  <c r="EI36" i="33"/>
  <c r="EJ36" i="33"/>
  <c r="EK36" i="33"/>
  <c r="EL36" i="33"/>
  <c r="EM36" i="33"/>
  <c r="EN36" i="33"/>
  <c r="EO36" i="33"/>
  <c r="AX4" i="25"/>
  <c r="AX8" i="25"/>
  <c r="AX32" i="25"/>
  <c r="J16" i="25"/>
  <c r="P6" i="33"/>
  <c r="W6" i="33"/>
  <c r="Y6" i="33"/>
  <c r="W7" i="33"/>
  <c r="Y7" i="33"/>
  <c r="V7" i="33"/>
  <c r="W8" i="33"/>
  <c r="Y8" i="33"/>
  <c r="Y9" i="33"/>
  <c r="V9" i="33"/>
  <c r="W9" i="33"/>
  <c r="V10" i="33"/>
  <c r="W10" i="33"/>
  <c r="Y10" i="33"/>
  <c r="W11" i="33"/>
  <c r="Y11" i="33"/>
  <c r="V11" i="33"/>
  <c r="P12" i="33"/>
  <c r="W12" i="33"/>
  <c r="Y12" i="33"/>
  <c r="W13" i="33"/>
  <c r="Y13" i="33"/>
  <c r="T14" i="33"/>
  <c r="Y14" i="33"/>
  <c r="Y15" i="33"/>
  <c r="V16" i="33"/>
  <c r="Y16" i="33"/>
  <c r="W17" i="33"/>
  <c r="Y17" i="33"/>
  <c r="V17" i="33"/>
  <c r="W18" i="33"/>
  <c r="Y18" i="33"/>
  <c r="W19" i="33"/>
  <c r="Y19" i="33"/>
  <c r="V19" i="33"/>
  <c r="Y20" i="33"/>
  <c r="Y21" i="33"/>
  <c r="T22" i="33"/>
  <c r="Y22" i="33"/>
  <c r="Y23" i="33"/>
  <c r="W24" i="33"/>
  <c r="Y24" i="33"/>
  <c r="Y25" i="33"/>
  <c r="W26" i="33"/>
  <c r="Y26" i="33"/>
  <c r="Y27" i="33"/>
  <c r="Y28" i="33"/>
  <c r="Y29" i="33"/>
  <c r="Y30" i="33"/>
  <c r="Y31" i="33"/>
  <c r="Y32" i="33"/>
  <c r="Y33" i="33"/>
  <c r="Y4" i="33"/>
  <c r="T4" i="33"/>
  <c r="W4" i="33"/>
  <c r="D6" i="33"/>
  <c r="H6" i="33"/>
  <c r="K6" i="33"/>
  <c r="M6" i="33"/>
  <c r="D7" i="33"/>
  <c r="H7" i="33"/>
  <c r="K7" i="33"/>
  <c r="M7" i="33"/>
  <c r="J7" i="33"/>
  <c r="D8" i="33"/>
  <c r="H8" i="33"/>
  <c r="M8" i="33"/>
  <c r="K8" i="33"/>
  <c r="D9" i="33"/>
  <c r="H9" i="33"/>
  <c r="K9" i="33"/>
  <c r="J9" i="33"/>
  <c r="M9" i="33"/>
  <c r="D10" i="33"/>
  <c r="H10" i="33"/>
  <c r="M10" i="33"/>
  <c r="K10" i="33"/>
  <c r="D11" i="33"/>
  <c r="H11" i="33"/>
  <c r="K11" i="33"/>
  <c r="J11" i="33"/>
  <c r="M11" i="33"/>
  <c r="D12" i="33"/>
  <c r="H12" i="33"/>
  <c r="M12" i="33"/>
  <c r="K12" i="33"/>
  <c r="D13" i="33"/>
  <c r="H13" i="33"/>
  <c r="K13" i="33"/>
  <c r="J13" i="33"/>
  <c r="M13" i="33"/>
  <c r="D14" i="33"/>
  <c r="M14" i="33"/>
  <c r="H14" i="33"/>
  <c r="K14" i="33"/>
  <c r="D15" i="33"/>
  <c r="J15" i="33"/>
  <c r="K15" i="33"/>
  <c r="M15" i="33"/>
  <c r="D16" i="33"/>
  <c r="H16" i="33"/>
  <c r="M16" i="33"/>
  <c r="J16" i="33"/>
  <c r="K16" i="33"/>
  <c r="D17" i="33"/>
  <c r="J17" i="33"/>
  <c r="K17" i="33"/>
  <c r="M17" i="33"/>
  <c r="D18" i="33"/>
  <c r="H18" i="33"/>
  <c r="M18" i="33"/>
  <c r="J18" i="33"/>
  <c r="K18" i="33"/>
  <c r="D19" i="33"/>
  <c r="J19" i="33"/>
  <c r="K19" i="33"/>
  <c r="M19" i="33"/>
  <c r="D20" i="33"/>
  <c r="K20" i="33"/>
  <c r="H20" i="33"/>
  <c r="M20" i="33"/>
  <c r="D21" i="33"/>
  <c r="H21" i="33"/>
  <c r="K21" i="33"/>
  <c r="M21" i="33"/>
  <c r="D22" i="33"/>
  <c r="H22" i="33"/>
  <c r="M22" i="33"/>
  <c r="J22" i="33"/>
  <c r="K22" i="33"/>
  <c r="D23" i="33"/>
  <c r="H23" i="33"/>
  <c r="K23" i="33"/>
  <c r="M23" i="33"/>
  <c r="D24" i="33"/>
  <c r="H24" i="33"/>
  <c r="M24" i="33"/>
  <c r="J24" i="33"/>
  <c r="K24" i="33"/>
  <c r="D25" i="33"/>
  <c r="H25" i="33"/>
  <c r="K25" i="33"/>
  <c r="M25" i="33"/>
  <c r="D26" i="33"/>
  <c r="H26" i="33"/>
  <c r="M26" i="33"/>
  <c r="J26" i="33"/>
  <c r="K26" i="33"/>
  <c r="D27" i="33"/>
  <c r="H27" i="33"/>
  <c r="K27" i="33"/>
  <c r="M27" i="33"/>
  <c r="D28" i="33"/>
  <c r="H28" i="33"/>
  <c r="M28" i="33"/>
  <c r="J28" i="33"/>
  <c r="K28" i="33"/>
  <c r="D29" i="33"/>
  <c r="H29" i="33"/>
  <c r="K29" i="33"/>
  <c r="M29" i="33"/>
  <c r="D30" i="33"/>
  <c r="K30" i="33"/>
  <c r="H30" i="33"/>
  <c r="M30" i="33"/>
  <c r="J30" i="33"/>
  <c r="D31" i="33"/>
  <c r="H31" i="33"/>
  <c r="K31" i="33"/>
  <c r="M31" i="33"/>
  <c r="D32" i="33"/>
  <c r="K32" i="33"/>
  <c r="H32" i="33"/>
  <c r="M32" i="33"/>
  <c r="J32" i="33"/>
  <c r="D33" i="33"/>
  <c r="H33" i="33"/>
  <c r="K33" i="33"/>
  <c r="M33" i="33"/>
  <c r="M4" i="33"/>
  <c r="K4" i="33"/>
  <c r="J4" i="33"/>
  <c r="H4" i="33"/>
  <c r="D4" i="33"/>
  <c r="J36" i="29" l="1"/>
  <c r="AJ22" i="33"/>
  <c r="AJ28" i="33"/>
  <c r="AJ17" i="33"/>
  <c r="AJ13" i="33"/>
  <c r="AJ6" i="33"/>
  <c r="AJ30" i="33"/>
  <c r="AJ33" i="33"/>
  <c r="AJ14" i="33"/>
  <c r="AJ16" i="33"/>
  <c r="AJ9" i="33"/>
  <c r="AJ15" i="33"/>
  <c r="L4" i="33"/>
  <c r="AJ29" i="33"/>
  <c r="AJ25" i="33"/>
  <c r="L9" i="33"/>
  <c r="L30" i="33"/>
  <c r="AJ27" i="33"/>
  <c r="AJ11" i="33"/>
  <c r="X10" i="33"/>
  <c r="AJ23" i="33"/>
  <c r="AJ7" i="33"/>
  <c r="L24" i="33"/>
  <c r="AJ35" i="33"/>
  <c r="AJ19" i="33"/>
  <c r="AJ31" i="33"/>
  <c r="L18" i="33"/>
  <c r="AJ4" i="33"/>
  <c r="AJ21" i="33"/>
  <c r="AJ5" i="33"/>
  <c r="AK34" i="33"/>
  <c r="AK26" i="33"/>
  <c r="AK18" i="33"/>
  <c r="AK10" i="33"/>
  <c r="AK32" i="33"/>
  <c r="AK24" i="33"/>
  <c r="AK16" i="33"/>
  <c r="AK8" i="33"/>
  <c r="AK31" i="33"/>
  <c r="AK23" i="33"/>
  <c r="AK15" i="33"/>
  <c r="AK7" i="33"/>
  <c r="AK30" i="33"/>
  <c r="AK14" i="33"/>
  <c r="AK21" i="33"/>
  <c r="AK28" i="33"/>
  <c r="AK20" i="33"/>
  <c r="AK12" i="33"/>
  <c r="AK35" i="33"/>
  <c r="AK27" i="33"/>
  <c r="AK19" i="33"/>
  <c r="AK11" i="33"/>
  <c r="AK4" i="33"/>
  <c r="AO36" i="33" s="1"/>
  <c r="L28" i="33"/>
  <c r="L26" i="33"/>
  <c r="L22" i="33"/>
  <c r="L11" i="33"/>
  <c r="L7" i="33"/>
  <c r="L16" i="33"/>
  <c r="AX31" i="25"/>
  <c r="AX23" i="25"/>
  <c r="AX11" i="25"/>
  <c r="AX17" i="25"/>
  <c r="J14" i="25"/>
  <c r="J10" i="25"/>
  <c r="AX24" i="25"/>
  <c r="AX16" i="25"/>
  <c r="H35" i="25"/>
  <c r="AX7" i="25"/>
  <c r="AX29" i="25"/>
  <c r="AX21" i="25"/>
  <c r="AV35" i="25"/>
  <c r="I35" i="25"/>
  <c r="AW35" i="25"/>
  <c r="AX35" i="25" s="1"/>
  <c r="AX27" i="25"/>
  <c r="AX19" i="25"/>
  <c r="AX15" i="25"/>
  <c r="AX30" i="25"/>
  <c r="AX22" i="25"/>
  <c r="AX14" i="25"/>
  <c r="J29" i="25"/>
  <c r="J25" i="25"/>
  <c r="J21" i="25"/>
  <c r="J13" i="25"/>
  <c r="J9" i="25"/>
  <c r="J5" i="25"/>
  <c r="AX33" i="25"/>
  <c r="AX26" i="25"/>
  <c r="AX12" i="25"/>
  <c r="AX9" i="25"/>
  <c r="AX5" i="25"/>
  <c r="J32" i="25"/>
  <c r="J4" i="25"/>
  <c r="AX28" i="25"/>
  <c r="AX25" i="25"/>
  <c r="AX18" i="25"/>
  <c r="J15" i="25"/>
  <c r="J11" i="25"/>
  <c r="J7" i="25"/>
  <c r="J34" i="25"/>
  <c r="AX3" i="25"/>
  <c r="AX34" i="25"/>
  <c r="AX10" i="25"/>
  <c r="J33" i="25"/>
  <c r="AX20" i="25"/>
  <c r="AX13" i="25"/>
  <c r="AX6" i="25"/>
  <c r="J26" i="25"/>
  <c r="J6" i="25"/>
  <c r="J28" i="25"/>
  <c r="J24" i="25"/>
  <c r="J27" i="25"/>
  <c r="J12" i="25"/>
  <c r="J3" i="25"/>
  <c r="J19" i="25"/>
  <c r="J8" i="25"/>
  <c r="J18" i="25"/>
  <c r="J22" i="25"/>
  <c r="J31" i="25"/>
  <c r="J17" i="25"/>
  <c r="J30" i="25"/>
  <c r="J23" i="25"/>
  <c r="J20" i="25"/>
  <c r="T18" i="33"/>
  <c r="T6" i="33"/>
  <c r="W32" i="33"/>
  <c r="T29" i="33"/>
  <c r="P27" i="33"/>
  <c r="P9" i="33"/>
  <c r="W33" i="33"/>
  <c r="V32" i="33"/>
  <c r="W28" i="33"/>
  <c r="W23" i="33"/>
  <c r="V22" i="33"/>
  <c r="P29" i="33"/>
  <c r="P13" i="33"/>
  <c r="V8" i="33"/>
  <c r="X8" i="33" s="1"/>
  <c r="T32" i="33"/>
  <c r="W15" i="33"/>
  <c r="X19" i="33"/>
  <c r="W31" i="33"/>
  <c r="T33" i="33"/>
  <c r="P31" i="33"/>
  <c r="T28" i="33"/>
  <c r="W27" i="33"/>
  <c r="V26" i="33"/>
  <c r="X26" i="33" s="1"/>
  <c r="T23" i="33"/>
  <c r="P21" i="33"/>
  <c r="X17" i="33"/>
  <c r="T16" i="33"/>
  <c r="P11" i="33"/>
  <c r="P10" i="33"/>
  <c r="P14" i="33"/>
  <c r="X7" i="33"/>
  <c r="P33" i="33"/>
  <c r="T30" i="33"/>
  <c r="W29" i="33"/>
  <c r="V28" i="33"/>
  <c r="T25" i="33"/>
  <c r="P23" i="33"/>
  <c r="T20" i="33"/>
  <c r="P17" i="33"/>
  <c r="P16" i="33"/>
  <c r="V12" i="33"/>
  <c r="X12" i="33" s="1"/>
  <c r="T8" i="33"/>
  <c r="P15" i="33"/>
  <c r="V18" i="33"/>
  <c r="X18" i="33" s="1"/>
  <c r="V14" i="33"/>
  <c r="X9" i="33"/>
  <c r="T31" i="33"/>
  <c r="W30" i="33"/>
  <c r="T26" i="33"/>
  <c r="W25" i="33"/>
  <c r="V24" i="33"/>
  <c r="X24" i="33" s="1"/>
  <c r="T21" i="33"/>
  <c r="W20" i="33"/>
  <c r="P19" i="33"/>
  <c r="X11" i="33"/>
  <c r="T10" i="33"/>
  <c r="P7" i="33"/>
  <c r="V4" i="33"/>
  <c r="T24" i="33"/>
  <c r="P4" i="33"/>
  <c r="V30" i="33"/>
  <c r="T27" i="33"/>
  <c r="P25" i="33"/>
  <c r="W22" i="33"/>
  <c r="V20" i="33"/>
  <c r="W14" i="33"/>
  <c r="V13" i="33"/>
  <c r="X13" i="33" s="1"/>
  <c r="T12" i="33"/>
  <c r="P8" i="33"/>
  <c r="V6" i="33"/>
  <c r="X6" i="33" s="1"/>
  <c r="W21" i="33"/>
  <c r="W16" i="33"/>
  <c r="X16" i="33" s="1"/>
  <c r="V15" i="33"/>
  <c r="V29" i="33"/>
  <c r="V25" i="33"/>
  <c r="P32" i="33"/>
  <c r="P30" i="33"/>
  <c r="P28" i="33"/>
  <c r="P26" i="33"/>
  <c r="P24" i="33"/>
  <c r="P22" i="33"/>
  <c r="P20" i="33"/>
  <c r="T19" i="33"/>
  <c r="P18" i="33"/>
  <c r="T17" i="33"/>
  <c r="T15" i="33"/>
  <c r="T13" i="33"/>
  <c r="T11" i="33"/>
  <c r="T9" i="33"/>
  <c r="T7" i="33"/>
  <c r="V31" i="33"/>
  <c r="V23" i="33"/>
  <c r="V33" i="33"/>
  <c r="V27" i="33"/>
  <c r="V21" i="33"/>
  <c r="X21" i="33" s="1"/>
  <c r="L15" i="33"/>
  <c r="L17" i="33"/>
  <c r="L32" i="33"/>
  <c r="L19" i="33"/>
  <c r="L13" i="33"/>
  <c r="J33" i="33"/>
  <c r="L33" i="33" s="1"/>
  <c r="J31" i="33"/>
  <c r="L31" i="33" s="1"/>
  <c r="J29" i="33"/>
  <c r="L29" i="33" s="1"/>
  <c r="J27" i="33"/>
  <c r="L27" i="33" s="1"/>
  <c r="J25" i="33"/>
  <c r="L25" i="33" s="1"/>
  <c r="J23" i="33"/>
  <c r="L23" i="33" s="1"/>
  <c r="J21" i="33"/>
  <c r="L21" i="33" s="1"/>
  <c r="H19" i="33"/>
  <c r="H17" i="33"/>
  <c r="H15" i="33"/>
  <c r="J14" i="33"/>
  <c r="L14" i="33" s="1"/>
  <c r="J12" i="33"/>
  <c r="L12" i="33" s="1"/>
  <c r="J10" i="33"/>
  <c r="L10" i="33" s="1"/>
  <c r="J8" i="33"/>
  <c r="L8" i="33" s="1"/>
  <c r="J6" i="33"/>
  <c r="L6" i="33" s="1"/>
  <c r="J20" i="33"/>
  <c r="L20" i="33" s="1"/>
  <c r="F36" i="29"/>
  <c r="E36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4" i="29"/>
  <c r="G36" i="29" s="1"/>
  <c r="AW5" i="29"/>
  <c r="AW7" i="29"/>
  <c r="AW14" i="29"/>
  <c r="AW15" i="29"/>
  <c r="AW22" i="29"/>
  <c r="AW23" i="29"/>
  <c r="AW30" i="29"/>
  <c r="AT35" i="25"/>
  <c r="AS35" i="25"/>
  <c r="AU4" i="25"/>
  <c r="AU5" i="25"/>
  <c r="AU6" i="25"/>
  <c r="AU7" i="25"/>
  <c r="AU8" i="25"/>
  <c r="AU9" i="25"/>
  <c r="AU10" i="25"/>
  <c r="AU11" i="25"/>
  <c r="AU12" i="25"/>
  <c r="AU13" i="25"/>
  <c r="AU14" i="25"/>
  <c r="AU15" i="25"/>
  <c r="AU16" i="25"/>
  <c r="AU17" i="25"/>
  <c r="AU18" i="25"/>
  <c r="AU19" i="25"/>
  <c r="AU20" i="25"/>
  <c r="AU21" i="25"/>
  <c r="AU22" i="25"/>
  <c r="AU23" i="25"/>
  <c r="AU24" i="25"/>
  <c r="AU25" i="25"/>
  <c r="AU26" i="25"/>
  <c r="AU27" i="25"/>
  <c r="AU28" i="25"/>
  <c r="AU29" i="25"/>
  <c r="AU30" i="25"/>
  <c r="AU31" i="25"/>
  <c r="AU32" i="25"/>
  <c r="AU3" i="25"/>
  <c r="G4" i="25"/>
  <c r="G5" i="25"/>
  <c r="G9" i="25"/>
  <c r="G11" i="25"/>
  <c r="G12" i="25"/>
  <c r="G13" i="25"/>
  <c r="G16" i="25"/>
  <c r="G19" i="25"/>
  <c r="G24" i="25"/>
  <c r="G26" i="25"/>
  <c r="G29" i="25"/>
  <c r="G31" i="25"/>
  <c r="G32" i="25"/>
  <c r="G3" i="25"/>
  <c r="AR4" i="25"/>
  <c r="AR5" i="25"/>
  <c r="AR8" i="25"/>
  <c r="AR10" i="25"/>
  <c r="AR11" i="25"/>
  <c r="AR12" i="25"/>
  <c r="AR15" i="25"/>
  <c r="AR16" i="25"/>
  <c r="AR17" i="25"/>
  <c r="AR18" i="25"/>
  <c r="AR19" i="25"/>
  <c r="AR22" i="25"/>
  <c r="AR23" i="25"/>
  <c r="AR25" i="25"/>
  <c r="AR26" i="25"/>
  <c r="AR27" i="25"/>
  <c r="AR29" i="25"/>
  <c r="AR30" i="25"/>
  <c r="AQ35" i="25"/>
  <c r="AP35" i="25"/>
  <c r="D5" i="25"/>
  <c r="D6" i="25"/>
  <c r="D9" i="25"/>
  <c r="D10" i="25"/>
  <c r="D13" i="25"/>
  <c r="D14" i="25"/>
  <c r="D17" i="25"/>
  <c r="D18" i="25"/>
  <c r="D21" i="25"/>
  <c r="D23" i="25"/>
  <c r="D26" i="25"/>
  <c r="D27" i="25"/>
  <c r="D32" i="25"/>
  <c r="X32" i="33" l="1"/>
  <c r="X22" i="33"/>
  <c r="X4" i="33"/>
  <c r="X23" i="33"/>
  <c r="X29" i="33"/>
  <c r="X14" i="33"/>
  <c r="X28" i="33"/>
  <c r="J35" i="25"/>
  <c r="AU35" i="25"/>
  <c r="AR35" i="25"/>
  <c r="X15" i="33"/>
  <c r="X33" i="33"/>
  <c r="X25" i="33"/>
  <c r="X27" i="33"/>
  <c r="X20" i="33"/>
  <c r="X31" i="33"/>
  <c r="X30" i="33"/>
  <c r="AW21" i="29"/>
  <c r="AW17" i="29"/>
  <c r="AW13" i="29"/>
  <c r="AW9" i="29"/>
  <c r="AW29" i="29"/>
  <c r="AW31" i="29"/>
  <c r="AW25" i="29"/>
  <c r="AW33" i="29"/>
  <c r="AW6" i="29"/>
  <c r="AU36" i="29"/>
  <c r="AV36" i="29"/>
  <c r="AW26" i="29"/>
  <c r="AW18" i="29"/>
  <c r="AW10" i="29"/>
  <c r="AW19" i="29"/>
  <c r="AW27" i="29"/>
  <c r="AW11" i="29"/>
  <c r="AW32" i="29"/>
  <c r="AW28" i="29"/>
  <c r="AW24" i="29"/>
  <c r="AW20" i="29"/>
  <c r="AW16" i="29"/>
  <c r="AW12" i="29"/>
  <c r="AW8" i="29"/>
  <c r="AW4" i="29"/>
  <c r="G21" i="25"/>
  <c r="G27" i="25"/>
  <c r="G23" i="25"/>
  <c r="G22" i="25"/>
  <c r="G18" i="25"/>
  <c r="G14" i="25"/>
  <c r="G10" i="25"/>
  <c r="G28" i="25"/>
  <c r="G25" i="25"/>
  <c r="G15" i="25"/>
  <c r="G8" i="25"/>
  <c r="G30" i="25"/>
  <c r="G20" i="25"/>
  <c r="G17" i="25"/>
  <c r="G7" i="25"/>
  <c r="G6" i="25"/>
  <c r="E35" i="25"/>
  <c r="F35" i="25"/>
  <c r="G35" i="25" s="1"/>
  <c r="AR9" i="25"/>
  <c r="D24" i="25"/>
  <c r="AR3" i="25"/>
  <c r="D20" i="25"/>
  <c r="D12" i="25"/>
  <c r="D8" i="25"/>
  <c r="AR32" i="25"/>
  <c r="AR28" i="25"/>
  <c r="AR21" i="25"/>
  <c r="AR14" i="25"/>
  <c r="AR7" i="25"/>
  <c r="D3" i="25"/>
  <c r="D31" i="25"/>
  <c r="D30" i="25"/>
  <c r="D19" i="25"/>
  <c r="D15" i="25"/>
  <c r="D11" i="25"/>
  <c r="D7" i="25"/>
  <c r="AR31" i="25"/>
  <c r="AR24" i="25"/>
  <c r="AR20" i="25"/>
  <c r="AR13" i="25"/>
  <c r="AR6" i="25"/>
  <c r="D29" i="25"/>
  <c r="D16" i="25"/>
  <c r="D28" i="25"/>
  <c r="D25" i="25"/>
  <c r="D22" i="25"/>
  <c r="D4" i="25"/>
  <c r="C35" i="25"/>
  <c r="B35" i="25"/>
  <c r="C36" i="29"/>
  <c r="B36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AT5" i="29"/>
  <c r="AT6" i="29"/>
  <c r="AT7" i="29"/>
  <c r="AT8" i="29"/>
  <c r="AT12" i="29"/>
  <c r="AT14" i="29"/>
  <c r="AT20" i="29"/>
  <c r="D35" i="25" l="1"/>
  <c r="AW36" i="29"/>
  <c r="AT30" i="29"/>
  <c r="AT22" i="29"/>
  <c r="AT19" i="29"/>
  <c r="AT11" i="29"/>
  <c r="AR36" i="29"/>
  <c r="AS36" i="29"/>
  <c r="AT33" i="29"/>
  <c r="AT28" i="29"/>
  <c r="D4" i="29"/>
  <c r="D36" i="29" s="1"/>
  <c r="AT31" i="29"/>
  <c r="AT27" i="29"/>
  <c r="AT23" i="29"/>
  <c r="AT15" i="29"/>
  <c r="AT32" i="29"/>
  <c r="AT25" i="29"/>
  <c r="AT21" i="29"/>
  <c r="AT18" i="29"/>
  <c r="AT24" i="29"/>
  <c r="AT17" i="29"/>
  <c r="AT13" i="29"/>
  <c r="AT10" i="29"/>
  <c r="AT4" i="29"/>
  <c r="AT16" i="29"/>
  <c r="AT9" i="29"/>
  <c r="AT29" i="29"/>
  <c r="AT26" i="29"/>
  <c r="N73" i="30"/>
  <c r="O73" i="30"/>
  <c r="AD73" i="30"/>
  <c r="N74" i="30"/>
  <c r="O74" i="30"/>
  <c r="AD74" i="30"/>
  <c r="ER5" i="32"/>
  <c r="ER6" i="32"/>
  <c r="ER7" i="32"/>
  <c r="ER8" i="32"/>
  <c r="ER9" i="32"/>
  <c r="ER10" i="32"/>
  <c r="ER11" i="32"/>
  <c r="ER12" i="32"/>
  <c r="ER13" i="32"/>
  <c r="ER14" i="32"/>
  <c r="ER15" i="32"/>
  <c r="ER16" i="32"/>
  <c r="ER17" i="32"/>
  <c r="ER18" i="32"/>
  <c r="ER19" i="32"/>
  <c r="ER20" i="32"/>
  <c r="ER21" i="32"/>
  <c r="ER22" i="32"/>
  <c r="ER23" i="32"/>
  <c r="ER24" i="32"/>
  <c r="ER25" i="32"/>
  <c r="ER26" i="32"/>
  <c r="ER27" i="32"/>
  <c r="ER28" i="32"/>
  <c r="ER29" i="32"/>
  <c r="ER30" i="32"/>
  <c r="ER31" i="32"/>
  <c r="ER4" i="32"/>
  <c r="EQ31" i="32"/>
  <c r="CB43" i="29"/>
  <c r="CC43" i="29"/>
  <c r="CB44" i="29"/>
  <c r="CC44" i="29"/>
  <c r="CB45" i="29"/>
  <c r="CC45" i="29"/>
  <c r="CB46" i="29"/>
  <c r="CC46" i="29"/>
  <c r="CB47" i="29"/>
  <c r="CC47" i="29"/>
  <c r="CB48" i="29"/>
  <c r="CC48" i="29"/>
  <c r="CB49" i="29"/>
  <c r="CC49" i="29"/>
  <c r="CB50" i="29"/>
  <c r="CC50" i="29"/>
  <c r="CB51" i="29"/>
  <c r="CC51" i="29"/>
  <c r="CB52" i="29"/>
  <c r="CC52" i="29"/>
  <c r="CB53" i="29"/>
  <c r="CC53" i="29"/>
  <c r="CB54" i="29"/>
  <c r="CC54" i="29"/>
  <c r="CB55" i="29"/>
  <c r="CC55" i="29"/>
  <c r="CB56" i="29"/>
  <c r="CC56" i="29"/>
  <c r="CB57" i="29"/>
  <c r="CC57" i="29"/>
  <c r="CB58" i="29"/>
  <c r="CC58" i="29"/>
  <c r="CB59" i="29"/>
  <c r="CC59" i="29"/>
  <c r="CB60" i="29"/>
  <c r="CC60" i="29"/>
  <c r="CB61" i="29"/>
  <c r="CC61" i="29"/>
  <c r="CB62" i="29"/>
  <c r="CC62" i="29"/>
  <c r="CB63" i="29"/>
  <c r="CC63" i="29"/>
  <c r="CB64" i="29"/>
  <c r="CC64" i="29"/>
  <c r="CB65" i="29"/>
  <c r="CC65" i="29"/>
  <c r="CB66" i="29"/>
  <c r="CC66" i="29"/>
  <c r="CB67" i="29"/>
  <c r="CC67" i="29"/>
  <c r="CB68" i="29"/>
  <c r="CC68" i="29"/>
  <c r="CB69" i="29"/>
  <c r="CC69" i="29"/>
  <c r="CC42" i="29"/>
  <c r="CB42" i="29"/>
  <c r="CA43" i="29"/>
  <c r="CA44" i="29"/>
  <c r="CA45" i="29"/>
  <c r="CA46" i="29"/>
  <c r="CA47" i="29"/>
  <c r="CA48" i="29"/>
  <c r="CA49" i="29"/>
  <c r="CA50" i="29"/>
  <c r="CA51" i="29"/>
  <c r="CA52" i="29"/>
  <c r="CA53" i="29"/>
  <c r="CA54" i="29"/>
  <c r="CA55" i="29"/>
  <c r="CA56" i="29"/>
  <c r="CA57" i="29"/>
  <c r="CA58" i="29"/>
  <c r="CA59" i="29"/>
  <c r="CA60" i="29"/>
  <c r="CA61" i="29"/>
  <c r="CA62" i="29"/>
  <c r="CA63" i="29"/>
  <c r="CA64" i="29"/>
  <c r="CA65" i="29"/>
  <c r="CA66" i="29"/>
  <c r="CA67" i="29"/>
  <c r="CA68" i="29"/>
  <c r="CA69" i="29"/>
  <c r="CA42" i="29"/>
  <c r="BX43" i="29"/>
  <c r="BX44" i="29"/>
  <c r="BX45" i="29"/>
  <c r="BX46" i="29"/>
  <c r="BX47" i="29"/>
  <c r="BX48" i="29"/>
  <c r="BX49" i="29"/>
  <c r="BX50" i="29"/>
  <c r="BX51" i="29"/>
  <c r="BX52" i="29"/>
  <c r="BX53" i="29"/>
  <c r="BX54" i="29"/>
  <c r="BX55" i="29"/>
  <c r="BX56" i="29"/>
  <c r="BX57" i="29"/>
  <c r="BX58" i="29"/>
  <c r="BX59" i="29"/>
  <c r="BX60" i="29"/>
  <c r="BX61" i="29"/>
  <c r="BX62" i="29"/>
  <c r="BX63" i="29"/>
  <c r="BX64" i="29"/>
  <c r="BX65" i="29"/>
  <c r="BX66" i="29"/>
  <c r="BX67" i="29"/>
  <c r="BX68" i="29"/>
  <c r="BX69" i="29"/>
  <c r="BX42" i="29"/>
  <c r="BU43" i="29"/>
  <c r="BU44" i="29"/>
  <c r="BU45" i="29"/>
  <c r="BU46" i="29"/>
  <c r="BU47" i="29"/>
  <c r="BU48" i="29"/>
  <c r="BU49" i="29"/>
  <c r="BU50" i="29"/>
  <c r="BU51" i="29"/>
  <c r="BU52" i="29"/>
  <c r="BU53" i="29"/>
  <c r="BU54" i="29"/>
  <c r="BU55" i="29"/>
  <c r="BU56" i="29"/>
  <c r="BU57" i="29"/>
  <c r="BU58" i="29"/>
  <c r="BU59" i="29"/>
  <c r="BU60" i="29"/>
  <c r="BU61" i="29"/>
  <c r="BU62" i="29"/>
  <c r="BU63" i="29"/>
  <c r="BU64" i="29"/>
  <c r="BU65" i="29"/>
  <c r="BU66" i="29"/>
  <c r="BU67" i="29"/>
  <c r="BU68" i="29"/>
  <c r="BU69" i="29"/>
  <c r="BU42" i="29"/>
  <c r="AT36" i="29" l="1"/>
  <c r="BR43" i="29"/>
  <c r="BR44" i="29"/>
  <c r="BR45" i="29"/>
  <c r="BR46" i="29"/>
  <c r="BR47" i="29"/>
  <c r="BR48" i="29"/>
  <c r="BR49" i="29"/>
  <c r="BR50" i="29"/>
  <c r="BR51" i="29"/>
  <c r="BR52" i="29"/>
  <c r="BR53" i="29"/>
  <c r="BR54" i="29"/>
  <c r="BR55" i="29"/>
  <c r="BR56" i="29"/>
  <c r="BR57" i="29"/>
  <c r="BR58" i="29"/>
  <c r="BR59" i="29"/>
  <c r="BR60" i="29"/>
  <c r="BR61" i="29"/>
  <c r="BR62" i="29"/>
  <c r="BR63" i="29"/>
  <c r="BR64" i="29"/>
  <c r="BR65" i="29"/>
  <c r="BR66" i="29"/>
  <c r="BR67" i="29"/>
  <c r="BR68" i="29"/>
  <c r="BR69" i="29"/>
  <c r="BR42" i="29"/>
  <c r="BQ70" i="29" l="1"/>
  <c r="BR70" i="29"/>
  <c r="BS70" i="29"/>
  <c r="BT70" i="29"/>
  <c r="BU70" i="29"/>
  <c r="BV70" i="29"/>
  <c r="BW70" i="29"/>
  <c r="BX70" i="29"/>
  <c r="BY70" i="29"/>
  <c r="BZ70" i="29"/>
  <c r="CA70" i="29"/>
  <c r="CB70" i="29"/>
  <c r="CC70" i="29"/>
  <c r="BO43" i="29"/>
  <c r="BO44" i="29"/>
  <c r="BO45" i="29"/>
  <c r="BO46" i="29"/>
  <c r="BO47" i="29"/>
  <c r="BO48" i="29"/>
  <c r="BO49" i="29"/>
  <c r="BO50" i="29"/>
  <c r="BO51" i="29"/>
  <c r="BO52" i="29"/>
  <c r="BO53" i="29"/>
  <c r="BO54" i="29"/>
  <c r="BO55" i="29"/>
  <c r="BO56" i="29"/>
  <c r="BO57" i="29"/>
  <c r="BO58" i="29"/>
  <c r="BO59" i="29"/>
  <c r="BO60" i="29"/>
  <c r="BO61" i="29"/>
  <c r="BO62" i="29"/>
  <c r="BO63" i="29"/>
  <c r="BO64" i="29"/>
  <c r="BO65" i="29"/>
  <c r="BO66" i="29"/>
  <c r="BO67" i="29"/>
  <c r="BO68" i="29"/>
  <c r="BO69" i="29"/>
  <c r="BO42" i="29"/>
  <c r="BL43" i="29"/>
  <c r="BL44" i="29"/>
  <c r="BL45" i="29"/>
  <c r="BL46" i="29"/>
  <c r="BL47" i="29"/>
  <c r="BL48" i="29"/>
  <c r="BL49" i="29"/>
  <c r="BL50" i="29"/>
  <c r="BL51" i="29"/>
  <c r="BL52" i="29"/>
  <c r="BL53" i="29"/>
  <c r="BL54" i="29"/>
  <c r="BL55" i="29"/>
  <c r="BL56" i="29"/>
  <c r="BL57" i="29"/>
  <c r="BL58" i="29"/>
  <c r="BL59" i="29"/>
  <c r="BL60" i="29"/>
  <c r="BL61" i="29"/>
  <c r="BL62" i="29"/>
  <c r="BL63" i="29"/>
  <c r="BL64" i="29"/>
  <c r="BL65" i="29"/>
  <c r="BL66" i="29"/>
  <c r="BL67" i="29"/>
  <c r="BL68" i="29"/>
  <c r="BL69" i="29"/>
  <c r="BL42" i="29"/>
  <c r="BI43" i="29"/>
  <c r="BI44" i="29"/>
  <c r="BI45" i="29"/>
  <c r="BI46" i="29"/>
  <c r="BI47" i="29"/>
  <c r="BI48" i="29"/>
  <c r="BI49" i="29"/>
  <c r="BI50" i="29"/>
  <c r="BI51" i="29"/>
  <c r="BI52" i="29"/>
  <c r="BI53" i="29"/>
  <c r="BI54" i="29"/>
  <c r="BI55" i="29"/>
  <c r="BI56" i="29"/>
  <c r="BI57" i="29"/>
  <c r="BI58" i="29"/>
  <c r="BI59" i="29"/>
  <c r="BI60" i="29"/>
  <c r="BI61" i="29"/>
  <c r="BI62" i="29"/>
  <c r="BI63" i="29"/>
  <c r="BI64" i="29"/>
  <c r="BI65" i="29"/>
  <c r="BI66" i="29"/>
  <c r="BI67" i="29"/>
  <c r="BI68" i="29"/>
  <c r="BI69" i="29"/>
  <c r="BI42" i="29"/>
  <c r="BF46" i="29" l="1"/>
  <c r="BF48" i="29"/>
  <c r="BF49" i="29"/>
  <c r="BF53" i="29"/>
  <c r="BF55" i="29"/>
  <c r="BF58" i="29"/>
  <c r="BF61" i="29"/>
  <c r="BF62" i="29"/>
  <c r="BF63" i="29"/>
  <c r="BF65" i="29"/>
  <c r="BF66" i="29"/>
  <c r="BF67" i="29"/>
  <c r="BF68" i="29"/>
  <c r="BF69" i="29"/>
  <c r="BF42" i="29"/>
  <c r="BC43" i="29"/>
  <c r="BC44" i="29"/>
  <c r="BC45" i="29"/>
  <c r="BC46" i="29"/>
  <c r="BC47" i="29"/>
  <c r="BC48" i="29"/>
  <c r="BC49" i="29"/>
  <c r="BC50" i="29"/>
  <c r="BC51" i="29"/>
  <c r="BC52" i="29"/>
  <c r="BC53" i="29"/>
  <c r="BC54" i="29"/>
  <c r="BC55" i="29"/>
  <c r="BC56" i="29"/>
  <c r="BC57" i="29"/>
  <c r="BC58" i="29"/>
  <c r="BC59" i="29"/>
  <c r="BC60" i="29"/>
  <c r="BC61" i="29"/>
  <c r="BC62" i="29"/>
  <c r="BC63" i="29"/>
  <c r="BC64" i="29"/>
  <c r="BC65" i="29"/>
  <c r="BC66" i="29"/>
  <c r="BC67" i="29"/>
  <c r="BC68" i="29"/>
  <c r="BC69" i="29"/>
  <c r="BC42" i="29"/>
  <c r="BB70" i="29"/>
  <c r="BA70" i="29"/>
  <c r="AZ43" i="29"/>
  <c r="AZ44" i="29"/>
  <c r="AZ45" i="29"/>
  <c r="AZ46" i="29"/>
  <c r="AZ47" i="29"/>
  <c r="AZ48" i="29"/>
  <c r="AZ49" i="29"/>
  <c r="AZ50" i="29"/>
  <c r="AZ51" i="29"/>
  <c r="AZ52" i="29"/>
  <c r="AZ53" i="29"/>
  <c r="AZ54" i="29"/>
  <c r="AZ55" i="29"/>
  <c r="AZ56" i="29"/>
  <c r="AZ57" i="29"/>
  <c r="AZ58" i="29"/>
  <c r="AZ59" i="29"/>
  <c r="AZ60" i="29"/>
  <c r="AZ61" i="29"/>
  <c r="AZ62" i="29"/>
  <c r="AZ63" i="29"/>
  <c r="AZ64" i="29"/>
  <c r="AZ65" i="29"/>
  <c r="AZ66" i="29"/>
  <c r="AZ67" i="29"/>
  <c r="AZ68" i="29"/>
  <c r="AZ69" i="29"/>
  <c r="AZ42" i="29"/>
  <c r="AU70" i="29"/>
  <c r="AV70" i="29"/>
  <c r="BG70" i="29"/>
  <c r="BH70" i="29"/>
  <c r="BI70" i="29"/>
  <c r="BJ70" i="29"/>
  <c r="BK70" i="29"/>
  <c r="BL70" i="29"/>
  <c r="BM70" i="29"/>
  <c r="BN70" i="29"/>
  <c r="BO70" i="29"/>
  <c r="BP70" i="29"/>
  <c r="AW43" i="29"/>
  <c r="AW44" i="29"/>
  <c r="AW45" i="29"/>
  <c r="AW46" i="29"/>
  <c r="AW47" i="29"/>
  <c r="AW48" i="29"/>
  <c r="AW49" i="29"/>
  <c r="AW50" i="29"/>
  <c r="AW51" i="29"/>
  <c r="AW52" i="29"/>
  <c r="AW53" i="29"/>
  <c r="AW54" i="29"/>
  <c r="AW55" i="29"/>
  <c r="AW56" i="29"/>
  <c r="AW57" i="29"/>
  <c r="AW58" i="29"/>
  <c r="AW59" i="29"/>
  <c r="AW60" i="29"/>
  <c r="AW61" i="29"/>
  <c r="AW62" i="29"/>
  <c r="AW63" i="29"/>
  <c r="AW64" i="29"/>
  <c r="AW65" i="29"/>
  <c r="AW66" i="29"/>
  <c r="AW67" i="29"/>
  <c r="AW68" i="29"/>
  <c r="AW69" i="29"/>
  <c r="AW42" i="29"/>
  <c r="AS70" i="29"/>
  <c r="AR70" i="29"/>
  <c r="AT43" i="29"/>
  <c r="AT44" i="29"/>
  <c r="AT45" i="29"/>
  <c r="AT46" i="29"/>
  <c r="AT47" i="29"/>
  <c r="AT48" i="29"/>
  <c r="AT49" i="29"/>
  <c r="AT50" i="29"/>
  <c r="AT51" i="29"/>
  <c r="AT52" i="29"/>
  <c r="AT53" i="29"/>
  <c r="AT54" i="29"/>
  <c r="AT55" i="29"/>
  <c r="AT56" i="29"/>
  <c r="AT57" i="29"/>
  <c r="AT58" i="29"/>
  <c r="AT59" i="29"/>
  <c r="AT60" i="29"/>
  <c r="AT61" i="29"/>
  <c r="AT62" i="29"/>
  <c r="AT63" i="29"/>
  <c r="AT64" i="29"/>
  <c r="AT65" i="29"/>
  <c r="AT66" i="29"/>
  <c r="AT67" i="29"/>
  <c r="AT68" i="29"/>
  <c r="AT69" i="29"/>
  <c r="AT42" i="29"/>
  <c r="AQ43" i="29"/>
  <c r="AQ44" i="29"/>
  <c r="AQ45" i="29"/>
  <c r="AQ46" i="29"/>
  <c r="AQ47" i="29"/>
  <c r="AQ48" i="29"/>
  <c r="AQ49" i="29"/>
  <c r="AQ50" i="29"/>
  <c r="AQ51" i="29"/>
  <c r="AQ52" i="29"/>
  <c r="AQ53" i="29"/>
  <c r="AQ54" i="29"/>
  <c r="AQ55" i="29"/>
  <c r="AQ56" i="29"/>
  <c r="AQ57" i="29"/>
  <c r="AQ58" i="29"/>
  <c r="AQ59" i="29"/>
  <c r="AQ60" i="29"/>
  <c r="AQ61" i="29"/>
  <c r="AQ62" i="29"/>
  <c r="AQ63" i="29"/>
  <c r="AQ64" i="29"/>
  <c r="AQ65" i="29"/>
  <c r="AQ66" i="29"/>
  <c r="AQ67" i="29"/>
  <c r="AQ68" i="29"/>
  <c r="AQ69" i="29"/>
  <c r="AQ70" i="29"/>
  <c r="AQ42" i="29"/>
  <c r="AK69" i="29"/>
  <c r="O40" i="30"/>
  <c r="AE40" i="30" s="1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41" i="30"/>
  <c r="AE41" i="30" s="1"/>
  <c r="O42" i="30"/>
  <c r="AE42" i="30" s="1"/>
  <c r="O43" i="30"/>
  <c r="AE43" i="30" s="1"/>
  <c r="O45" i="30"/>
  <c r="AE45" i="30" s="1"/>
  <c r="O47" i="30"/>
  <c r="AE47" i="30" s="1"/>
  <c r="O48" i="30"/>
  <c r="AE48" i="30" s="1"/>
  <c r="O49" i="30"/>
  <c r="AE49" i="30" s="1"/>
  <c r="O50" i="30"/>
  <c r="AE50" i="30" s="1"/>
  <c r="O51" i="30"/>
  <c r="AE51" i="30" s="1"/>
  <c r="O52" i="30"/>
  <c r="AE52" i="30" s="1"/>
  <c r="O53" i="30"/>
  <c r="AE53" i="30" s="1"/>
  <c r="O54" i="30"/>
  <c r="AE54" i="30" s="1"/>
  <c r="O55" i="30"/>
  <c r="AE55" i="30" s="1"/>
  <c r="O56" i="30"/>
  <c r="AE56" i="30" s="1"/>
  <c r="O57" i="30"/>
  <c r="AE57" i="30" s="1"/>
  <c r="O58" i="30"/>
  <c r="AE58" i="30" s="1"/>
  <c r="O59" i="30"/>
  <c r="AE59" i="30" s="1"/>
  <c r="O60" i="30"/>
  <c r="AE60" i="30" s="1"/>
  <c r="O61" i="30"/>
  <c r="AE61" i="30" s="1"/>
  <c r="O62" i="30"/>
  <c r="AE62" i="30" s="1"/>
  <c r="O63" i="30"/>
  <c r="AE63" i="30" s="1"/>
  <c r="O64" i="30"/>
  <c r="AE64" i="30" s="1"/>
  <c r="O65" i="30"/>
  <c r="AE65" i="30" s="1"/>
  <c r="O66" i="30"/>
  <c r="AE66" i="30" s="1"/>
  <c r="O67" i="30"/>
  <c r="AE67" i="30" s="1"/>
  <c r="AL43" i="29"/>
  <c r="AM43" i="29"/>
  <c r="AL44" i="29"/>
  <c r="AM44" i="29"/>
  <c r="AL45" i="29"/>
  <c r="AM45" i="29"/>
  <c r="AL46" i="29"/>
  <c r="AM46" i="29"/>
  <c r="AL47" i="29"/>
  <c r="AM47" i="29"/>
  <c r="AL48" i="29"/>
  <c r="AM48" i="29"/>
  <c r="AL49" i="29"/>
  <c r="AM49" i="29"/>
  <c r="AL50" i="29"/>
  <c r="AM50" i="29"/>
  <c r="AL51" i="29"/>
  <c r="AM51" i="29"/>
  <c r="AL52" i="29"/>
  <c r="AM52" i="29"/>
  <c r="AL53" i="29"/>
  <c r="AM53" i="29"/>
  <c r="AL54" i="29"/>
  <c r="AM54" i="29"/>
  <c r="AL55" i="29"/>
  <c r="AM55" i="29"/>
  <c r="AL56" i="29"/>
  <c r="AM56" i="29"/>
  <c r="AL57" i="29"/>
  <c r="AM57" i="29"/>
  <c r="AL58" i="29"/>
  <c r="AM58" i="29"/>
  <c r="AL59" i="29"/>
  <c r="AM59" i="29"/>
  <c r="AL60" i="29"/>
  <c r="AM60" i="29"/>
  <c r="AL61" i="29"/>
  <c r="AM61" i="29"/>
  <c r="AL62" i="29"/>
  <c r="AM62" i="29"/>
  <c r="AL63" i="29"/>
  <c r="AM63" i="29"/>
  <c r="AL64" i="29"/>
  <c r="AM64" i="29"/>
  <c r="AL65" i="29"/>
  <c r="AM65" i="29"/>
  <c r="AL66" i="29"/>
  <c r="AM66" i="29"/>
  <c r="AL67" i="29"/>
  <c r="AM67" i="29"/>
  <c r="AL68" i="29"/>
  <c r="AM68" i="29"/>
  <c r="AL69" i="29"/>
  <c r="AM69" i="29"/>
  <c r="C70" i="29"/>
  <c r="D70" i="29"/>
  <c r="E70" i="29"/>
  <c r="F70" i="29"/>
  <c r="H70" i="29"/>
  <c r="I70" i="29"/>
  <c r="K70" i="29"/>
  <c r="L70" i="29"/>
  <c r="N70" i="29"/>
  <c r="O70" i="29"/>
  <c r="Q70" i="29"/>
  <c r="R70" i="29"/>
  <c r="T70" i="29"/>
  <c r="U70" i="29"/>
  <c r="W70" i="29"/>
  <c r="X70" i="29"/>
  <c r="Z70" i="29"/>
  <c r="AA70" i="29"/>
  <c r="AC70" i="29"/>
  <c r="AD70" i="29"/>
  <c r="AF70" i="29"/>
  <c r="AG70" i="29"/>
  <c r="AI70" i="29"/>
  <c r="AJ70" i="29"/>
  <c r="B70" i="29"/>
  <c r="AN55" i="29" l="1"/>
  <c r="AN51" i="29"/>
  <c r="CD55" i="29"/>
  <c r="AN69" i="29"/>
  <c r="AN57" i="29"/>
  <c r="AN68" i="29"/>
  <c r="AN48" i="29"/>
  <c r="AN44" i="29"/>
  <c r="AN61" i="29"/>
  <c r="AN63" i="29"/>
  <c r="AN47" i="29"/>
  <c r="AN64" i="29"/>
  <c r="AN62" i="29"/>
  <c r="AN56" i="29"/>
  <c r="AN54" i="29"/>
  <c r="AN50" i="29"/>
  <c r="AW70" i="29"/>
  <c r="AN67" i="29"/>
  <c r="AN46" i="29"/>
  <c r="CD63" i="29"/>
  <c r="AN66" i="29"/>
  <c r="AN45" i="29"/>
  <c r="AN58" i="29"/>
  <c r="CD66" i="29"/>
  <c r="CD58" i="29"/>
  <c r="AT70" i="29"/>
  <c r="CD69" i="29"/>
  <c r="CD61" i="29"/>
  <c r="CD53" i="29"/>
  <c r="CD68" i="29"/>
  <c r="CD67" i="29"/>
  <c r="AN60" i="29"/>
  <c r="AN43" i="29"/>
  <c r="CD65" i="29"/>
  <c r="CD49" i="29"/>
  <c r="AN59" i="29"/>
  <c r="AN53" i="29"/>
  <c r="AN49" i="29"/>
  <c r="CD48" i="29"/>
  <c r="AN65" i="29"/>
  <c r="AN52" i="29"/>
  <c r="CD42" i="29"/>
  <c r="CD62" i="29"/>
  <c r="CD46" i="29"/>
  <c r="BF50" i="29"/>
  <c r="CD50" i="29" s="1"/>
  <c r="BF59" i="29"/>
  <c r="CD59" i="29" s="1"/>
  <c r="BF47" i="29"/>
  <c r="CD47" i="29" s="1"/>
  <c r="BF54" i="29"/>
  <c r="CD54" i="29" s="1"/>
  <c r="BF57" i="29"/>
  <c r="CD57" i="29" s="1"/>
  <c r="BF45" i="29"/>
  <c r="CD45" i="29" s="1"/>
  <c r="BF60" i="29"/>
  <c r="CD60" i="29" s="1"/>
  <c r="BF56" i="29"/>
  <c r="CD56" i="29" s="1"/>
  <c r="BF52" i="29"/>
  <c r="CD52" i="29" s="1"/>
  <c r="BF44" i="29"/>
  <c r="CD44" i="29" s="1"/>
  <c r="BF64" i="29"/>
  <c r="CD64" i="29" s="1"/>
  <c r="BF51" i="29"/>
  <c r="CD51" i="29" s="1"/>
  <c r="BF43" i="29"/>
  <c r="CD43" i="29" s="1"/>
  <c r="BD70" i="29"/>
  <c r="BE70" i="29"/>
  <c r="BC70" i="29"/>
  <c r="AZ70" i="29"/>
  <c r="AX70" i="29"/>
  <c r="AY70" i="29"/>
  <c r="AK43" i="29"/>
  <c r="AK44" i="29"/>
  <c r="AK45" i="29"/>
  <c r="AK46" i="29"/>
  <c r="AK47" i="29"/>
  <c r="AK48" i="29"/>
  <c r="AK49" i="29"/>
  <c r="AK50" i="29"/>
  <c r="AK51" i="29"/>
  <c r="AK52" i="29"/>
  <c r="AK53" i="29"/>
  <c r="AK54" i="29"/>
  <c r="AK55" i="29"/>
  <c r="AK56" i="29"/>
  <c r="AK57" i="29"/>
  <c r="AK58" i="29"/>
  <c r="AK59" i="29"/>
  <c r="AK60" i="29"/>
  <c r="AK61" i="29"/>
  <c r="AK62" i="29"/>
  <c r="AK63" i="29"/>
  <c r="AK64" i="29"/>
  <c r="AK65" i="29"/>
  <c r="AK66" i="29"/>
  <c r="AK67" i="29"/>
  <c r="AK68" i="29"/>
  <c r="AK42" i="29"/>
  <c r="BZ41" i="25"/>
  <c r="CA41" i="25"/>
  <c r="BZ42" i="25"/>
  <c r="CA42" i="25"/>
  <c r="BZ43" i="25"/>
  <c r="CA43" i="25"/>
  <c r="BZ44" i="25"/>
  <c r="CA44" i="25"/>
  <c r="BZ45" i="25"/>
  <c r="CA45" i="25"/>
  <c r="BZ46" i="25"/>
  <c r="CA46" i="25"/>
  <c r="BZ47" i="25"/>
  <c r="CA47" i="25"/>
  <c r="BZ48" i="25"/>
  <c r="CA48" i="25"/>
  <c r="BZ49" i="25"/>
  <c r="CA49" i="25"/>
  <c r="BZ50" i="25"/>
  <c r="CA50" i="25"/>
  <c r="BZ51" i="25"/>
  <c r="CA51" i="25"/>
  <c r="BZ52" i="25"/>
  <c r="CA52" i="25"/>
  <c r="BZ53" i="25"/>
  <c r="CA53" i="25"/>
  <c r="BZ54" i="25"/>
  <c r="CA54" i="25"/>
  <c r="BZ55" i="25"/>
  <c r="CA55" i="25"/>
  <c r="BZ56" i="25"/>
  <c r="CA56" i="25"/>
  <c r="BZ57" i="25"/>
  <c r="CA57" i="25"/>
  <c r="BZ58" i="25"/>
  <c r="CA58" i="25"/>
  <c r="CA59" i="25"/>
  <c r="BZ60" i="25"/>
  <c r="CA60" i="25"/>
  <c r="BZ61" i="25"/>
  <c r="CA61" i="25"/>
  <c r="BZ62" i="25"/>
  <c r="CA62" i="25"/>
  <c r="BZ63" i="25"/>
  <c r="CA63" i="25"/>
  <c r="BZ64" i="25"/>
  <c r="CA64" i="25"/>
  <c r="BZ65" i="25"/>
  <c r="CA65" i="25"/>
  <c r="BZ66" i="25"/>
  <c r="CA66" i="25"/>
  <c r="BZ67" i="25"/>
  <c r="CA67" i="25"/>
  <c r="CA40" i="25"/>
  <c r="BZ40" i="25"/>
  <c r="CA39" i="25"/>
  <c r="BZ39" i="25"/>
  <c r="BX68" i="25"/>
  <c r="BW68" i="25"/>
  <c r="BY41" i="25"/>
  <c r="BY42" i="25"/>
  <c r="BY43" i="25"/>
  <c r="BY44" i="25"/>
  <c r="BY45" i="25"/>
  <c r="BY46" i="25"/>
  <c r="BY47" i="25"/>
  <c r="BY48" i="25"/>
  <c r="BY49" i="25"/>
  <c r="BY50" i="25"/>
  <c r="BY51" i="25"/>
  <c r="BY52" i="25"/>
  <c r="BY53" i="25"/>
  <c r="BY54" i="25"/>
  <c r="BY55" i="25"/>
  <c r="BY56" i="25"/>
  <c r="BY57" i="25"/>
  <c r="BY58" i="25"/>
  <c r="BY59" i="25"/>
  <c r="BY60" i="25"/>
  <c r="BY61" i="25"/>
  <c r="BY62" i="25"/>
  <c r="BY63" i="25"/>
  <c r="BY64" i="25"/>
  <c r="BY65" i="25"/>
  <c r="BY66" i="25"/>
  <c r="BY67" i="25"/>
  <c r="BY40" i="25"/>
  <c r="BY39" i="25"/>
  <c r="BX39" i="25"/>
  <c r="BW39" i="25"/>
  <c r="AI68" i="25"/>
  <c r="AJ68" i="25"/>
  <c r="AL41" i="25"/>
  <c r="AM41" i="25"/>
  <c r="AL42" i="25"/>
  <c r="AM42" i="25"/>
  <c r="AL43" i="25"/>
  <c r="AM43" i="25"/>
  <c r="AL44" i="25"/>
  <c r="AL45" i="25"/>
  <c r="AM45" i="25"/>
  <c r="AL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5" i="25"/>
  <c r="AM55" i="25"/>
  <c r="AL56" i="25"/>
  <c r="AM56" i="25"/>
  <c r="AL57" i="25"/>
  <c r="AM57" i="25"/>
  <c r="AL58" i="25"/>
  <c r="AM58" i="25"/>
  <c r="AL59" i="25"/>
  <c r="AM59" i="25"/>
  <c r="AL60" i="25"/>
  <c r="AM60" i="25"/>
  <c r="AL61" i="25"/>
  <c r="AM61" i="25"/>
  <c r="AL62" i="25"/>
  <c r="AM62" i="25"/>
  <c r="AL63" i="25"/>
  <c r="AM63" i="25"/>
  <c r="AL64" i="25"/>
  <c r="AM64" i="25"/>
  <c r="AL65" i="25"/>
  <c r="AM65" i="25"/>
  <c r="AL66" i="25"/>
  <c r="AM66" i="25"/>
  <c r="E68" i="25"/>
  <c r="F68" i="25"/>
  <c r="H68" i="25"/>
  <c r="I68" i="25"/>
  <c r="K68" i="25"/>
  <c r="L68" i="25"/>
  <c r="N68" i="25"/>
  <c r="O68" i="25"/>
  <c r="Q68" i="25"/>
  <c r="R68" i="25"/>
  <c r="S68" i="25" s="1"/>
  <c r="T68" i="25"/>
  <c r="U68" i="25"/>
  <c r="W68" i="25"/>
  <c r="X68" i="25"/>
  <c r="Z68" i="25"/>
  <c r="AA68" i="25"/>
  <c r="AC68" i="25"/>
  <c r="AD68" i="25"/>
  <c r="AF68" i="25"/>
  <c r="AG68" i="25"/>
  <c r="B68" i="25"/>
  <c r="D41" i="25"/>
  <c r="D42" i="25"/>
  <c r="D43" i="25"/>
  <c r="D45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AO67" i="25"/>
  <c r="AK41" i="25"/>
  <c r="AK42" i="25"/>
  <c r="AK44" i="25"/>
  <c r="AK45" i="25"/>
  <c r="AK46" i="25"/>
  <c r="AK47" i="25"/>
  <c r="AK48" i="25"/>
  <c r="AK49" i="25"/>
  <c r="AK50" i="25"/>
  <c r="AK51" i="25"/>
  <c r="AK52" i="25"/>
  <c r="AK53" i="25"/>
  <c r="AK54" i="25"/>
  <c r="AK55" i="25"/>
  <c r="AK57" i="25"/>
  <c r="AK58" i="25"/>
  <c r="AK61" i="25"/>
  <c r="AK62" i="25"/>
  <c r="AK63" i="25"/>
  <c r="AK65" i="25"/>
  <c r="AK66" i="25"/>
  <c r="AK40" i="25"/>
  <c r="EP31" i="32"/>
  <c r="EF5" i="32"/>
  <c r="EN5" i="32" s="1"/>
  <c r="EO5" i="32"/>
  <c r="EL5" i="32"/>
  <c r="EM5" i="32"/>
  <c r="EJ5" i="32"/>
  <c r="EK32" i="32"/>
  <c r="EM6" i="32"/>
  <c r="EF6" i="32"/>
  <c r="EJ6" i="32"/>
  <c r="EL6" i="32"/>
  <c r="EO6" i="32"/>
  <c r="EF7" i="32"/>
  <c r="EO7" i="32"/>
  <c r="EL7" i="32"/>
  <c r="EM7" i="32"/>
  <c r="EJ7" i="32"/>
  <c r="EN7" i="32" s="1"/>
  <c r="EL8" i="32"/>
  <c r="EM8" i="32"/>
  <c r="EF8" i="32"/>
  <c r="EN8" i="32" s="1"/>
  <c r="EO8" i="32"/>
  <c r="EJ8" i="32"/>
  <c r="EF9" i="32"/>
  <c r="EO9" i="32"/>
  <c r="EL9" i="32"/>
  <c r="EM9" i="32"/>
  <c r="EJ9" i="32"/>
  <c r="EM10" i="32"/>
  <c r="EF10" i="32"/>
  <c r="EN10" i="32" s="1"/>
  <c r="EO10" i="32"/>
  <c r="EJ10" i="32"/>
  <c r="EL10" i="32"/>
  <c r="EF11" i="32"/>
  <c r="EO11" i="32"/>
  <c r="EL11" i="32"/>
  <c r="EM11" i="32"/>
  <c r="EJ11" i="32"/>
  <c r="EL12" i="32"/>
  <c r="EM12" i="32"/>
  <c r="EF12" i="32"/>
  <c r="EJ12" i="32"/>
  <c r="EN12" i="32"/>
  <c r="EO12" i="32"/>
  <c r="EF13" i="32"/>
  <c r="EN13" i="32" s="1"/>
  <c r="EO13" i="32"/>
  <c r="EL13" i="32"/>
  <c r="EM13" i="32"/>
  <c r="EJ13" i="32"/>
  <c r="EM14" i="32"/>
  <c r="EF14" i="32"/>
  <c r="EN14" i="32" s="1"/>
  <c r="EO14" i="32"/>
  <c r="EJ14" i="32"/>
  <c r="EL14" i="32"/>
  <c r="EF15" i="32"/>
  <c r="EO15" i="32"/>
  <c r="EL15" i="32"/>
  <c r="EM15" i="32"/>
  <c r="EJ15" i="32"/>
  <c r="EN15" i="32" s="1"/>
  <c r="EM16" i="32"/>
  <c r="EF16" i="32"/>
  <c r="EO16" i="32"/>
  <c r="EJ16" i="32"/>
  <c r="EL16" i="32"/>
  <c r="EN16" i="32"/>
  <c r="EF17" i="32"/>
  <c r="EO17" i="32"/>
  <c r="EL17" i="32"/>
  <c r="EM17" i="32"/>
  <c r="EJ17" i="32"/>
  <c r="EL18" i="32"/>
  <c r="EM18" i="32"/>
  <c r="EF18" i="32"/>
  <c r="EN18" i="32" s="1"/>
  <c r="EO18" i="32"/>
  <c r="EJ18" i="32"/>
  <c r="EF19" i="32"/>
  <c r="EO19" i="32"/>
  <c r="EL19" i="32"/>
  <c r="EM19" i="32"/>
  <c r="EJ19" i="32"/>
  <c r="EN19" i="32" s="1"/>
  <c r="EF20" i="32"/>
  <c r="EN20" i="32" s="1"/>
  <c r="EO20" i="32"/>
  <c r="EJ20" i="32"/>
  <c r="EL20" i="32"/>
  <c r="EM20" i="32"/>
  <c r="EF21" i="32"/>
  <c r="EO21" i="32"/>
  <c r="EL21" i="32"/>
  <c r="EM21" i="32"/>
  <c r="EJ21" i="32"/>
  <c r="EN21" i="32" s="1"/>
  <c r="EL22" i="32"/>
  <c r="EF22" i="32"/>
  <c r="EN22" i="32" s="1"/>
  <c r="EJ22" i="32"/>
  <c r="EM22" i="32"/>
  <c r="EO22" i="32"/>
  <c r="EF23" i="32"/>
  <c r="EO23" i="32"/>
  <c r="EL23" i="32"/>
  <c r="EM23" i="32"/>
  <c r="EJ23" i="32"/>
  <c r="EL24" i="32"/>
  <c r="EM24" i="32"/>
  <c r="EF24" i="32"/>
  <c r="EN24" i="32" s="1"/>
  <c r="EO24" i="32"/>
  <c r="EJ24" i="32"/>
  <c r="EF25" i="32"/>
  <c r="EO25" i="32"/>
  <c r="EL25" i="32"/>
  <c r="EM25" i="32"/>
  <c r="EJ25" i="32"/>
  <c r="EN25" i="32" s="1"/>
  <c r="EM26" i="32"/>
  <c r="EF26" i="32"/>
  <c r="EO26" i="32"/>
  <c r="EJ26" i="32"/>
  <c r="EL26" i="32"/>
  <c r="EF27" i="32"/>
  <c r="EL27" i="32"/>
  <c r="EM27" i="32"/>
  <c r="EJ27" i="32"/>
  <c r="EN27" i="32" s="1"/>
  <c r="EO27" i="32"/>
  <c r="EM28" i="32"/>
  <c r="EF28" i="32"/>
  <c r="EO28" i="32"/>
  <c r="EJ28" i="32"/>
  <c r="EL28" i="32"/>
  <c r="EN28" i="32"/>
  <c r="EF29" i="32"/>
  <c r="EL29" i="32"/>
  <c r="EM29" i="32"/>
  <c r="EJ29" i="32"/>
  <c r="EO29" i="32"/>
  <c r="EL30" i="32"/>
  <c r="EM30" i="32"/>
  <c r="EF30" i="32"/>
  <c r="EN30" i="32" s="1"/>
  <c r="EO30" i="32"/>
  <c r="EJ30" i="32"/>
  <c r="EF31" i="32"/>
  <c r="EO31" i="32"/>
  <c r="EL31" i="32"/>
  <c r="EM31" i="32"/>
  <c r="EJ31" i="32"/>
  <c r="EN31" i="32" s="1"/>
  <c r="ED32" i="32"/>
  <c r="EE32" i="32"/>
  <c r="EG32" i="32"/>
  <c r="C32" i="32"/>
  <c r="E32" i="32"/>
  <c r="F32" i="32"/>
  <c r="G32" i="32"/>
  <c r="N32" i="32"/>
  <c r="O32" i="32"/>
  <c r="Q32" i="32"/>
  <c r="R32" i="32"/>
  <c r="S32" i="32"/>
  <c r="U32" i="32"/>
  <c r="Z32" i="32"/>
  <c r="AA32" i="32"/>
  <c r="AD32" i="32"/>
  <c r="AE32" i="32"/>
  <c r="AG32" i="32"/>
  <c r="AL32" i="32"/>
  <c r="AM32" i="32"/>
  <c r="AO32" i="32"/>
  <c r="AP32" i="32"/>
  <c r="AQ32" i="32"/>
  <c r="AS32" i="32"/>
  <c r="AX32" i="32"/>
  <c r="AY32" i="32"/>
  <c r="BA32" i="32"/>
  <c r="BB32" i="32"/>
  <c r="BC32" i="32"/>
  <c r="BE32" i="32"/>
  <c r="BJ32" i="32"/>
  <c r="BK32" i="32"/>
  <c r="BM32" i="32"/>
  <c r="BN32" i="32"/>
  <c r="BO32" i="32"/>
  <c r="BQ32" i="32"/>
  <c r="BV32" i="32"/>
  <c r="BW32" i="32"/>
  <c r="BY32" i="32"/>
  <c r="BZ32" i="32"/>
  <c r="CA32" i="32"/>
  <c r="CC32" i="32"/>
  <c r="CH32" i="32"/>
  <c r="CI32" i="32"/>
  <c r="CK32" i="32"/>
  <c r="CL32" i="32"/>
  <c r="CM32" i="32"/>
  <c r="CO32" i="32"/>
  <c r="CT32" i="32"/>
  <c r="CU32" i="32"/>
  <c r="CW32" i="32"/>
  <c r="CX32" i="32"/>
  <c r="CY32" i="32"/>
  <c r="DA32" i="32"/>
  <c r="DF32" i="32"/>
  <c r="DG32" i="32"/>
  <c r="DI32" i="32"/>
  <c r="DJ32" i="32"/>
  <c r="DK32" i="32"/>
  <c r="DR32" i="32"/>
  <c r="DS32" i="32"/>
  <c r="DU32" i="32"/>
  <c r="DV32" i="32"/>
  <c r="DW32" i="32"/>
  <c r="DY32" i="32"/>
  <c r="B32" i="32"/>
  <c r="EO4" i="32"/>
  <c r="EJ4" i="32"/>
  <c r="EM4" i="32"/>
  <c r="EL4" i="32"/>
  <c r="AD67" i="30"/>
  <c r="T68" i="30"/>
  <c r="U68" i="30"/>
  <c r="V68" i="30"/>
  <c r="W68" i="30"/>
  <c r="X68" i="30"/>
  <c r="Y68" i="30"/>
  <c r="Z68" i="30"/>
  <c r="AA68" i="30"/>
  <c r="AB68" i="30"/>
  <c r="AC68" i="30"/>
  <c r="R68" i="30"/>
  <c r="N67" i="30"/>
  <c r="C68" i="30"/>
  <c r="D68" i="30"/>
  <c r="E68" i="30"/>
  <c r="F68" i="30"/>
  <c r="G68" i="30"/>
  <c r="H68" i="30"/>
  <c r="I68" i="30"/>
  <c r="J68" i="30"/>
  <c r="K68" i="30"/>
  <c r="L68" i="30"/>
  <c r="M68" i="30"/>
  <c r="Q67" i="30"/>
  <c r="DM16" i="32"/>
  <c r="DM5" i="32"/>
  <c r="DM32" i="32" s="1"/>
  <c r="AB68" i="25" l="1"/>
  <c r="P68" i="25"/>
  <c r="AH68" i="25"/>
  <c r="CA68" i="25"/>
  <c r="J68" i="25"/>
  <c r="BZ68" i="25"/>
  <c r="AK68" i="25"/>
  <c r="AE68" i="25"/>
  <c r="G68" i="25"/>
  <c r="Y68" i="25"/>
  <c r="M68" i="25"/>
  <c r="V68" i="25"/>
  <c r="AK70" i="29"/>
  <c r="CD70" i="29"/>
  <c r="EN26" i="32"/>
  <c r="EN6" i="32"/>
  <c r="EN17" i="32"/>
  <c r="EN9" i="32"/>
  <c r="EN29" i="32"/>
  <c r="EN11" i="32"/>
  <c r="EN23" i="32"/>
  <c r="EJ32" i="32"/>
  <c r="BF70" i="29"/>
  <c r="BY68" i="25"/>
  <c r="AM67" i="25"/>
  <c r="AL67" i="25"/>
  <c r="AK56" i="25"/>
  <c r="AK59" i="25"/>
  <c r="AK43" i="25"/>
  <c r="AK64" i="25"/>
  <c r="AK60" i="25"/>
  <c r="EM32" i="32"/>
  <c r="EL32" i="32"/>
  <c r="EO32" i="32"/>
  <c r="EI32" i="32"/>
  <c r="EH32" i="32"/>
  <c r="EF4" i="32"/>
  <c r="AH43" i="29"/>
  <c r="AH44" i="29"/>
  <c r="AH45" i="29"/>
  <c r="AH46" i="29"/>
  <c r="AH47" i="29"/>
  <c r="AH49" i="29"/>
  <c r="AH50" i="29"/>
  <c r="AH51" i="29"/>
  <c r="AH52" i="29"/>
  <c r="AH53" i="29"/>
  <c r="AH54" i="29"/>
  <c r="AH56" i="29"/>
  <c r="AH57" i="29"/>
  <c r="AH58" i="29"/>
  <c r="AH59" i="29"/>
  <c r="AH60" i="29"/>
  <c r="AH61" i="29"/>
  <c r="AH62" i="29"/>
  <c r="AH63" i="29"/>
  <c r="AH65" i="29"/>
  <c r="AH66" i="29"/>
  <c r="AH67" i="29"/>
  <c r="AH68" i="29"/>
  <c r="AH42" i="29"/>
  <c r="AL42" i="29"/>
  <c r="BV41" i="25"/>
  <c r="BV42" i="25"/>
  <c r="BV43" i="25"/>
  <c r="BV44" i="25"/>
  <c r="BV45" i="25"/>
  <c r="BV46" i="25"/>
  <c r="BV47" i="25"/>
  <c r="BU68" i="25"/>
  <c r="BV49" i="25"/>
  <c r="BV50" i="25"/>
  <c r="BV51" i="25"/>
  <c r="BV52" i="25"/>
  <c r="BV53" i="25"/>
  <c r="BV54" i="25"/>
  <c r="BV55" i="25"/>
  <c r="BV56" i="25"/>
  <c r="BV57" i="25"/>
  <c r="BV58" i="25"/>
  <c r="BV59" i="25"/>
  <c r="BV60" i="25"/>
  <c r="BV61" i="25"/>
  <c r="BV62" i="25"/>
  <c r="BV63" i="25"/>
  <c r="BV64" i="25"/>
  <c r="BV65" i="25"/>
  <c r="BV66" i="25"/>
  <c r="BV40" i="25"/>
  <c r="BV39" i="25"/>
  <c r="BU39" i="25"/>
  <c r="BT39" i="25"/>
  <c r="AH41" i="25"/>
  <c r="AH50" i="25"/>
  <c r="AH54" i="25"/>
  <c r="AH59" i="25"/>
  <c r="AH65" i="25"/>
  <c r="AH66" i="25"/>
  <c r="AH43" i="25"/>
  <c r="AH47" i="25"/>
  <c r="AH51" i="25"/>
  <c r="AH55" i="25"/>
  <c r="AH63" i="25"/>
  <c r="AM40" i="25"/>
  <c r="AL40" i="25"/>
  <c r="DZ5" i="32"/>
  <c r="EA5" i="32"/>
  <c r="EC5" i="32"/>
  <c r="DZ6" i="32"/>
  <c r="EA6" i="32"/>
  <c r="EC6" i="32"/>
  <c r="DZ7" i="32"/>
  <c r="EA7" i="32"/>
  <c r="EC7" i="32"/>
  <c r="DZ8" i="32"/>
  <c r="EA8" i="32"/>
  <c r="EC8" i="32"/>
  <c r="DZ9" i="32"/>
  <c r="EA9" i="32"/>
  <c r="EC9" i="32"/>
  <c r="DZ10" i="32"/>
  <c r="EA10" i="32"/>
  <c r="EC10" i="32"/>
  <c r="DZ11" i="32"/>
  <c r="EA11" i="32"/>
  <c r="EC11" i="32"/>
  <c r="DZ12" i="32"/>
  <c r="EA12" i="32"/>
  <c r="EC12" i="32"/>
  <c r="DZ13" i="32"/>
  <c r="EA13" i="32"/>
  <c r="EC13" i="32"/>
  <c r="DZ14" i="32"/>
  <c r="EA14" i="32"/>
  <c r="EC14" i="32"/>
  <c r="DZ15" i="32"/>
  <c r="EA15" i="32"/>
  <c r="EC15" i="32"/>
  <c r="DZ16" i="32"/>
  <c r="EA16" i="32"/>
  <c r="EC16" i="32"/>
  <c r="DZ17" i="32"/>
  <c r="EA17" i="32"/>
  <c r="EC17" i="32"/>
  <c r="DZ18" i="32"/>
  <c r="EA18" i="32"/>
  <c r="EC18" i="32"/>
  <c r="DZ19" i="32"/>
  <c r="EA19" i="32"/>
  <c r="EC19" i="32"/>
  <c r="DZ20" i="32"/>
  <c r="EA20" i="32"/>
  <c r="EC20" i="32"/>
  <c r="DZ21" i="32"/>
  <c r="EA21" i="32"/>
  <c r="EC21" i="32"/>
  <c r="DZ22" i="32"/>
  <c r="EA22" i="32"/>
  <c r="EC22" i="32"/>
  <c r="DZ23" i="32"/>
  <c r="EA23" i="32"/>
  <c r="EC23" i="32"/>
  <c r="DZ24" i="32"/>
  <c r="EA24" i="32"/>
  <c r="EC24" i="32"/>
  <c r="DZ25" i="32"/>
  <c r="EA25" i="32"/>
  <c r="EC25" i="32"/>
  <c r="DZ26" i="32"/>
  <c r="EA26" i="32"/>
  <c r="EC26" i="32"/>
  <c r="DZ27" i="32"/>
  <c r="EA27" i="32"/>
  <c r="EC27" i="32"/>
  <c r="DZ28" i="32"/>
  <c r="EA28" i="32"/>
  <c r="EC28" i="32"/>
  <c r="DZ29" i="32"/>
  <c r="EA29" i="32"/>
  <c r="EC29" i="32"/>
  <c r="DZ30" i="32"/>
  <c r="EA30" i="32"/>
  <c r="EC30" i="32"/>
  <c r="EA4" i="32"/>
  <c r="EC4" i="32"/>
  <c r="DZ4" i="32"/>
  <c r="DX5" i="32"/>
  <c r="DX7" i="32"/>
  <c r="DX8" i="32"/>
  <c r="DX9" i="32"/>
  <c r="DX10" i="32"/>
  <c r="DX14" i="32"/>
  <c r="DX15" i="32"/>
  <c r="DX17" i="32"/>
  <c r="DX18" i="32"/>
  <c r="DX19" i="32"/>
  <c r="DX20" i="32"/>
  <c r="DX21" i="32"/>
  <c r="DX22" i="32"/>
  <c r="DX25" i="32"/>
  <c r="DX26" i="32"/>
  <c r="DX27" i="32"/>
  <c r="DX29" i="32"/>
  <c r="DX30" i="32"/>
  <c r="DT6" i="32"/>
  <c r="DT8" i="32"/>
  <c r="DT14" i="32"/>
  <c r="DT16" i="32"/>
  <c r="DT22" i="32"/>
  <c r="DT24" i="32"/>
  <c r="DT30" i="32"/>
  <c r="DT5" i="32"/>
  <c r="DT7" i="32"/>
  <c r="DT9" i="32"/>
  <c r="EB9" i="32" s="1"/>
  <c r="DT10" i="32"/>
  <c r="EB10" i="32" s="1"/>
  <c r="DT11" i="32"/>
  <c r="DT12" i="32"/>
  <c r="DT13" i="32"/>
  <c r="DT15" i="32"/>
  <c r="DT17" i="32"/>
  <c r="DT18" i="32"/>
  <c r="DT19" i="32"/>
  <c r="DT20" i="32"/>
  <c r="DT21" i="32"/>
  <c r="EB21" i="32" s="1"/>
  <c r="DT23" i="32"/>
  <c r="DT25" i="32"/>
  <c r="DT26" i="32"/>
  <c r="DT27" i="32"/>
  <c r="DT28" i="32"/>
  <c r="DT29" i="32"/>
  <c r="DX4" i="32"/>
  <c r="DT4" i="32"/>
  <c r="AD48" i="30"/>
  <c r="AD55" i="30"/>
  <c r="AD56" i="30"/>
  <c r="AD63" i="30"/>
  <c r="AD64" i="30"/>
  <c r="AE43" i="29"/>
  <c r="AE44" i="29"/>
  <c r="AE45" i="29"/>
  <c r="AE46" i="29"/>
  <c r="AE47" i="29"/>
  <c r="AE48" i="29"/>
  <c r="AE49" i="29"/>
  <c r="AE50" i="29"/>
  <c r="AE51" i="29"/>
  <c r="AE52" i="29"/>
  <c r="AE53" i="29"/>
  <c r="AE54" i="29"/>
  <c r="AE55" i="29"/>
  <c r="AE56" i="29"/>
  <c r="AE57" i="29"/>
  <c r="AE58" i="29"/>
  <c r="AE59" i="29"/>
  <c r="AE60" i="29"/>
  <c r="AE61" i="29"/>
  <c r="AE62" i="29"/>
  <c r="AE63" i="29"/>
  <c r="AE64" i="29"/>
  <c r="AE65" i="29"/>
  <c r="AE66" i="29"/>
  <c r="AE67" i="29"/>
  <c r="AE68" i="29"/>
  <c r="AE42" i="29"/>
  <c r="N66" i="30"/>
  <c r="DH5" i="32"/>
  <c r="DO5" i="32"/>
  <c r="DL5" i="32"/>
  <c r="DQ5" i="32"/>
  <c r="DN5" i="32"/>
  <c r="DH6" i="32"/>
  <c r="DL6" i="32"/>
  <c r="DP6" i="32" s="1"/>
  <c r="DO6" i="32"/>
  <c r="DQ6" i="32"/>
  <c r="DH7" i="32"/>
  <c r="DN7" i="32"/>
  <c r="DO7" i="32"/>
  <c r="DL7" i="32"/>
  <c r="DQ7" i="32"/>
  <c r="DH8" i="32"/>
  <c r="DL8" i="32"/>
  <c r="DN8" i="32"/>
  <c r="DO8" i="32"/>
  <c r="DQ8" i="32"/>
  <c r="DH9" i="32"/>
  <c r="DN9" i="32"/>
  <c r="DO9" i="32"/>
  <c r="DL9" i="32"/>
  <c r="DQ9" i="32"/>
  <c r="DH10" i="32"/>
  <c r="DL10" i="32"/>
  <c r="DN10" i="32"/>
  <c r="DO10" i="32"/>
  <c r="DQ10" i="32"/>
  <c r="DH11" i="32"/>
  <c r="DN11" i="32"/>
  <c r="DO11" i="32"/>
  <c r="DL11" i="32"/>
  <c r="DQ11" i="32"/>
  <c r="DH12" i="32"/>
  <c r="DL12" i="32"/>
  <c r="DN12" i="32"/>
  <c r="DO12" i="32"/>
  <c r="DQ12" i="32"/>
  <c r="DH13" i="32"/>
  <c r="DN13" i="32"/>
  <c r="DO13" i="32"/>
  <c r="DL13" i="32"/>
  <c r="DQ13" i="32"/>
  <c r="DH14" i="32"/>
  <c r="DL14" i="32"/>
  <c r="DN14" i="32"/>
  <c r="DO14" i="32"/>
  <c r="DQ14" i="32"/>
  <c r="DH15" i="32"/>
  <c r="DN15" i="32"/>
  <c r="DO15" i="32"/>
  <c r="DL15" i="32"/>
  <c r="DQ15" i="32"/>
  <c r="DH16" i="32"/>
  <c r="DL16" i="32"/>
  <c r="DN16" i="32"/>
  <c r="DO16" i="32"/>
  <c r="DQ16" i="32"/>
  <c r="DH17" i="32"/>
  <c r="DN17" i="32"/>
  <c r="DO17" i="32"/>
  <c r="DL17" i="32"/>
  <c r="DQ17" i="32"/>
  <c r="DN18" i="32"/>
  <c r="DH18" i="32"/>
  <c r="DL18" i="32"/>
  <c r="DO18" i="32"/>
  <c r="DQ18" i="32"/>
  <c r="DH19" i="32"/>
  <c r="DQ19" i="32"/>
  <c r="DO19" i="32"/>
  <c r="DL19" i="32"/>
  <c r="DN19" i="32"/>
  <c r="DH20" i="32"/>
  <c r="DL20" i="32"/>
  <c r="DO20" i="32"/>
  <c r="DQ20" i="32"/>
  <c r="DH21" i="32"/>
  <c r="DO21" i="32"/>
  <c r="DL21" i="32"/>
  <c r="DQ21" i="32"/>
  <c r="DN21" i="32"/>
  <c r="DN22" i="32"/>
  <c r="DH22" i="32"/>
  <c r="DL22" i="32"/>
  <c r="DO22" i="32"/>
  <c r="DQ22" i="32"/>
  <c r="DH23" i="32"/>
  <c r="DQ23" i="32"/>
  <c r="DO23" i="32"/>
  <c r="DL23" i="32"/>
  <c r="DN23" i="32"/>
  <c r="DN24" i="32"/>
  <c r="DH24" i="32"/>
  <c r="DL24" i="32"/>
  <c r="DO24" i="32"/>
  <c r="DQ24" i="32"/>
  <c r="DH25" i="32"/>
  <c r="DQ25" i="32"/>
  <c r="DO25" i="32"/>
  <c r="DL25" i="32"/>
  <c r="DN25" i="32"/>
  <c r="DN26" i="32"/>
  <c r="DH26" i="32"/>
  <c r="DL26" i="32"/>
  <c r="DO26" i="32"/>
  <c r="DQ26" i="32"/>
  <c r="DH27" i="32"/>
  <c r="DP27" i="32" s="1"/>
  <c r="DQ27" i="32"/>
  <c r="DO27" i="32"/>
  <c r="DL27" i="32"/>
  <c r="DN27" i="32"/>
  <c r="DN28" i="32"/>
  <c r="DH28" i="32"/>
  <c r="DL28" i="32"/>
  <c r="DO28" i="32"/>
  <c r="DQ28" i="32"/>
  <c r="DN29" i="32"/>
  <c r="DQ29" i="32"/>
  <c r="DO29" i="32"/>
  <c r="DL29" i="32"/>
  <c r="DN30" i="32"/>
  <c r="DO30" i="32"/>
  <c r="DH30" i="32"/>
  <c r="DL30" i="32"/>
  <c r="DQ30" i="32"/>
  <c r="DQ4" i="32"/>
  <c r="DO4" i="32"/>
  <c r="DN4" i="32"/>
  <c r="DH4" i="32"/>
  <c r="DL4" i="32"/>
  <c r="BS41" i="25"/>
  <c r="BS42" i="25"/>
  <c r="BS44" i="25"/>
  <c r="BS46" i="25"/>
  <c r="BS49" i="25"/>
  <c r="BS51" i="25"/>
  <c r="BS53" i="25"/>
  <c r="BS57" i="25"/>
  <c r="BS64" i="25"/>
  <c r="BS65" i="25"/>
  <c r="BS40" i="25"/>
  <c r="BS39" i="25"/>
  <c r="BR39" i="25"/>
  <c r="BQ39" i="25"/>
  <c r="AE43" i="25"/>
  <c r="AE44" i="25"/>
  <c r="AE50" i="25"/>
  <c r="AE52" i="25"/>
  <c r="AB68" i="29"/>
  <c r="AB43" i="29"/>
  <c r="AB44" i="29"/>
  <c r="AB47" i="29"/>
  <c r="AB49" i="29"/>
  <c r="AB50" i="29"/>
  <c r="AB51" i="29"/>
  <c r="AB52" i="29"/>
  <c r="AB53" i="29"/>
  <c r="AB55" i="29"/>
  <c r="AB57" i="29"/>
  <c r="AB59" i="29"/>
  <c r="AB63" i="29"/>
  <c r="AB67" i="29"/>
  <c r="CV5" i="32"/>
  <c r="DC5" i="32"/>
  <c r="CZ5" i="32"/>
  <c r="DE5" i="32"/>
  <c r="DB5" i="32"/>
  <c r="CV6" i="32"/>
  <c r="CZ6" i="32"/>
  <c r="DC6" i="32"/>
  <c r="DE6" i="32"/>
  <c r="CV7" i="32"/>
  <c r="DC7" i="32"/>
  <c r="CZ7" i="32"/>
  <c r="DE7" i="32"/>
  <c r="DB7" i="32"/>
  <c r="CV8" i="32"/>
  <c r="CZ8" i="32"/>
  <c r="DC8" i="32"/>
  <c r="DE8" i="32"/>
  <c r="CV9" i="32"/>
  <c r="DC9" i="32"/>
  <c r="CZ9" i="32"/>
  <c r="DE9" i="32"/>
  <c r="DB9" i="32"/>
  <c r="CV10" i="32"/>
  <c r="CZ10" i="32"/>
  <c r="DC10" i="32"/>
  <c r="DE10" i="32"/>
  <c r="CV11" i="32"/>
  <c r="DC11" i="32"/>
  <c r="CZ11" i="32"/>
  <c r="DE11" i="32"/>
  <c r="DB11" i="32"/>
  <c r="CV12" i="32"/>
  <c r="CZ12" i="32"/>
  <c r="DC12" i="32"/>
  <c r="DE12" i="32"/>
  <c r="CV13" i="32"/>
  <c r="DC13" i="32"/>
  <c r="CZ13" i="32"/>
  <c r="DE13" i="32"/>
  <c r="DB13" i="32"/>
  <c r="CV14" i="32"/>
  <c r="DE14" i="32"/>
  <c r="CZ14" i="32"/>
  <c r="DC14" i="32"/>
  <c r="CV15" i="32"/>
  <c r="DC15" i="32"/>
  <c r="CZ15" i="32"/>
  <c r="DE15" i="32"/>
  <c r="DB15" i="32"/>
  <c r="CV16" i="32"/>
  <c r="DE16" i="32"/>
  <c r="CZ16" i="32"/>
  <c r="DC16" i="32"/>
  <c r="CV17" i="32"/>
  <c r="DE17" i="32"/>
  <c r="DC17" i="32"/>
  <c r="CZ17" i="32"/>
  <c r="DB17" i="32"/>
  <c r="CV18" i="32"/>
  <c r="DE18" i="32"/>
  <c r="CZ18" i="32"/>
  <c r="DC18" i="32"/>
  <c r="CV19" i="32"/>
  <c r="DC19" i="32"/>
  <c r="CZ19" i="32"/>
  <c r="DE19" i="32"/>
  <c r="DB19" i="32"/>
  <c r="CV20" i="32"/>
  <c r="DE20" i="32"/>
  <c r="CZ20" i="32"/>
  <c r="DC20" i="32"/>
  <c r="CV21" i="32"/>
  <c r="DC21" i="32"/>
  <c r="CZ21" i="32"/>
  <c r="DE21" i="32"/>
  <c r="DB21" i="32"/>
  <c r="CV22" i="32"/>
  <c r="DE22" i="32"/>
  <c r="CZ22" i="32"/>
  <c r="DC22" i="32"/>
  <c r="CV23" i="32"/>
  <c r="DE23" i="32"/>
  <c r="CZ23" i="32"/>
  <c r="DB23" i="32"/>
  <c r="DC23" i="32"/>
  <c r="CV24" i="32"/>
  <c r="DE24" i="32"/>
  <c r="CZ24" i="32"/>
  <c r="DC24" i="32"/>
  <c r="CV25" i="32"/>
  <c r="CZ25" i="32"/>
  <c r="DE25" i="32"/>
  <c r="DB25" i="32"/>
  <c r="DC25" i="32"/>
  <c r="CV26" i="32"/>
  <c r="DE26" i="32"/>
  <c r="CZ26" i="32"/>
  <c r="DC26" i="32"/>
  <c r="CV27" i="32"/>
  <c r="CZ27" i="32"/>
  <c r="DE27" i="32"/>
  <c r="DB27" i="32"/>
  <c r="DC27" i="32"/>
  <c r="CV28" i="32"/>
  <c r="DE28" i="32"/>
  <c r="CZ28" i="32"/>
  <c r="DC28" i="32"/>
  <c r="CV29" i="32"/>
  <c r="DE29" i="32"/>
  <c r="CZ29" i="32"/>
  <c r="DB29" i="32"/>
  <c r="DD29" i="32" s="1"/>
  <c r="DC29" i="32"/>
  <c r="BO68" i="25"/>
  <c r="BN68" i="25"/>
  <c r="BP41" i="25"/>
  <c r="BP42" i="25"/>
  <c r="BP43" i="25"/>
  <c r="BP44" i="25"/>
  <c r="BP45" i="25"/>
  <c r="BP46" i="25"/>
  <c r="BP47" i="25"/>
  <c r="BP48" i="25"/>
  <c r="BP49" i="25"/>
  <c r="BP50" i="25"/>
  <c r="BP51" i="25"/>
  <c r="BP52" i="25"/>
  <c r="BP53" i="25"/>
  <c r="BP54" i="25"/>
  <c r="BP55" i="25"/>
  <c r="BP56" i="25"/>
  <c r="BP57" i="25"/>
  <c r="BP58" i="25"/>
  <c r="BP59" i="25"/>
  <c r="BP60" i="25"/>
  <c r="BP61" i="25"/>
  <c r="BP62" i="25"/>
  <c r="BP63" i="25"/>
  <c r="BP64" i="25"/>
  <c r="BP65" i="25"/>
  <c r="BP66" i="25"/>
  <c r="BP40" i="25"/>
  <c r="BP39" i="25"/>
  <c r="BO39" i="25"/>
  <c r="BN39" i="25"/>
  <c r="AB66" i="25"/>
  <c r="AO66" i="25"/>
  <c r="AB41" i="25"/>
  <c r="AB42" i="25"/>
  <c r="AB45" i="25"/>
  <c r="AB48" i="25"/>
  <c r="AB49" i="25"/>
  <c r="AB51" i="25"/>
  <c r="AB52" i="25"/>
  <c r="AB53" i="25"/>
  <c r="AB54" i="25"/>
  <c r="AB55" i="25"/>
  <c r="AB56" i="25"/>
  <c r="AB57" i="25"/>
  <c r="AB61" i="25"/>
  <c r="AB64" i="25"/>
  <c r="AB40" i="25"/>
  <c r="AD66" i="30"/>
  <c r="AD50" i="30"/>
  <c r="AD52" i="30"/>
  <c r="AD58" i="30"/>
  <c r="AD60" i="30"/>
  <c r="Q66" i="30"/>
  <c r="CB76" i="29"/>
  <c r="CC76" i="29"/>
  <c r="CB77" i="29"/>
  <c r="CC77" i="29"/>
  <c r="CB78" i="29"/>
  <c r="CC78" i="29"/>
  <c r="CB79" i="29"/>
  <c r="CC79" i="29"/>
  <c r="CB80" i="29"/>
  <c r="CC80" i="29"/>
  <c r="CB81" i="29"/>
  <c r="CC81" i="29"/>
  <c r="CB82" i="29"/>
  <c r="CC82" i="29"/>
  <c r="CB83" i="29"/>
  <c r="CC83" i="29"/>
  <c r="CB84" i="29"/>
  <c r="CC84" i="29"/>
  <c r="CB85" i="29"/>
  <c r="CC85" i="29"/>
  <c r="CB86" i="29"/>
  <c r="CC86" i="29"/>
  <c r="CB87" i="29"/>
  <c r="CC87" i="29"/>
  <c r="CB88" i="29"/>
  <c r="CC88" i="29"/>
  <c r="CB89" i="29"/>
  <c r="CC89" i="29"/>
  <c r="CB90" i="29"/>
  <c r="CC90" i="29"/>
  <c r="CB91" i="29"/>
  <c r="CC91" i="29"/>
  <c r="CB92" i="29"/>
  <c r="CC92" i="29"/>
  <c r="CB93" i="29"/>
  <c r="CC93" i="29"/>
  <c r="CC75" i="29"/>
  <c r="CB75" i="29"/>
  <c r="AL100" i="29"/>
  <c r="AM100" i="29"/>
  <c r="AL101" i="29"/>
  <c r="AM101" i="29"/>
  <c r="AL102" i="29"/>
  <c r="AM102" i="29"/>
  <c r="AL103" i="29"/>
  <c r="AM103" i="29"/>
  <c r="AL104" i="29"/>
  <c r="AM104" i="29"/>
  <c r="AL105" i="29"/>
  <c r="AM105" i="29"/>
  <c r="AL106" i="29"/>
  <c r="AM106" i="29"/>
  <c r="AL107" i="29"/>
  <c r="AM107" i="29"/>
  <c r="AL108" i="29"/>
  <c r="AM108" i="29"/>
  <c r="AL109" i="29"/>
  <c r="AM109" i="29"/>
  <c r="AL110" i="29"/>
  <c r="AM110" i="29"/>
  <c r="AL111" i="29"/>
  <c r="AM111" i="29"/>
  <c r="AL112" i="29"/>
  <c r="AM112" i="29"/>
  <c r="AL113" i="29"/>
  <c r="AM113" i="29"/>
  <c r="AM99" i="29"/>
  <c r="AL99" i="29"/>
  <c r="AD41" i="30"/>
  <c r="AD42" i="30"/>
  <c r="AD43" i="30"/>
  <c r="AD45" i="30"/>
  <c r="AD46" i="30"/>
  <c r="AD49" i="30"/>
  <c r="AD51" i="30"/>
  <c r="AD53" i="30"/>
  <c r="AD54" i="30"/>
  <c r="AD57" i="30"/>
  <c r="AD59" i="30"/>
  <c r="AD61" i="30"/>
  <c r="AD62" i="30"/>
  <c r="AD65" i="30"/>
  <c r="CQ29" i="32"/>
  <c r="CS29" i="32"/>
  <c r="CN29" i="32"/>
  <c r="CQ5" i="32"/>
  <c r="CJ6" i="32"/>
  <c r="CS6" i="32"/>
  <c r="CS7" i="32"/>
  <c r="CS8" i="32"/>
  <c r="CQ9" i="32"/>
  <c r="CS9" i="32"/>
  <c r="CS10" i="32"/>
  <c r="CS11" i="32"/>
  <c r="CS12" i="32"/>
  <c r="CJ14" i="32"/>
  <c r="CQ14" i="32"/>
  <c r="CS14" i="32"/>
  <c r="CQ15" i="32"/>
  <c r="CS16" i="32"/>
  <c r="CJ17" i="32"/>
  <c r="CQ17" i="32"/>
  <c r="CS18" i="32"/>
  <c r="CN19" i="32"/>
  <c r="CN20" i="32"/>
  <c r="CS20" i="32"/>
  <c r="CQ21" i="32"/>
  <c r="CS21" i="32"/>
  <c r="CS22" i="32"/>
  <c r="CS23" i="32"/>
  <c r="CS24" i="32"/>
  <c r="CJ27" i="32"/>
  <c r="CQ27" i="32"/>
  <c r="CS27" i="32"/>
  <c r="CP28" i="32"/>
  <c r="CQ28" i="32"/>
  <c r="BL68" i="25"/>
  <c r="BK68" i="25"/>
  <c r="AO65" i="25"/>
  <c r="BM41" i="25"/>
  <c r="BM45" i="25"/>
  <c r="BM47" i="25"/>
  <c r="BM48" i="25"/>
  <c r="BM49" i="25"/>
  <c r="BM52" i="25"/>
  <c r="BM53" i="25"/>
  <c r="BM55" i="25"/>
  <c r="BM56" i="25"/>
  <c r="BM59" i="25"/>
  <c r="BM61" i="25"/>
  <c r="BM64" i="25"/>
  <c r="BM40" i="25"/>
  <c r="BM39" i="25"/>
  <c r="BL39" i="25"/>
  <c r="BK39" i="25"/>
  <c r="Y41" i="25"/>
  <c r="Y42" i="25"/>
  <c r="Y43" i="25"/>
  <c r="Y44" i="25"/>
  <c r="Y45" i="25"/>
  <c r="Y46" i="25"/>
  <c r="Y47" i="25"/>
  <c r="Y48" i="25"/>
  <c r="Y49" i="25"/>
  <c r="Y50" i="25"/>
  <c r="Y51" i="25"/>
  <c r="Y52" i="25"/>
  <c r="Y53" i="25"/>
  <c r="Y54" i="25"/>
  <c r="Y55" i="25"/>
  <c r="Y56" i="25"/>
  <c r="Y57" i="25"/>
  <c r="Y58" i="25"/>
  <c r="Y59" i="25"/>
  <c r="Y60" i="25"/>
  <c r="Y61" i="25"/>
  <c r="Y62" i="25"/>
  <c r="Y63" i="25"/>
  <c r="Y64" i="25"/>
  <c r="Y40" i="25"/>
  <c r="Q65" i="30"/>
  <c r="N65" i="30"/>
  <c r="Y67" i="29"/>
  <c r="BJ42" i="25"/>
  <c r="BJ46" i="25"/>
  <c r="BJ50" i="25"/>
  <c r="BJ51" i="25"/>
  <c r="BJ54" i="25"/>
  <c r="BJ55" i="25"/>
  <c r="BJ57" i="25"/>
  <c r="BJ59" i="25"/>
  <c r="BJ63" i="25"/>
  <c r="BJ64" i="25"/>
  <c r="BJ39" i="25"/>
  <c r="BI39" i="25"/>
  <c r="BH39" i="25"/>
  <c r="V41" i="25"/>
  <c r="V42" i="25"/>
  <c r="V43" i="25"/>
  <c r="V44" i="25"/>
  <c r="V45" i="25"/>
  <c r="V46" i="25"/>
  <c r="V47" i="25"/>
  <c r="V48" i="25"/>
  <c r="V49" i="25"/>
  <c r="V50" i="25"/>
  <c r="V51" i="25"/>
  <c r="V52" i="25"/>
  <c r="V53" i="25"/>
  <c r="V54" i="25"/>
  <c r="V55" i="25"/>
  <c r="V56" i="25"/>
  <c r="V57" i="25"/>
  <c r="V58" i="25"/>
  <c r="V59" i="25"/>
  <c r="V60" i="25"/>
  <c r="V61" i="25"/>
  <c r="V62" i="25"/>
  <c r="V63" i="25"/>
  <c r="V64" i="25"/>
  <c r="V40" i="25"/>
  <c r="BP68" i="25" l="1"/>
  <c r="CC94" i="29"/>
  <c r="AL114" i="29"/>
  <c r="AE70" i="29"/>
  <c r="AL70" i="29"/>
  <c r="EB4" i="32"/>
  <c r="DT32" i="32"/>
  <c r="EA32" i="32"/>
  <c r="DL32" i="32"/>
  <c r="DP4" i="32"/>
  <c r="DH32" i="32"/>
  <c r="DO32" i="32"/>
  <c r="DZ32" i="32"/>
  <c r="EB30" i="32"/>
  <c r="EP29" i="32"/>
  <c r="DQ32" i="32"/>
  <c r="EB22" i="32"/>
  <c r="EC32" i="32"/>
  <c r="DX32" i="32"/>
  <c r="EB19" i="32"/>
  <c r="CB94" i="29"/>
  <c r="AM114" i="29"/>
  <c r="AL68" i="25"/>
  <c r="EN4" i="32"/>
  <c r="EN32" i="32" s="1"/>
  <c r="EF32" i="32"/>
  <c r="EB25" i="32"/>
  <c r="DP17" i="32"/>
  <c r="DP9" i="32"/>
  <c r="EB29" i="32"/>
  <c r="DP25" i="32"/>
  <c r="EB18" i="32"/>
  <c r="EB20" i="32"/>
  <c r="DP21" i="32"/>
  <c r="DP10" i="32"/>
  <c r="EB5" i="32"/>
  <c r="EB7" i="32"/>
  <c r="DP18" i="32"/>
  <c r="EB8" i="32"/>
  <c r="EB27" i="32"/>
  <c r="EB17" i="32"/>
  <c r="EB26" i="32"/>
  <c r="EB15" i="32"/>
  <c r="DD9" i="32"/>
  <c r="EB14" i="32"/>
  <c r="DD7" i="32"/>
  <c r="DP28" i="32"/>
  <c r="DP12" i="32"/>
  <c r="DD23" i="32"/>
  <c r="DD5" i="32"/>
  <c r="DP15" i="32"/>
  <c r="DP7" i="32"/>
  <c r="DP23" i="32"/>
  <c r="DP5" i="32"/>
  <c r="DD27" i="32"/>
  <c r="DP24" i="32"/>
  <c r="DP16" i="32"/>
  <c r="DP13" i="32"/>
  <c r="DD25" i="32"/>
  <c r="DP30" i="32"/>
  <c r="DP22" i="32"/>
  <c r="DP19" i="32"/>
  <c r="DP11" i="32"/>
  <c r="AH55" i="29"/>
  <c r="AH64" i="29"/>
  <c r="AH48" i="29"/>
  <c r="AM42" i="29"/>
  <c r="AM70" i="29" s="1"/>
  <c r="BT68" i="25"/>
  <c r="BV68" i="25" s="1"/>
  <c r="BV48" i="25"/>
  <c r="AH45" i="25"/>
  <c r="AH57" i="25"/>
  <c r="AH49" i="25"/>
  <c r="AH46" i="25"/>
  <c r="AH64" i="25"/>
  <c r="AH60" i="25"/>
  <c r="AH52" i="25"/>
  <c r="AH44" i="25"/>
  <c r="AH42" i="25"/>
  <c r="AH40" i="25"/>
  <c r="AH58" i="25"/>
  <c r="AH62" i="25"/>
  <c r="AH56" i="25"/>
  <c r="AH48" i="25"/>
  <c r="AH61" i="25"/>
  <c r="AH53" i="25"/>
  <c r="DX28" i="32"/>
  <c r="EB28" i="32" s="1"/>
  <c r="DX24" i="32"/>
  <c r="EB24" i="32" s="1"/>
  <c r="DX13" i="32"/>
  <c r="EB13" i="32" s="1"/>
  <c r="DX6" i="32"/>
  <c r="EB6" i="32" s="1"/>
  <c r="DX23" i="32"/>
  <c r="EB23" i="32" s="1"/>
  <c r="DX16" i="32"/>
  <c r="EB16" i="32" s="1"/>
  <c r="DX11" i="32"/>
  <c r="EB11" i="32" s="1"/>
  <c r="DX12" i="32"/>
  <c r="EB12" i="32" s="1"/>
  <c r="AD47" i="30"/>
  <c r="DP14" i="32"/>
  <c r="DP26" i="32"/>
  <c r="DP8" i="32"/>
  <c r="DP20" i="32"/>
  <c r="DN6" i="32"/>
  <c r="DN32" i="32" s="1"/>
  <c r="DN20" i="32"/>
  <c r="DH29" i="32"/>
  <c r="DP29" i="32" s="1"/>
  <c r="AE53" i="25"/>
  <c r="BS62" i="25"/>
  <c r="BS54" i="25"/>
  <c r="BS50" i="25"/>
  <c r="AE66" i="25"/>
  <c r="BS45" i="25"/>
  <c r="AE62" i="25"/>
  <c r="BS56" i="25"/>
  <c r="BS52" i="25"/>
  <c r="BS48" i="25"/>
  <c r="AE57" i="25"/>
  <c r="AE65" i="25"/>
  <c r="AE54" i="25"/>
  <c r="AE47" i="25"/>
  <c r="BS61" i="25"/>
  <c r="AE46" i="25"/>
  <c r="BS60" i="25"/>
  <c r="BQ68" i="25"/>
  <c r="AE60" i="25"/>
  <c r="AE49" i="25"/>
  <c r="AE41" i="25"/>
  <c r="BS66" i="25"/>
  <c r="BS63" i="25"/>
  <c r="AE59" i="25"/>
  <c r="BS58" i="25"/>
  <c r="BS47" i="25"/>
  <c r="AE58" i="25"/>
  <c r="AE61" i="25"/>
  <c r="AE45" i="25"/>
  <c r="AE42" i="25"/>
  <c r="BS55" i="25"/>
  <c r="AE40" i="25"/>
  <c r="AE51" i="25"/>
  <c r="BS59" i="25"/>
  <c r="BS43" i="25"/>
  <c r="BR68" i="25"/>
  <c r="AE64" i="25"/>
  <c r="AE56" i="25"/>
  <c r="AE48" i="25"/>
  <c r="AE63" i="25"/>
  <c r="AE55" i="25"/>
  <c r="AB43" i="25"/>
  <c r="AB56" i="29"/>
  <c r="AB46" i="29"/>
  <c r="AB62" i="29"/>
  <c r="AB48" i="29"/>
  <c r="AB45" i="29"/>
  <c r="AB42" i="29"/>
  <c r="AB61" i="29"/>
  <c r="AB58" i="29"/>
  <c r="AB64" i="29"/>
  <c r="AB60" i="29"/>
  <c r="AB54" i="29"/>
  <c r="AB66" i="29"/>
  <c r="AB65" i="29"/>
  <c r="DE30" i="32"/>
  <c r="EP30" i="32" s="1"/>
  <c r="CZ30" i="32"/>
  <c r="DC30" i="32"/>
  <c r="DB30" i="32"/>
  <c r="EQ30" i="32" s="1"/>
  <c r="DD30" i="32"/>
  <c r="DD21" i="32"/>
  <c r="DD19" i="32"/>
  <c r="DD17" i="32"/>
  <c r="DD15" i="32"/>
  <c r="DD13" i="32"/>
  <c r="DD11" i="32"/>
  <c r="DB28" i="32"/>
  <c r="DD28" i="32" s="1"/>
  <c r="DB26" i="32"/>
  <c r="DD26" i="32" s="1"/>
  <c r="DB24" i="32"/>
  <c r="DD24" i="32" s="1"/>
  <c r="DB22" i="32"/>
  <c r="DD22" i="32" s="1"/>
  <c r="DB20" i="32"/>
  <c r="DD20" i="32" s="1"/>
  <c r="DB18" i="32"/>
  <c r="DD18" i="32" s="1"/>
  <c r="DB16" i="32"/>
  <c r="DD16" i="32" s="1"/>
  <c r="DB14" i="32"/>
  <c r="DD14" i="32" s="1"/>
  <c r="DB12" i="32"/>
  <c r="DD12" i="32" s="1"/>
  <c r="DB10" i="32"/>
  <c r="DD10" i="32" s="1"/>
  <c r="DB8" i="32"/>
  <c r="DD8" i="32" s="1"/>
  <c r="DB6" i="32"/>
  <c r="DD6" i="32" s="1"/>
  <c r="CV30" i="32"/>
  <c r="DE4" i="32"/>
  <c r="DE32" i="32" s="1"/>
  <c r="DC4" i="32"/>
  <c r="CZ4" i="32"/>
  <c r="CZ32" i="32" s="1"/>
  <c r="DB4" i="32"/>
  <c r="CV4" i="32"/>
  <c r="AB58" i="25"/>
  <c r="AB47" i="25"/>
  <c r="AB44" i="25"/>
  <c r="AB50" i="25"/>
  <c r="AB46" i="25"/>
  <c r="AB63" i="25"/>
  <c r="AB60" i="25"/>
  <c r="AB59" i="25"/>
  <c r="AB65" i="25"/>
  <c r="AB62" i="25"/>
  <c r="CJ15" i="32"/>
  <c r="CJ11" i="32"/>
  <c r="CJ7" i="32"/>
  <c r="CJ12" i="32"/>
  <c r="CN14" i="32"/>
  <c r="CN10" i="32"/>
  <c r="CN6" i="32"/>
  <c r="CJ25" i="32"/>
  <c r="CJ8" i="32"/>
  <c r="CQ11" i="32"/>
  <c r="CN28" i="32"/>
  <c r="CJ18" i="32"/>
  <c r="CQ25" i="32"/>
  <c r="CQ19" i="32"/>
  <c r="CQ12" i="32"/>
  <c r="CQ8" i="32"/>
  <c r="CP25" i="32"/>
  <c r="CP19" i="32"/>
  <c r="CQ24" i="32"/>
  <c r="CP15" i="32"/>
  <c r="CR15" i="32" s="1"/>
  <c r="CN5" i="32"/>
  <c r="CP4" i="32"/>
  <c r="CN21" i="32"/>
  <c r="CJ13" i="32"/>
  <c r="CJ29" i="32"/>
  <c r="CQ4" i="32"/>
  <c r="CN22" i="32"/>
  <c r="CP17" i="32"/>
  <c r="CR17" i="32" s="1"/>
  <c r="CQ16" i="32"/>
  <c r="CP11" i="32"/>
  <c r="CN7" i="32"/>
  <c r="CJ5" i="32"/>
  <c r="CN23" i="32"/>
  <c r="CP21" i="32"/>
  <c r="CR21" i="32" s="1"/>
  <c r="CN8" i="32"/>
  <c r="CQ7" i="32"/>
  <c r="CQ13" i="32"/>
  <c r="CN24" i="32"/>
  <c r="CQ23" i="32"/>
  <c r="CJ16" i="32"/>
  <c r="CN13" i="32"/>
  <c r="CP9" i="32"/>
  <c r="CR9" i="32" s="1"/>
  <c r="CP29" i="32"/>
  <c r="EQ29" i="32" s="1"/>
  <c r="CN26" i="32"/>
  <c r="CS25" i="32"/>
  <c r="CN27" i="32"/>
  <c r="CQ26" i="32"/>
  <c r="CS19" i="32"/>
  <c r="CQ18" i="32"/>
  <c r="CN16" i="32"/>
  <c r="CN15" i="32"/>
  <c r="CS13" i="32"/>
  <c r="CJ10" i="32"/>
  <c r="CJ9" i="32"/>
  <c r="CP5" i="32"/>
  <c r="CR5" i="32" s="1"/>
  <c r="CJ23" i="32"/>
  <c r="CP26" i="32"/>
  <c r="CP23" i="32"/>
  <c r="CQ20" i="32"/>
  <c r="CN18" i="32"/>
  <c r="CN17" i="32"/>
  <c r="CS15" i="32"/>
  <c r="CP7" i="32"/>
  <c r="CS5" i="32"/>
  <c r="CS26" i="32"/>
  <c r="CP24" i="32"/>
  <c r="CS28" i="32"/>
  <c r="CQ22" i="32"/>
  <c r="CS17" i="32"/>
  <c r="CQ6" i="32"/>
  <c r="CP13" i="32"/>
  <c r="CQ10" i="32"/>
  <c r="CJ20" i="32"/>
  <c r="CJ19" i="32"/>
  <c r="CN9" i="32"/>
  <c r="CN25" i="32"/>
  <c r="CJ22" i="32"/>
  <c r="CJ21" i="32"/>
  <c r="CN12" i="32"/>
  <c r="CN11" i="32"/>
  <c r="CR28" i="32"/>
  <c r="CJ28" i="32"/>
  <c r="CJ26" i="32"/>
  <c r="CJ24" i="32"/>
  <c r="CP22" i="32"/>
  <c r="CP20" i="32"/>
  <c r="CP18" i="32"/>
  <c r="CP16" i="32"/>
  <c r="CP14" i="32"/>
  <c r="CR14" i="32" s="1"/>
  <c r="CP12" i="32"/>
  <c r="CP10" i="32"/>
  <c r="CP8" i="32"/>
  <c r="CP6" i="32"/>
  <c r="CP27" i="32"/>
  <c r="CR27" i="32" s="1"/>
  <c r="CS4" i="32"/>
  <c r="CN4" i="32"/>
  <c r="CJ4" i="32"/>
  <c r="CJ32" i="32" s="1"/>
  <c r="BM60" i="25"/>
  <c r="BM63" i="25"/>
  <c r="BM62" i="25"/>
  <c r="BM58" i="25"/>
  <c r="BM43" i="25"/>
  <c r="BM46" i="25"/>
  <c r="BM42" i="25"/>
  <c r="BM57" i="25"/>
  <c r="BM54" i="25"/>
  <c r="BM51" i="25"/>
  <c r="Y65" i="25"/>
  <c r="BM50" i="25"/>
  <c r="BM44" i="25"/>
  <c r="BM65" i="25"/>
  <c r="Y59" i="29"/>
  <c r="Y47" i="29"/>
  <c r="Y43" i="29"/>
  <c r="Y63" i="29"/>
  <c r="Y51" i="29"/>
  <c r="Y55" i="29"/>
  <c r="Y64" i="29"/>
  <c r="Y60" i="29"/>
  <c r="Y56" i="29"/>
  <c r="Y52" i="29"/>
  <c r="Y48" i="29"/>
  <c r="Y44" i="29"/>
  <c r="Y53" i="29"/>
  <c r="Y65" i="29"/>
  <c r="Y45" i="29"/>
  <c r="Y61" i="29"/>
  <c r="Y42" i="29"/>
  <c r="Y66" i="29"/>
  <c r="Y62" i="29"/>
  <c r="Y58" i="29"/>
  <c r="Y54" i="29"/>
  <c r="Y50" i="29"/>
  <c r="Y46" i="29"/>
  <c r="Y57" i="29"/>
  <c r="Y49" i="29"/>
  <c r="BJ62" i="25"/>
  <c r="BJ58" i="25"/>
  <c r="BH68" i="25"/>
  <c r="BJ40" i="25"/>
  <c r="BJ60" i="25"/>
  <c r="BJ49" i="25"/>
  <c r="BJ52" i="25"/>
  <c r="BI68" i="25"/>
  <c r="BJ53" i="25"/>
  <c r="BJ56" i="25"/>
  <c r="BJ61" i="25"/>
  <c r="BJ45" i="25"/>
  <c r="BJ41" i="25"/>
  <c r="BJ48" i="25"/>
  <c r="BJ44" i="25"/>
  <c r="BJ47" i="25"/>
  <c r="BJ43" i="25"/>
  <c r="N64" i="30"/>
  <c r="V43" i="29"/>
  <c r="V44" i="29"/>
  <c r="V45" i="29"/>
  <c r="V46" i="29"/>
  <c r="V47" i="29"/>
  <c r="V48" i="29"/>
  <c r="V49" i="29"/>
  <c r="V50" i="29"/>
  <c r="V51" i="29"/>
  <c r="V52" i="29"/>
  <c r="V53" i="29"/>
  <c r="V54" i="29"/>
  <c r="V55" i="29"/>
  <c r="V56" i="29"/>
  <c r="V57" i="29"/>
  <c r="V58" i="29"/>
  <c r="V59" i="29"/>
  <c r="V60" i="29"/>
  <c r="V61" i="29"/>
  <c r="V62" i="29"/>
  <c r="V63" i="29"/>
  <c r="V64" i="29"/>
  <c r="V65" i="29"/>
  <c r="V66" i="29"/>
  <c r="Q64" i="30"/>
  <c r="BX28" i="32"/>
  <c r="CD28" i="32"/>
  <c r="EQ28" i="32" s="1"/>
  <c r="CE28" i="32"/>
  <c r="CG28" i="32"/>
  <c r="EP28" i="32" s="1"/>
  <c r="CG5" i="32"/>
  <c r="CE6" i="32"/>
  <c r="CB6" i="32"/>
  <c r="CG6" i="32"/>
  <c r="CG8" i="32"/>
  <c r="CG10" i="32"/>
  <c r="CG12" i="32"/>
  <c r="CD13" i="32"/>
  <c r="CE14" i="32"/>
  <c r="CG14" i="32"/>
  <c r="CD16" i="32"/>
  <c r="CE16" i="32"/>
  <c r="CG16" i="32"/>
  <c r="CG17" i="32"/>
  <c r="CG18" i="32"/>
  <c r="CB18" i="32"/>
  <c r="CG20" i="32"/>
  <c r="CE22" i="32"/>
  <c r="CG22" i="32"/>
  <c r="CG23" i="32"/>
  <c r="CE25" i="32"/>
  <c r="CD26" i="32"/>
  <c r="CE26" i="32"/>
  <c r="CG26" i="32"/>
  <c r="BF68" i="25"/>
  <c r="BE68" i="25"/>
  <c r="BG41" i="25"/>
  <c r="BG42" i="25"/>
  <c r="BG43" i="25"/>
  <c r="BG44" i="25"/>
  <c r="BG45" i="25"/>
  <c r="BG46" i="25"/>
  <c r="BG47" i="25"/>
  <c r="BG48" i="25"/>
  <c r="BG49" i="25"/>
  <c r="BG50" i="25"/>
  <c r="BG51" i="25"/>
  <c r="BG52" i="25"/>
  <c r="BG53" i="25"/>
  <c r="BG54" i="25"/>
  <c r="BG55" i="25"/>
  <c r="BG56" i="25"/>
  <c r="BG57" i="25"/>
  <c r="BG58" i="25"/>
  <c r="BG59" i="25"/>
  <c r="BG60" i="25"/>
  <c r="BG61" i="25"/>
  <c r="BG62" i="25"/>
  <c r="BG63" i="25"/>
  <c r="BG64" i="25"/>
  <c r="BG40" i="25"/>
  <c r="BC68" i="25"/>
  <c r="BB68" i="25"/>
  <c r="BD41" i="25"/>
  <c r="BD42" i="25"/>
  <c r="BD43" i="25"/>
  <c r="BD44" i="25"/>
  <c r="BD45" i="25"/>
  <c r="BD46" i="25"/>
  <c r="BD47" i="25"/>
  <c r="BD48" i="25"/>
  <c r="BD49" i="25"/>
  <c r="BD50" i="25"/>
  <c r="BD51" i="25"/>
  <c r="BD52" i="25"/>
  <c r="BD53" i="25"/>
  <c r="BD54" i="25"/>
  <c r="BD55" i="25"/>
  <c r="BD56" i="25"/>
  <c r="BD57" i="25"/>
  <c r="BD58" i="25"/>
  <c r="BD59" i="25"/>
  <c r="BD60" i="25"/>
  <c r="BD61" i="25"/>
  <c r="BD62" i="25"/>
  <c r="BD63" i="25"/>
  <c r="BD64" i="25"/>
  <c r="BD40" i="25"/>
  <c r="AZ68" i="25"/>
  <c r="AY68" i="25"/>
  <c r="BA41" i="25"/>
  <c r="BA42" i="25"/>
  <c r="BA43" i="25"/>
  <c r="BA44" i="25"/>
  <c r="BA45" i="25"/>
  <c r="BA46" i="25"/>
  <c r="BA47" i="25"/>
  <c r="BA48" i="25"/>
  <c r="BA49" i="25"/>
  <c r="BA50" i="25"/>
  <c r="BA51" i="25"/>
  <c r="BA52" i="25"/>
  <c r="BA53" i="25"/>
  <c r="BA54" i="25"/>
  <c r="BA55" i="25"/>
  <c r="BA56" i="25"/>
  <c r="BA57" i="25"/>
  <c r="BA58" i="25"/>
  <c r="BA59" i="25"/>
  <c r="BA60" i="25"/>
  <c r="BA61" i="25"/>
  <c r="BA62" i="25"/>
  <c r="BA63" i="25"/>
  <c r="BA64" i="25"/>
  <c r="BA40" i="25"/>
  <c r="AW68" i="25"/>
  <c r="AV68" i="25"/>
  <c r="AX41" i="25"/>
  <c r="AX42" i="25"/>
  <c r="AX43" i="25"/>
  <c r="AX44" i="25"/>
  <c r="AX45" i="25"/>
  <c r="AX46" i="25"/>
  <c r="AX47" i="25"/>
  <c r="AX48" i="25"/>
  <c r="AX49" i="25"/>
  <c r="AX50" i="25"/>
  <c r="AX51" i="25"/>
  <c r="AX52" i="25"/>
  <c r="AX53" i="25"/>
  <c r="AX54" i="25"/>
  <c r="AX55" i="25"/>
  <c r="AX56" i="25"/>
  <c r="AX57" i="25"/>
  <c r="AX58" i="25"/>
  <c r="AX59" i="25"/>
  <c r="AX60" i="25"/>
  <c r="AX61" i="25"/>
  <c r="AX62" i="25"/>
  <c r="AX63" i="25"/>
  <c r="AX64" i="25"/>
  <c r="AX40" i="25"/>
  <c r="AU58" i="25"/>
  <c r="AU59" i="25"/>
  <c r="AU60" i="25"/>
  <c r="AU61" i="25"/>
  <c r="AU62" i="25"/>
  <c r="AU63" i="25"/>
  <c r="AU64" i="25"/>
  <c r="AT68" i="25"/>
  <c r="AU41" i="25"/>
  <c r="AU42" i="25"/>
  <c r="AU43" i="25"/>
  <c r="AU44" i="25"/>
  <c r="AU45" i="25"/>
  <c r="AU46" i="25"/>
  <c r="AU47" i="25"/>
  <c r="AU48" i="25"/>
  <c r="AU49" i="25"/>
  <c r="AU50" i="25"/>
  <c r="AU51" i="25"/>
  <c r="AU52" i="25"/>
  <c r="AU53" i="25"/>
  <c r="AU54" i="25"/>
  <c r="AU55" i="25"/>
  <c r="AU56" i="25"/>
  <c r="AU57" i="25"/>
  <c r="AU40" i="25"/>
  <c r="AQ68" i="25"/>
  <c r="AP68" i="25"/>
  <c r="AR41" i="25"/>
  <c r="AR42" i="25"/>
  <c r="AR43" i="25"/>
  <c r="AR44" i="25"/>
  <c r="AR45" i="25"/>
  <c r="AR46" i="25"/>
  <c r="AR47" i="25"/>
  <c r="AR48" i="25"/>
  <c r="AR49" i="25"/>
  <c r="AR50" i="25"/>
  <c r="AR51" i="25"/>
  <c r="AR52" i="25"/>
  <c r="AR53" i="25"/>
  <c r="AR54" i="25"/>
  <c r="AR55" i="25"/>
  <c r="AR56" i="25"/>
  <c r="AR57" i="25"/>
  <c r="AR58" i="25"/>
  <c r="AR59" i="25"/>
  <c r="AR60" i="25"/>
  <c r="AR61" i="25"/>
  <c r="AR62" i="25"/>
  <c r="AR63" i="25"/>
  <c r="AR64" i="25"/>
  <c r="AR40" i="25"/>
  <c r="AP39" i="25"/>
  <c r="AQ39" i="25"/>
  <c r="AR39" i="25"/>
  <c r="AS39" i="25"/>
  <c r="AT39" i="25"/>
  <c r="AU39" i="25"/>
  <c r="AV39" i="25"/>
  <c r="AW39" i="25"/>
  <c r="AX39" i="25"/>
  <c r="AY39" i="25"/>
  <c r="AZ39" i="25"/>
  <c r="BA39" i="25"/>
  <c r="BB39" i="25"/>
  <c r="BC39" i="25"/>
  <c r="BD39" i="25"/>
  <c r="BE39" i="25"/>
  <c r="BF39" i="25"/>
  <c r="BG39" i="25"/>
  <c r="AO40" i="25"/>
  <c r="AO41" i="25"/>
  <c r="AO42" i="25"/>
  <c r="AO43" i="25"/>
  <c r="AO44" i="25"/>
  <c r="AO45" i="25"/>
  <c r="AO46" i="25"/>
  <c r="AO47" i="25"/>
  <c r="AO48" i="25"/>
  <c r="AO49" i="25"/>
  <c r="AO50" i="25"/>
  <c r="AO51" i="25"/>
  <c r="AO52" i="25"/>
  <c r="AO53" i="25"/>
  <c r="AO54" i="25"/>
  <c r="AO55" i="25"/>
  <c r="AO56" i="25"/>
  <c r="AO57" i="25"/>
  <c r="AO58" i="25"/>
  <c r="AO59" i="25"/>
  <c r="AO60" i="25"/>
  <c r="AO61" i="25"/>
  <c r="AO62" i="25"/>
  <c r="AO63" i="25"/>
  <c r="AO64" i="25"/>
  <c r="AO68" i="25"/>
  <c r="AO39" i="25"/>
  <c r="S43" i="29"/>
  <c r="S44" i="29"/>
  <c r="S45" i="29"/>
  <c r="S46" i="29"/>
  <c r="S47" i="29"/>
  <c r="S48" i="29"/>
  <c r="S49" i="29"/>
  <c r="S50" i="29"/>
  <c r="S51" i="29"/>
  <c r="S52" i="29"/>
  <c r="S53" i="29"/>
  <c r="S54" i="29"/>
  <c r="S55" i="29"/>
  <c r="S56" i="29"/>
  <c r="S57" i="29"/>
  <c r="S58" i="29"/>
  <c r="S59" i="29"/>
  <c r="S60" i="29"/>
  <c r="S61" i="29"/>
  <c r="S62" i="29"/>
  <c r="S63" i="29"/>
  <c r="S64" i="29"/>
  <c r="S65" i="29"/>
  <c r="S42" i="29"/>
  <c r="BS68" i="25" l="1"/>
  <c r="AH70" i="29"/>
  <c r="AB70" i="29"/>
  <c r="AN42" i="29"/>
  <c r="AN70" i="29" s="1"/>
  <c r="Y70" i="29"/>
  <c r="S70" i="29"/>
  <c r="DP32" i="32"/>
  <c r="CP32" i="32"/>
  <c r="DB32" i="32"/>
  <c r="CV32" i="32"/>
  <c r="DC32" i="32"/>
  <c r="CN32" i="32"/>
  <c r="CS32" i="32"/>
  <c r="CQ32" i="32"/>
  <c r="EB32" i="32"/>
  <c r="BG68" i="25"/>
  <c r="AR68" i="25"/>
  <c r="BA68" i="25"/>
  <c r="CR6" i="32"/>
  <c r="CR8" i="32"/>
  <c r="CR12" i="32"/>
  <c r="CR25" i="32"/>
  <c r="CR29" i="32"/>
  <c r="DD4" i="32"/>
  <c r="DD32" i="32" s="1"/>
  <c r="CR11" i="32"/>
  <c r="CR19" i="32"/>
  <c r="CR18" i="32"/>
  <c r="CR22" i="32"/>
  <c r="BD68" i="25"/>
  <c r="CR16" i="32"/>
  <c r="CR13" i="32"/>
  <c r="CR24" i="32"/>
  <c r="CR7" i="32"/>
  <c r="CR4" i="32"/>
  <c r="CR23" i="32"/>
  <c r="CR26" i="32"/>
  <c r="CR20" i="32"/>
  <c r="CR10" i="32"/>
  <c r="BM68" i="25"/>
  <c r="BJ68" i="25"/>
  <c r="V42" i="29"/>
  <c r="V70" i="29" s="1"/>
  <c r="CF28" i="32"/>
  <c r="CB28" i="32"/>
  <c r="CG24" i="32"/>
  <c r="CG19" i="32"/>
  <c r="CE18" i="32"/>
  <c r="CG13" i="32"/>
  <c r="CD8" i="32"/>
  <c r="CD25" i="32"/>
  <c r="CF25" i="32" s="1"/>
  <c r="CE15" i="32"/>
  <c r="CG25" i="32"/>
  <c r="CG9" i="32"/>
  <c r="CE8" i="32"/>
  <c r="CG21" i="32"/>
  <c r="CG15" i="32"/>
  <c r="CD11" i="32"/>
  <c r="CG7" i="32"/>
  <c r="CG27" i="32"/>
  <c r="CG11" i="32"/>
  <c r="CB24" i="32"/>
  <c r="BX17" i="32"/>
  <c r="BX11" i="32"/>
  <c r="BX12" i="32"/>
  <c r="BX8" i="32"/>
  <c r="CE12" i="32"/>
  <c r="CE13" i="32"/>
  <c r="CF13" i="32" s="1"/>
  <c r="CD10" i="32"/>
  <c r="CD7" i="32"/>
  <c r="CB20" i="32"/>
  <c r="BX18" i="32"/>
  <c r="CB26" i="32"/>
  <c r="CE20" i="32"/>
  <c r="CE9" i="32"/>
  <c r="CD23" i="32"/>
  <c r="BX21" i="32"/>
  <c r="BX15" i="32"/>
  <c r="BX14" i="32"/>
  <c r="CD9" i="32"/>
  <c r="CF26" i="32"/>
  <c r="CE24" i="32"/>
  <c r="CD12" i="32"/>
  <c r="CE11" i="32"/>
  <c r="CF11" i="32" s="1"/>
  <c r="CE10" i="32"/>
  <c r="CE23" i="32"/>
  <c r="CD21" i="32"/>
  <c r="CE7" i="32"/>
  <c r="BX27" i="32"/>
  <c r="CB22" i="32"/>
  <c r="BX19" i="32"/>
  <c r="BX16" i="32"/>
  <c r="BX5" i="32"/>
  <c r="CD14" i="32"/>
  <c r="CF14" i="32" s="1"/>
  <c r="CB8" i="32"/>
  <c r="BX23" i="32"/>
  <c r="BX20" i="32"/>
  <c r="CF16" i="32"/>
  <c r="CB10" i="32"/>
  <c r="BX7" i="32"/>
  <c r="BX6" i="32"/>
  <c r="BX22" i="32"/>
  <c r="CD18" i="32"/>
  <c r="CE17" i="32"/>
  <c r="CD15" i="32"/>
  <c r="CB12" i="32"/>
  <c r="BX9" i="32"/>
  <c r="CE27" i="32"/>
  <c r="CD24" i="32"/>
  <c r="CD20" i="32"/>
  <c r="CF20" i="32" s="1"/>
  <c r="CE19" i="32"/>
  <c r="CD17" i="32"/>
  <c r="CF17" i="32" s="1"/>
  <c r="CB14" i="32"/>
  <c r="CD6" i="32"/>
  <c r="CF6" i="32" s="1"/>
  <c r="CE5" i="32"/>
  <c r="CD27" i="32"/>
  <c r="CF27" i="32" s="1"/>
  <c r="BX25" i="32"/>
  <c r="CD22" i="32"/>
  <c r="CF22" i="32" s="1"/>
  <c r="CE21" i="32"/>
  <c r="CD19" i="32"/>
  <c r="CB16" i="32"/>
  <c r="BX13" i="32"/>
  <c r="BX10" i="32"/>
  <c r="CD5" i="32"/>
  <c r="CB27" i="32"/>
  <c r="BX26" i="32"/>
  <c r="CB25" i="32"/>
  <c r="BX24" i="32"/>
  <c r="CB23" i="32"/>
  <c r="CB21" i="32"/>
  <c r="CB19" i="32"/>
  <c r="CB17" i="32"/>
  <c r="CB15" i="32"/>
  <c r="CB13" i="32"/>
  <c r="CB11" i="32"/>
  <c r="CB9" i="32"/>
  <c r="CB7" i="32"/>
  <c r="CB5" i="32"/>
  <c r="CG4" i="32"/>
  <c r="CB4" i="32"/>
  <c r="CD4" i="32"/>
  <c r="CE4" i="32"/>
  <c r="BX4" i="32"/>
  <c r="BX32" i="32" s="1"/>
  <c r="AX68" i="25"/>
  <c r="AS68" i="25"/>
  <c r="AU68" i="25" s="1"/>
  <c r="CD32" i="32" l="1"/>
  <c r="CG32" i="32"/>
  <c r="CE32" i="32"/>
  <c r="CB32" i="32"/>
  <c r="CR32" i="32"/>
  <c r="CF9" i="32"/>
  <c r="CF8" i="32"/>
  <c r="CF15" i="32"/>
  <c r="CF10" i="32"/>
  <c r="CF18" i="32"/>
  <c r="CF7" i="32"/>
  <c r="CF5" i="32"/>
  <c r="CF12" i="32"/>
  <c r="CF23" i="32"/>
  <c r="CF24" i="32"/>
  <c r="CF19" i="32"/>
  <c r="CF21" i="32"/>
  <c r="CF4" i="32"/>
  <c r="BL27" i="32"/>
  <c r="BR27" i="32"/>
  <c r="EQ27" i="32" s="1"/>
  <c r="BP27" i="32"/>
  <c r="BU27" i="32"/>
  <c r="EP27" i="32" s="1"/>
  <c r="BS27" i="32"/>
  <c r="BL5" i="32"/>
  <c r="BR5" i="32"/>
  <c r="BL6" i="32"/>
  <c r="BR6" i="32"/>
  <c r="BU6" i="32"/>
  <c r="BS6" i="32"/>
  <c r="BL7" i="32"/>
  <c r="BR7" i="32"/>
  <c r="BU7" i="32"/>
  <c r="BR8" i="32"/>
  <c r="BP8" i="32"/>
  <c r="BL9" i="32"/>
  <c r="BU9" i="32"/>
  <c r="BP9" i="32"/>
  <c r="BS9" i="32"/>
  <c r="BL10" i="32"/>
  <c r="BP10" i="32"/>
  <c r="BS10" i="32"/>
  <c r="BL11" i="32"/>
  <c r="BS11" i="32"/>
  <c r="BL12" i="32"/>
  <c r="BP12" i="32"/>
  <c r="BS12" i="32"/>
  <c r="BU12" i="32"/>
  <c r="BR12" i="32"/>
  <c r="BL13" i="32"/>
  <c r="BR13" i="32"/>
  <c r="BS13" i="32"/>
  <c r="BP13" i="32"/>
  <c r="BL14" i="32"/>
  <c r="BR14" i="32"/>
  <c r="BS14" i="32"/>
  <c r="BP14" i="32"/>
  <c r="BU14" i="32"/>
  <c r="BL15" i="32"/>
  <c r="BR15" i="32"/>
  <c r="BL16" i="32"/>
  <c r="BP16" i="32"/>
  <c r="BS16" i="32"/>
  <c r="BL17" i="32"/>
  <c r="BP17" i="32"/>
  <c r="BS17" i="32"/>
  <c r="BR17" i="32"/>
  <c r="BL18" i="32"/>
  <c r="BS18" i="32"/>
  <c r="BR18" i="32"/>
  <c r="BU18" i="32"/>
  <c r="BR19" i="32"/>
  <c r="BU19" i="32"/>
  <c r="BS19" i="32"/>
  <c r="BL20" i="32"/>
  <c r="BR20" i="32"/>
  <c r="BS20" i="32"/>
  <c r="BP20" i="32"/>
  <c r="BU20" i="32"/>
  <c r="BL21" i="32"/>
  <c r="BU21" i="32"/>
  <c r="BR21" i="32"/>
  <c r="BP21" i="32"/>
  <c r="BL22" i="32"/>
  <c r="BP22" i="32"/>
  <c r="BU22" i="32"/>
  <c r="BS22" i="32"/>
  <c r="BS23" i="32"/>
  <c r="BR23" i="32"/>
  <c r="BL24" i="32"/>
  <c r="BP24" i="32"/>
  <c r="BR25" i="32"/>
  <c r="BU25" i="32"/>
  <c r="BP25" i="32"/>
  <c r="BL26" i="32"/>
  <c r="BP26" i="32"/>
  <c r="BU4" i="32"/>
  <c r="BP4" i="32"/>
  <c r="BS4" i="32"/>
  <c r="BL4" i="32"/>
  <c r="N41" i="30"/>
  <c r="N42" i="30"/>
  <c r="N43" i="30"/>
  <c r="N45" i="30"/>
  <c r="N47" i="30"/>
  <c r="N48" i="30"/>
  <c r="N49" i="30"/>
  <c r="N50" i="30"/>
  <c r="N51" i="30"/>
  <c r="N52" i="30"/>
  <c r="N53" i="30"/>
  <c r="N54" i="30"/>
  <c r="N56" i="30"/>
  <c r="N57" i="30"/>
  <c r="N58" i="30"/>
  <c r="N59" i="30"/>
  <c r="N60" i="30"/>
  <c r="N61" i="30"/>
  <c r="N62" i="30"/>
  <c r="N63" i="30"/>
  <c r="S64" i="25"/>
  <c r="C46" i="25"/>
  <c r="S63" i="25"/>
  <c r="S41" i="25"/>
  <c r="S44" i="25"/>
  <c r="S45" i="25"/>
  <c r="S46" i="25"/>
  <c r="S49" i="25"/>
  <c r="S50" i="25"/>
  <c r="S52" i="25"/>
  <c r="S53" i="25"/>
  <c r="S54" i="25"/>
  <c r="S56" i="25"/>
  <c r="S57" i="25"/>
  <c r="S58" i="25"/>
  <c r="S61" i="25"/>
  <c r="S62" i="25"/>
  <c r="S40" i="25"/>
  <c r="Q63" i="30"/>
  <c r="BI5" i="32"/>
  <c r="AZ6" i="32"/>
  <c r="BI6" i="32"/>
  <c r="BI7" i="32"/>
  <c r="BD7" i="32"/>
  <c r="AZ8" i="32"/>
  <c r="BI8" i="32"/>
  <c r="AZ9" i="32"/>
  <c r="BI9" i="32"/>
  <c r="AZ10" i="32"/>
  <c r="BD10" i="32"/>
  <c r="BG10" i="32"/>
  <c r="BI10" i="32"/>
  <c r="BF11" i="32"/>
  <c r="BI11" i="32"/>
  <c r="BD11" i="32"/>
  <c r="AZ12" i="32"/>
  <c r="BI12" i="32"/>
  <c r="BI13" i="32"/>
  <c r="BD13" i="32"/>
  <c r="BG14" i="32"/>
  <c r="BD14" i="32"/>
  <c r="BI14" i="32"/>
  <c r="BI15" i="32"/>
  <c r="BD15" i="32"/>
  <c r="BG15" i="32"/>
  <c r="AZ16" i="32"/>
  <c r="BG16" i="32"/>
  <c r="BI16" i="32"/>
  <c r="AZ17" i="32"/>
  <c r="BI17" i="32"/>
  <c r="BF17" i="32"/>
  <c r="BG18" i="32"/>
  <c r="BI18" i="32"/>
  <c r="AZ19" i="32"/>
  <c r="BI19" i="32"/>
  <c r="BD19" i="32"/>
  <c r="BG19" i="32"/>
  <c r="BG20" i="32"/>
  <c r="BD20" i="32"/>
  <c r="BI20" i="32"/>
  <c r="BI21" i="32"/>
  <c r="BG21" i="32"/>
  <c r="BG22" i="32"/>
  <c r="BD22" i="32"/>
  <c r="BI22" i="32"/>
  <c r="BI23" i="32"/>
  <c r="BG23" i="32"/>
  <c r="AZ24" i="32"/>
  <c r="BG24" i="32"/>
  <c r="BI24" i="32"/>
  <c r="BG25" i="32"/>
  <c r="BI25" i="32"/>
  <c r="BG26" i="32"/>
  <c r="BD26" i="32"/>
  <c r="BI26" i="32"/>
  <c r="BI4" i="32"/>
  <c r="BG4" i="32"/>
  <c r="AZ4" i="32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42" i="29"/>
  <c r="P70" i="29" l="1"/>
  <c r="BI32" i="32"/>
  <c r="CF32" i="32"/>
  <c r="D46" i="25"/>
  <c r="AM46" i="25"/>
  <c r="BT12" i="32"/>
  <c r="BT6" i="32"/>
  <c r="BT17" i="32"/>
  <c r="BT27" i="32"/>
  <c r="BT14" i="32"/>
  <c r="N55" i="30"/>
  <c r="BT18" i="32"/>
  <c r="BR10" i="32"/>
  <c r="BT10" i="32" s="1"/>
  <c r="BP23" i="32"/>
  <c r="BL19" i="32"/>
  <c r="BP15" i="32"/>
  <c r="BR11" i="32"/>
  <c r="BT11" i="32" s="1"/>
  <c r="BU10" i="32"/>
  <c r="BL8" i="32"/>
  <c r="BL32" i="32" s="1"/>
  <c r="BP6" i="32"/>
  <c r="BP5" i="32"/>
  <c r="BR26" i="32"/>
  <c r="BR24" i="32"/>
  <c r="BU17" i="32"/>
  <c r="BR16" i="32"/>
  <c r="BT16" i="32" s="1"/>
  <c r="BS15" i="32"/>
  <c r="BT15" i="32" s="1"/>
  <c r="BU11" i="32"/>
  <c r="BS8" i="32"/>
  <c r="BT8" i="32" s="1"/>
  <c r="BS5" i="32"/>
  <c r="BR4" i="32"/>
  <c r="BL25" i="32"/>
  <c r="BU23" i="32"/>
  <c r="BR22" i="32"/>
  <c r="BT22" i="32" s="1"/>
  <c r="BS21" i="32"/>
  <c r="BT21" i="32" s="1"/>
  <c r="BU15" i="32"/>
  <c r="BR9" i="32"/>
  <c r="BT9" i="32" s="1"/>
  <c r="BU8" i="32"/>
  <c r="BU5" i="32"/>
  <c r="BU32" i="32" s="1"/>
  <c r="BS26" i="32"/>
  <c r="BS25" i="32"/>
  <c r="BT25" i="32" s="1"/>
  <c r="BS24" i="32"/>
  <c r="BL23" i="32"/>
  <c r="BP19" i="32"/>
  <c r="BP32" i="32" s="1"/>
  <c r="BT23" i="32"/>
  <c r="BT20" i="32"/>
  <c r="BT19" i="32"/>
  <c r="BP18" i="32"/>
  <c r="BT13" i="32"/>
  <c r="BP7" i="32"/>
  <c r="BU26" i="32"/>
  <c r="BU24" i="32"/>
  <c r="BU16" i="32"/>
  <c r="BU13" i="32"/>
  <c r="BP11" i="32"/>
  <c r="BS7" i="32"/>
  <c r="BT7" i="32" s="1"/>
  <c r="S59" i="25"/>
  <c r="S42" i="25"/>
  <c r="S55" i="25"/>
  <c r="S48" i="25"/>
  <c r="S51" i="25"/>
  <c r="S47" i="25"/>
  <c r="S60" i="25"/>
  <c r="S43" i="25"/>
  <c r="AZ25" i="32"/>
  <c r="BD21" i="32"/>
  <c r="AZ18" i="32"/>
  <c r="BD6" i="32"/>
  <c r="BH6" i="32" s="1"/>
  <c r="BD23" i="32"/>
  <c r="AZ20" i="32"/>
  <c r="BH20" i="32" s="1"/>
  <c r="AZ13" i="32"/>
  <c r="BH13" i="32" s="1"/>
  <c r="AZ5" i="32"/>
  <c r="AZ32" i="32" s="1"/>
  <c r="AZ21" i="32"/>
  <c r="BF19" i="32"/>
  <c r="BG17" i="32"/>
  <c r="BD8" i="32"/>
  <c r="BG6" i="32"/>
  <c r="BD24" i="32"/>
  <c r="AZ22" i="32"/>
  <c r="BH22" i="32" s="1"/>
  <c r="BD17" i="32"/>
  <c r="BH17" i="32" s="1"/>
  <c r="AZ14" i="32"/>
  <c r="BH14" i="32" s="1"/>
  <c r="BG12" i="32"/>
  <c r="BD9" i="32"/>
  <c r="BH9" i="32" s="1"/>
  <c r="AZ26" i="32"/>
  <c r="BH26" i="32" s="1"/>
  <c r="BD25" i="32"/>
  <c r="AZ23" i="32"/>
  <c r="BF21" i="32"/>
  <c r="BD18" i="32"/>
  <c r="AZ15" i="32"/>
  <c r="BH15" i="32" s="1"/>
  <c r="BG8" i="32"/>
  <c r="BD4" i="32"/>
  <c r="BG5" i="32"/>
  <c r="BG32" i="32" s="1"/>
  <c r="BD16" i="32"/>
  <c r="BH16" i="32" s="1"/>
  <c r="BF9" i="32"/>
  <c r="AZ7" i="32"/>
  <c r="BH7" i="32" s="1"/>
  <c r="BH24" i="32"/>
  <c r="BF4" i="32"/>
  <c r="BG13" i="32"/>
  <c r="BF7" i="32"/>
  <c r="BD12" i="32"/>
  <c r="BH12" i="32" s="1"/>
  <c r="BG11" i="32"/>
  <c r="BF5" i="32"/>
  <c r="BF26" i="32"/>
  <c r="BF22" i="32"/>
  <c r="BF20" i="32"/>
  <c r="BH19" i="32"/>
  <c r="BF18" i="32"/>
  <c r="BG9" i="32"/>
  <c r="BG7" i="32"/>
  <c r="BD5" i="32"/>
  <c r="BF24" i="32"/>
  <c r="BF23" i="32"/>
  <c r="BF15" i="32"/>
  <c r="BF13" i="32"/>
  <c r="AZ11" i="32"/>
  <c r="BH11" i="32" s="1"/>
  <c r="BH8" i="32"/>
  <c r="BH10" i="32"/>
  <c r="BF25" i="32"/>
  <c r="BF16" i="32"/>
  <c r="BF14" i="32"/>
  <c r="BF12" i="32"/>
  <c r="BF10" i="32"/>
  <c r="BF8" i="32"/>
  <c r="BF6" i="32"/>
  <c r="AD40" i="30"/>
  <c r="BR32" i="32" l="1"/>
  <c r="BD32" i="32"/>
  <c r="BF32" i="32"/>
  <c r="BS32" i="32"/>
  <c r="BH21" i="32"/>
  <c r="BH23" i="32"/>
  <c r="BH18" i="32"/>
  <c r="BT4" i="32"/>
  <c r="BT32" i="32" s="1"/>
  <c r="BT24" i="32"/>
  <c r="BT5" i="32"/>
  <c r="BH4" i="32"/>
  <c r="BT26" i="32"/>
  <c r="BH25" i="32"/>
  <c r="BH5" i="32"/>
  <c r="N40" i="30"/>
  <c r="BH32" i="32" l="1"/>
  <c r="M62" i="25"/>
  <c r="M64" i="29"/>
  <c r="M43" i="29"/>
  <c r="M44" i="29"/>
  <c r="M45" i="29"/>
  <c r="M46" i="29"/>
  <c r="M47" i="29"/>
  <c r="M49" i="29"/>
  <c r="M50" i="29"/>
  <c r="M51" i="29"/>
  <c r="M52" i="29"/>
  <c r="M53" i="29"/>
  <c r="M54" i="29"/>
  <c r="M55" i="29"/>
  <c r="M57" i="29"/>
  <c r="M58" i="29"/>
  <c r="M59" i="29"/>
  <c r="M60" i="29"/>
  <c r="M61" i="29"/>
  <c r="M62" i="29"/>
  <c r="M63" i="29"/>
  <c r="M42" i="29"/>
  <c r="P41" i="25"/>
  <c r="P42" i="25"/>
  <c r="P43" i="25"/>
  <c r="P44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60" i="25"/>
  <c r="P61" i="25"/>
  <c r="P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60" i="25"/>
  <c r="M61" i="25"/>
  <c r="M40" i="25"/>
  <c r="M56" i="29" l="1"/>
  <c r="M48" i="29"/>
  <c r="AT5" i="32"/>
  <c r="AU5" i="32"/>
  <c r="AW5" i="32"/>
  <c r="AT6" i="32"/>
  <c r="AU6" i="32"/>
  <c r="AW6" i="32"/>
  <c r="AT7" i="32"/>
  <c r="AU7" i="32"/>
  <c r="AW7" i="32"/>
  <c r="AT8" i="32"/>
  <c r="AU8" i="32"/>
  <c r="AW8" i="32"/>
  <c r="AT9" i="32"/>
  <c r="AU9" i="32"/>
  <c r="AW9" i="32"/>
  <c r="AT10" i="32"/>
  <c r="AU10" i="32"/>
  <c r="AW10" i="32"/>
  <c r="AT11" i="32"/>
  <c r="AU11" i="32"/>
  <c r="AW11" i="32"/>
  <c r="AT12" i="32"/>
  <c r="AU12" i="32"/>
  <c r="AW12" i="32"/>
  <c r="AT13" i="32"/>
  <c r="AU13" i="32"/>
  <c r="AW13" i="32"/>
  <c r="AT14" i="32"/>
  <c r="AU14" i="32"/>
  <c r="AW14" i="32"/>
  <c r="AT15" i="32"/>
  <c r="AU15" i="32"/>
  <c r="AW15" i="32"/>
  <c r="AT16" i="32"/>
  <c r="AU16" i="32"/>
  <c r="AW16" i="32"/>
  <c r="AT17" i="32"/>
  <c r="AU17" i="32"/>
  <c r="AW17" i="32"/>
  <c r="AT18" i="32"/>
  <c r="AU18" i="32"/>
  <c r="AW18" i="32"/>
  <c r="AT19" i="32"/>
  <c r="AU19" i="32"/>
  <c r="AW19" i="32"/>
  <c r="AT20" i="32"/>
  <c r="AU20" i="32"/>
  <c r="AW20" i="32"/>
  <c r="AT21" i="32"/>
  <c r="AU21" i="32"/>
  <c r="AW21" i="32"/>
  <c r="AT22" i="32"/>
  <c r="AU22" i="32"/>
  <c r="AW22" i="32"/>
  <c r="AT23" i="32"/>
  <c r="AU23" i="32"/>
  <c r="AW23" i="32"/>
  <c r="AT24" i="32"/>
  <c r="AU24" i="32"/>
  <c r="AW24" i="32"/>
  <c r="AT25" i="32"/>
  <c r="AU25" i="32"/>
  <c r="AW25" i="32"/>
  <c r="AT26" i="32"/>
  <c r="EQ26" i="32" s="1"/>
  <c r="AU26" i="32"/>
  <c r="AW26" i="32"/>
  <c r="EP26" i="32" s="1"/>
  <c r="AW4" i="32"/>
  <c r="AU4" i="32"/>
  <c r="AT4" i="32"/>
  <c r="AR4" i="32"/>
  <c r="M70" i="29" l="1"/>
  <c r="AT32" i="32"/>
  <c r="AW32" i="32"/>
  <c r="AU32" i="32"/>
  <c r="AR5" i="32"/>
  <c r="AR32" i="32" s="1"/>
  <c r="AR6" i="32"/>
  <c r="AR7" i="32"/>
  <c r="AR8" i="32"/>
  <c r="AR9" i="32"/>
  <c r="AR10" i="32"/>
  <c r="AR11" i="32"/>
  <c r="AR12" i="32"/>
  <c r="AR13" i="32"/>
  <c r="AR14" i="32"/>
  <c r="AR15" i="32"/>
  <c r="AR16" i="32"/>
  <c r="AR17" i="32"/>
  <c r="AR18" i="32"/>
  <c r="AR19" i="32"/>
  <c r="AR20" i="32"/>
  <c r="AR21" i="32"/>
  <c r="AR22" i="32"/>
  <c r="AR23" i="32"/>
  <c r="AR24" i="32"/>
  <c r="AR25" i="32"/>
  <c r="AR26" i="32"/>
  <c r="AN5" i="32"/>
  <c r="AN6" i="32"/>
  <c r="AN7" i="32"/>
  <c r="AN8" i="32"/>
  <c r="AN9" i="32"/>
  <c r="AN10" i="32"/>
  <c r="AN11" i="32"/>
  <c r="AN12" i="32"/>
  <c r="AN13" i="32"/>
  <c r="AN14" i="32"/>
  <c r="AN15" i="32"/>
  <c r="AN16" i="32"/>
  <c r="AN17" i="32"/>
  <c r="AN18" i="32"/>
  <c r="AN19" i="32"/>
  <c r="AN20" i="32"/>
  <c r="AN21" i="32"/>
  <c r="AN22" i="32"/>
  <c r="AN23" i="32"/>
  <c r="AN24" i="32"/>
  <c r="AN25" i="32"/>
  <c r="AN26" i="32"/>
  <c r="AN4" i="32"/>
  <c r="AN32" i="32" l="1"/>
  <c r="AV15" i="32"/>
  <c r="AV4" i="32"/>
  <c r="AV16" i="32"/>
  <c r="AV7" i="32"/>
  <c r="AV24" i="32"/>
  <c r="AV8" i="32"/>
  <c r="AV21" i="32"/>
  <c r="AV23" i="32"/>
  <c r="AV22" i="32"/>
  <c r="AV6" i="32"/>
  <c r="AV5" i="32"/>
  <c r="AV12" i="32"/>
  <c r="AV11" i="32"/>
  <c r="AV26" i="32"/>
  <c r="AV18" i="32"/>
  <c r="AV10" i="32"/>
  <c r="AV14" i="32"/>
  <c r="AV13" i="32"/>
  <c r="AV20" i="32"/>
  <c r="AV19" i="32"/>
  <c r="AV25" i="32"/>
  <c r="AV17" i="32"/>
  <c r="AV9" i="32"/>
  <c r="J61" i="25"/>
  <c r="J58" i="25"/>
  <c r="G58" i="25"/>
  <c r="J57" i="25"/>
  <c r="G57" i="25"/>
  <c r="J56" i="25"/>
  <c r="G56" i="25"/>
  <c r="J55" i="25"/>
  <c r="G55" i="25"/>
  <c r="J54" i="25"/>
  <c r="G54" i="25"/>
  <c r="J53" i="25"/>
  <c r="G53" i="25"/>
  <c r="J52" i="25"/>
  <c r="G52" i="25"/>
  <c r="J51" i="25"/>
  <c r="G51" i="25"/>
  <c r="J50" i="25"/>
  <c r="G50" i="25"/>
  <c r="J49" i="25"/>
  <c r="G49" i="25"/>
  <c r="J48" i="25"/>
  <c r="G48" i="25"/>
  <c r="J47" i="25"/>
  <c r="G47" i="25"/>
  <c r="J46" i="25"/>
  <c r="G46" i="25"/>
  <c r="J45" i="25"/>
  <c r="G45" i="25"/>
  <c r="J44" i="25"/>
  <c r="G44" i="25"/>
  <c r="C44" i="25"/>
  <c r="J43" i="25"/>
  <c r="G43" i="25"/>
  <c r="J42" i="25"/>
  <c r="G42" i="25"/>
  <c r="J41" i="25"/>
  <c r="G41" i="25"/>
  <c r="J40" i="25"/>
  <c r="G40" i="25"/>
  <c r="D40" i="25"/>
  <c r="AV32" i="32" l="1"/>
  <c r="D44" i="25"/>
  <c r="AM44" i="25"/>
  <c r="AM68" i="25" s="1"/>
  <c r="C68" i="25"/>
  <c r="D68" i="25" s="1"/>
  <c r="Q62" i="30"/>
  <c r="J62" i="29"/>
  <c r="J63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42" i="29"/>
  <c r="S44" i="30"/>
  <c r="S68" i="30" s="1"/>
  <c r="AC7" i="32"/>
  <c r="AC32" i="32" s="1"/>
  <c r="AD44" i="30" l="1"/>
  <c r="AD68" i="30" s="1"/>
  <c r="J61" i="29"/>
  <c r="J70" i="29" s="1"/>
  <c r="G62" i="29"/>
  <c r="G63" i="29"/>
  <c r="G61" i="29"/>
  <c r="Q59" i="30"/>
  <c r="Q61" i="30"/>
  <c r="Q60" i="30"/>
  <c r="AH5" i="32" l="1"/>
  <c r="AI5" i="32"/>
  <c r="AK5" i="32"/>
  <c r="AH6" i="32"/>
  <c r="AI6" i="32"/>
  <c r="AK6" i="32"/>
  <c r="AH7" i="32"/>
  <c r="AI7" i="32"/>
  <c r="AK7" i="32"/>
  <c r="AH8" i="32"/>
  <c r="AI8" i="32"/>
  <c r="AK8" i="32"/>
  <c r="AH9" i="32"/>
  <c r="AI9" i="32"/>
  <c r="AK9" i="32"/>
  <c r="AH10" i="32"/>
  <c r="AI10" i="32"/>
  <c r="AK10" i="32"/>
  <c r="AH11" i="32"/>
  <c r="AI11" i="32"/>
  <c r="AK11" i="32"/>
  <c r="AH12" i="32"/>
  <c r="AI12" i="32"/>
  <c r="AK12" i="32"/>
  <c r="AH13" i="32"/>
  <c r="AI13" i="32"/>
  <c r="AK13" i="32"/>
  <c r="AH14" i="32"/>
  <c r="AI14" i="32"/>
  <c r="AK14" i="32"/>
  <c r="AH15" i="32"/>
  <c r="AI15" i="32"/>
  <c r="AK15" i="32"/>
  <c r="AH16" i="32"/>
  <c r="AI16" i="32"/>
  <c r="AK16" i="32"/>
  <c r="AH17" i="32"/>
  <c r="AI17" i="32"/>
  <c r="AK17" i="32"/>
  <c r="AH18" i="32"/>
  <c r="AI18" i="32"/>
  <c r="AK18" i="32"/>
  <c r="AH19" i="32"/>
  <c r="AI19" i="32"/>
  <c r="AK19" i="32"/>
  <c r="AH20" i="32"/>
  <c r="AI20" i="32"/>
  <c r="AK20" i="32"/>
  <c r="AH21" i="32"/>
  <c r="AI21" i="32"/>
  <c r="AK21" i="32"/>
  <c r="AH22" i="32"/>
  <c r="AI22" i="32"/>
  <c r="AK22" i="32"/>
  <c r="AH24" i="32"/>
  <c r="AI24" i="32"/>
  <c r="AK24" i="32"/>
  <c r="AH23" i="32"/>
  <c r="AI23" i="32"/>
  <c r="AK23" i="32"/>
  <c r="AH25" i="32"/>
  <c r="AI25" i="32"/>
  <c r="AK25" i="32"/>
  <c r="AI4" i="32"/>
  <c r="AK4" i="32"/>
  <c r="AH4" i="32"/>
  <c r="AF5" i="32"/>
  <c r="AF6" i="32"/>
  <c r="AF7" i="32"/>
  <c r="AF8" i="32"/>
  <c r="AF9" i="32"/>
  <c r="AF10" i="32"/>
  <c r="AF11" i="32"/>
  <c r="AF12" i="32"/>
  <c r="AF13" i="32"/>
  <c r="AF14" i="32"/>
  <c r="AF15" i="32"/>
  <c r="AF16" i="32"/>
  <c r="AF17" i="32"/>
  <c r="AF18" i="32"/>
  <c r="AF19" i="32"/>
  <c r="AF20" i="32"/>
  <c r="AF21" i="32"/>
  <c r="AF22" i="32"/>
  <c r="AF24" i="32"/>
  <c r="AF23" i="32"/>
  <c r="AF25" i="32"/>
  <c r="AB5" i="32"/>
  <c r="AB6" i="32"/>
  <c r="AB7" i="32"/>
  <c r="AB8" i="32"/>
  <c r="AB9" i="32"/>
  <c r="AB10" i="32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4" i="32"/>
  <c r="AB23" i="32"/>
  <c r="AB25" i="32"/>
  <c r="AF4" i="32"/>
  <c r="AB4" i="32"/>
  <c r="B46" i="30"/>
  <c r="B44" i="30"/>
  <c r="I10" i="32"/>
  <c r="I8" i="32"/>
  <c r="V24" i="32"/>
  <c r="W24" i="32"/>
  <c r="Y24" i="32"/>
  <c r="EP24" i="32" s="1"/>
  <c r="V23" i="32"/>
  <c r="EQ23" i="32" s="1"/>
  <c r="W23" i="32"/>
  <c r="Y23" i="32"/>
  <c r="EP23" i="32" s="1"/>
  <c r="V25" i="32"/>
  <c r="W25" i="32"/>
  <c r="Y25" i="32"/>
  <c r="T23" i="32"/>
  <c r="T25" i="32"/>
  <c r="T24" i="32"/>
  <c r="P23" i="32"/>
  <c r="P25" i="32"/>
  <c r="P24" i="32"/>
  <c r="T5" i="32"/>
  <c r="W5" i="32"/>
  <c r="Y5" i="32"/>
  <c r="T6" i="32"/>
  <c r="W6" i="32"/>
  <c r="V6" i="32"/>
  <c r="Y6" i="32"/>
  <c r="T7" i="32"/>
  <c r="Y7" i="32"/>
  <c r="W7" i="32"/>
  <c r="T8" i="32"/>
  <c r="V8" i="32"/>
  <c r="W8" i="32"/>
  <c r="Y8" i="32"/>
  <c r="T9" i="32"/>
  <c r="W9" i="32"/>
  <c r="Y9" i="32"/>
  <c r="V9" i="32"/>
  <c r="T10" i="32"/>
  <c r="Y10" i="32"/>
  <c r="W10" i="32"/>
  <c r="Y11" i="32"/>
  <c r="W11" i="32"/>
  <c r="T11" i="32"/>
  <c r="V11" i="32"/>
  <c r="T12" i="32"/>
  <c r="W12" i="32"/>
  <c r="Y12" i="32"/>
  <c r="T13" i="32"/>
  <c r="W13" i="32"/>
  <c r="Y13" i="32"/>
  <c r="T14" i="32"/>
  <c r="W14" i="32"/>
  <c r="V14" i="32"/>
  <c r="Y14" i="32"/>
  <c r="T15" i="32"/>
  <c r="Y15" i="32"/>
  <c r="W15" i="32"/>
  <c r="T16" i="32"/>
  <c r="V16" i="32"/>
  <c r="W16" i="32"/>
  <c r="Y16" i="32"/>
  <c r="T17" i="32"/>
  <c r="W17" i="32"/>
  <c r="Y17" i="32"/>
  <c r="V17" i="32"/>
  <c r="T18" i="32"/>
  <c r="Y18" i="32"/>
  <c r="W18" i="32"/>
  <c r="Y19" i="32"/>
  <c r="W19" i="32"/>
  <c r="T19" i="32"/>
  <c r="V19" i="32"/>
  <c r="T20" i="32"/>
  <c r="W20" i="32"/>
  <c r="Y20" i="32"/>
  <c r="T21" i="32"/>
  <c r="W21" i="32"/>
  <c r="Y21" i="32"/>
  <c r="T22" i="32"/>
  <c r="W22" i="32"/>
  <c r="V22" i="32"/>
  <c r="Y22" i="32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42" i="29"/>
  <c r="Q41" i="30"/>
  <c r="Q42" i="30"/>
  <c r="Q43" i="30"/>
  <c r="Q44" i="30"/>
  <c r="Q45" i="30"/>
  <c r="Q46" i="30"/>
  <c r="Q47" i="30"/>
  <c r="Q48" i="30"/>
  <c r="Q49" i="30"/>
  <c r="Q50" i="30"/>
  <c r="Q51" i="30"/>
  <c r="Q52" i="30"/>
  <c r="Q53" i="30"/>
  <c r="Q54" i="30"/>
  <c r="Q55" i="30"/>
  <c r="Q56" i="30"/>
  <c r="Q57" i="30"/>
  <c r="Q58" i="30"/>
  <c r="Q68" i="30"/>
  <c r="Q40" i="30"/>
  <c r="AL76" i="29"/>
  <c r="AM76" i="29"/>
  <c r="AL77" i="29"/>
  <c r="AM77" i="29"/>
  <c r="AL78" i="29"/>
  <c r="AM78" i="29"/>
  <c r="AL79" i="29"/>
  <c r="AM79" i="29"/>
  <c r="AL80" i="29"/>
  <c r="AM80" i="29"/>
  <c r="AL81" i="29"/>
  <c r="AM81" i="29"/>
  <c r="AL82" i="29"/>
  <c r="AM82" i="29"/>
  <c r="AL83" i="29"/>
  <c r="AM83" i="29"/>
  <c r="AL84" i="29"/>
  <c r="AM84" i="29"/>
  <c r="AL85" i="29"/>
  <c r="AM85" i="29"/>
  <c r="AL86" i="29"/>
  <c r="AM86" i="29"/>
  <c r="AL87" i="29"/>
  <c r="AM87" i="29"/>
  <c r="AL88" i="29"/>
  <c r="AM88" i="29"/>
  <c r="AL89" i="29"/>
  <c r="AM89" i="29"/>
  <c r="AL90" i="29"/>
  <c r="AM90" i="29"/>
  <c r="AL91" i="29"/>
  <c r="AM91" i="29"/>
  <c r="AL92" i="29"/>
  <c r="AM92" i="29"/>
  <c r="AL93" i="29"/>
  <c r="AM93" i="29"/>
  <c r="AM75" i="29"/>
  <c r="AL75" i="29"/>
  <c r="I13" i="32"/>
  <c r="M13" i="32" s="1"/>
  <c r="EP13" i="32" s="1"/>
  <c r="D5" i="32"/>
  <c r="J5" i="32"/>
  <c r="M5" i="32"/>
  <c r="EP5" i="32" s="1"/>
  <c r="K5" i="32"/>
  <c r="D6" i="32"/>
  <c r="H6" i="32"/>
  <c r="J6" i="32"/>
  <c r="EQ6" i="32" s="1"/>
  <c r="M6" i="32"/>
  <c r="D7" i="32"/>
  <c r="J7" i="32"/>
  <c r="M7" i="32"/>
  <c r="EP7" i="32" s="1"/>
  <c r="K7" i="32"/>
  <c r="D8" i="32"/>
  <c r="H8" i="32"/>
  <c r="J8" i="32"/>
  <c r="EQ8" i="32" s="1"/>
  <c r="D9" i="32"/>
  <c r="J9" i="32"/>
  <c r="EQ9" i="32" s="1"/>
  <c r="M9" i="32"/>
  <c r="K9" i="32"/>
  <c r="D10" i="32"/>
  <c r="H10" i="32"/>
  <c r="J10" i="32"/>
  <c r="M10" i="32"/>
  <c r="EP10" i="32" s="1"/>
  <c r="D11" i="32"/>
  <c r="J11" i="32"/>
  <c r="EQ11" i="32" s="1"/>
  <c r="M11" i="32"/>
  <c r="K11" i="32"/>
  <c r="D12" i="32"/>
  <c r="H12" i="32"/>
  <c r="J12" i="32"/>
  <c r="M12" i="32"/>
  <c r="EP12" i="32" s="1"/>
  <c r="D13" i="32"/>
  <c r="J13" i="32"/>
  <c r="K13" i="32"/>
  <c r="D14" i="32"/>
  <c r="H14" i="32"/>
  <c r="K14" i="32"/>
  <c r="J14" i="32"/>
  <c r="EQ14" i="32" s="1"/>
  <c r="M14" i="32"/>
  <c r="EP14" i="32" s="1"/>
  <c r="D15" i="32"/>
  <c r="J15" i="32"/>
  <c r="M15" i="32"/>
  <c r="K15" i="32"/>
  <c r="D16" i="32"/>
  <c r="H16" i="32"/>
  <c r="K16" i="32"/>
  <c r="J16" i="32"/>
  <c r="EQ16" i="32" s="1"/>
  <c r="M16" i="32"/>
  <c r="EP16" i="32" s="1"/>
  <c r="D17" i="32"/>
  <c r="K17" i="32"/>
  <c r="J17" i="32"/>
  <c r="M17" i="32"/>
  <c r="J18" i="32"/>
  <c r="H18" i="32"/>
  <c r="K18" i="32"/>
  <c r="M18" i="32"/>
  <c r="EP18" i="32" s="1"/>
  <c r="D19" i="32"/>
  <c r="K19" i="32"/>
  <c r="M19" i="32"/>
  <c r="EP19" i="32" s="1"/>
  <c r="J19" i="32"/>
  <c r="D20" i="32"/>
  <c r="M20" i="32"/>
  <c r="EP20" i="32" s="1"/>
  <c r="H20" i="32"/>
  <c r="K20" i="32"/>
  <c r="J20" i="32"/>
  <c r="D21" i="32"/>
  <c r="K21" i="32"/>
  <c r="J21" i="32"/>
  <c r="M21" i="32"/>
  <c r="EP21" i="32" s="1"/>
  <c r="J22" i="32"/>
  <c r="M22" i="32"/>
  <c r="EP22" i="32" s="1"/>
  <c r="H22" i="32"/>
  <c r="K22" i="32"/>
  <c r="K4" i="32"/>
  <c r="M4" i="32"/>
  <c r="J4" i="32"/>
  <c r="H4" i="32"/>
  <c r="D4" i="32"/>
  <c r="D3" i="31"/>
  <c r="G3" i="31"/>
  <c r="J3" i="31"/>
  <c r="M3" i="31"/>
  <c r="P3" i="31"/>
  <c r="S3" i="31"/>
  <c r="V3" i="31"/>
  <c r="Y3" i="31"/>
  <c r="AB3" i="31"/>
  <c r="AE3" i="31"/>
  <c r="AH3" i="31"/>
  <c r="AK3" i="31"/>
  <c r="BL3" i="31"/>
  <c r="BL18" i="31" s="1"/>
  <c r="BM3" i="31"/>
  <c r="BM18" i="31" s="1"/>
  <c r="D4" i="31"/>
  <c r="G4" i="31"/>
  <c r="J4" i="31"/>
  <c r="M4" i="31"/>
  <c r="P4" i="31"/>
  <c r="S4" i="31"/>
  <c r="V4" i="31"/>
  <c r="Y4" i="31"/>
  <c r="AB4" i="31"/>
  <c r="AE4" i="31"/>
  <c r="AH4" i="31"/>
  <c r="AK4" i="31"/>
  <c r="BL4" i="31"/>
  <c r="BM4" i="31"/>
  <c r="D5" i="31"/>
  <c r="G5" i="31"/>
  <c r="J5" i="31"/>
  <c r="M5" i="31"/>
  <c r="P5" i="31"/>
  <c r="S5" i="31"/>
  <c r="V5" i="31"/>
  <c r="Y5" i="31"/>
  <c r="AB5" i="31"/>
  <c r="AE5" i="31"/>
  <c r="AH5" i="31"/>
  <c r="AK5" i="31"/>
  <c r="BL5" i="31"/>
  <c r="BM5" i="31"/>
  <c r="D6" i="31"/>
  <c r="G6" i="31"/>
  <c r="J6" i="31"/>
  <c r="M6" i="31"/>
  <c r="P6" i="31"/>
  <c r="S6" i="31"/>
  <c r="V6" i="31"/>
  <c r="Y6" i="31"/>
  <c r="AB6" i="31"/>
  <c r="AE6" i="31"/>
  <c r="AH6" i="31"/>
  <c r="AK6" i="31"/>
  <c r="BL6" i="31"/>
  <c r="BM6" i="31"/>
  <c r="D7" i="31"/>
  <c r="G7" i="31"/>
  <c r="J7" i="31"/>
  <c r="M7" i="31"/>
  <c r="P7" i="31"/>
  <c r="S7" i="31"/>
  <c r="V7" i="31"/>
  <c r="Y7" i="31"/>
  <c r="AB7" i="31"/>
  <c r="AE7" i="31"/>
  <c r="AH7" i="31"/>
  <c r="AK7" i="31"/>
  <c r="BL7" i="31"/>
  <c r="BM7" i="31"/>
  <c r="D8" i="31"/>
  <c r="G8" i="31"/>
  <c r="J8" i="31"/>
  <c r="M8" i="31"/>
  <c r="P8" i="31"/>
  <c r="S8" i="31"/>
  <c r="V8" i="31"/>
  <c r="Y8" i="31"/>
  <c r="AB8" i="31"/>
  <c r="AE8" i="31"/>
  <c r="AH8" i="31"/>
  <c r="AK8" i="31"/>
  <c r="BL8" i="31"/>
  <c r="BM8" i="31"/>
  <c r="D9" i="31"/>
  <c r="G9" i="31"/>
  <c r="J9" i="31"/>
  <c r="M9" i="31"/>
  <c r="P9" i="31"/>
  <c r="S9" i="31"/>
  <c r="V9" i="31"/>
  <c r="Y9" i="31"/>
  <c r="AB9" i="31"/>
  <c r="AE9" i="31"/>
  <c r="AH9" i="31"/>
  <c r="AK9" i="31"/>
  <c r="BL9" i="31"/>
  <c r="BM9" i="31"/>
  <c r="D10" i="31"/>
  <c r="G10" i="31"/>
  <c r="J10" i="31"/>
  <c r="M10" i="31"/>
  <c r="P10" i="31"/>
  <c r="S10" i="31"/>
  <c r="V10" i="31"/>
  <c r="Y10" i="31"/>
  <c r="AB10" i="31"/>
  <c r="AE10" i="31"/>
  <c r="AH10" i="31"/>
  <c r="AK10" i="31"/>
  <c r="BL10" i="31"/>
  <c r="BM10" i="31"/>
  <c r="D11" i="31"/>
  <c r="G11" i="31"/>
  <c r="J11" i="31"/>
  <c r="M11" i="31"/>
  <c r="P11" i="31"/>
  <c r="S11" i="31"/>
  <c r="V11" i="31"/>
  <c r="Y11" i="31"/>
  <c r="AB11" i="31"/>
  <c r="AE11" i="31"/>
  <c r="AH11" i="31"/>
  <c r="AK11" i="31"/>
  <c r="BL11" i="31"/>
  <c r="BM11" i="31"/>
  <c r="D12" i="31"/>
  <c r="G12" i="31"/>
  <c r="J12" i="31"/>
  <c r="M12" i="31"/>
  <c r="P12" i="31"/>
  <c r="S12" i="31"/>
  <c r="V12" i="31"/>
  <c r="Y12" i="31"/>
  <c r="AB12" i="31"/>
  <c r="AE12" i="31"/>
  <c r="AH12" i="31"/>
  <c r="AK12" i="31"/>
  <c r="BL12" i="31"/>
  <c r="BM12" i="31"/>
  <c r="D13" i="31"/>
  <c r="G13" i="31"/>
  <c r="J13" i="31"/>
  <c r="M13" i="31"/>
  <c r="P13" i="31"/>
  <c r="S13" i="31"/>
  <c r="V13" i="31"/>
  <c r="Y13" i="31"/>
  <c r="AB13" i="31"/>
  <c r="AE13" i="31"/>
  <c r="AH13" i="31"/>
  <c r="AK13" i="31"/>
  <c r="BL13" i="31"/>
  <c r="BM13" i="31"/>
  <c r="D14" i="31"/>
  <c r="G14" i="31"/>
  <c r="J14" i="31"/>
  <c r="M14" i="31"/>
  <c r="P14" i="31"/>
  <c r="S14" i="31"/>
  <c r="V14" i="31"/>
  <c r="Y14" i="31"/>
  <c r="AB14" i="31"/>
  <c r="AE14" i="31"/>
  <c r="AH14" i="31"/>
  <c r="AK14" i="31"/>
  <c r="BL14" i="31"/>
  <c r="BM14" i="31"/>
  <c r="D15" i="31"/>
  <c r="G15" i="31"/>
  <c r="J15" i="31"/>
  <c r="M15" i="31"/>
  <c r="P15" i="31"/>
  <c r="S15" i="31"/>
  <c r="V15" i="31"/>
  <c r="Y15" i="31"/>
  <c r="AB15" i="31"/>
  <c r="AE15" i="31"/>
  <c r="AH15" i="31"/>
  <c r="AK15" i="31"/>
  <c r="BL15" i="31"/>
  <c r="BM15" i="31"/>
  <c r="D16" i="31"/>
  <c r="G16" i="31"/>
  <c r="J16" i="31"/>
  <c r="M16" i="31"/>
  <c r="P16" i="31"/>
  <c r="S16" i="31"/>
  <c r="V16" i="31"/>
  <c r="Y16" i="31"/>
  <c r="AB16" i="31"/>
  <c r="AE16" i="31"/>
  <c r="AH16" i="31"/>
  <c r="AK16" i="31"/>
  <c r="BL16" i="31"/>
  <c r="BM16" i="31"/>
  <c r="D17" i="31"/>
  <c r="G17" i="31"/>
  <c r="J17" i="31"/>
  <c r="M17" i="31"/>
  <c r="P17" i="31"/>
  <c r="S17" i="31"/>
  <c r="V17" i="31"/>
  <c r="Y17" i="31"/>
  <c r="AB17" i="31"/>
  <c r="AE17" i="31"/>
  <c r="AH17" i="31"/>
  <c r="AK17" i="31"/>
  <c r="BL17" i="31"/>
  <c r="BM17" i="31"/>
  <c r="D18" i="31"/>
  <c r="G18" i="31"/>
  <c r="J18" i="31"/>
  <c r="M18" i="31"/>
  <c r="P18" i="31"/>
  <c r="S18" i="31"/>
  <c r="V18" i="31"/>
  <c r="Y18" i="31"/>
  <c r="AB18" i="31"/>
  <c r="AE18" i="31"/>
  <c r="AH18" i="31"/>
  <c r="AK18" i="31"/>
  <c r="AO18" i="31"/>
  <c r="AQ18" i="31"/>
  <c r="AS18" i="31"/>
  <c r="AU18" i="31"/>
  <c r="AV18" i="31"/>
  <c r="AW18" i="31"/>
  <c r="AX18" i="31"/>
  <c r="AY18" i="31"/>
  <c r="AZ18" i="31"/>
  <c r="BA18" i="31"/>
  <c r="BB18" i="31"/>
  <c r="BC18" i="31"/>
  <c r="BD18" i="31"/>
  <c r="BE18" i="31"/>
  <c r="BF18" i="31"/>
  <c r="BG18" i="31"/>
  <c r="BH18" i="31"/>
  <c r="BI18" i="31"/>
  <c r="BJ18" i="31"/>
  <c r="BK18" i="31"/>
  <c r="D19" i="31"/>
  <c r="G19" i="31"/>
  <c r="J19" i="31"/>
  <c r="M19" i="31"/>
  <c r="P19" i="31"/>
  <c r="S19" i="31"/>
  <c r="V19" i="31"/>
  <c r="Y19" i="31"/>
  <c r="AB19" i="31"/>
  <c r="AE19" i="31"/>
  <c r="AH19" i="31"/>
  <c r="AK19" i="31"/>
  <c r="D20" i="31"/>
  <c r="G20" i="31"/>
  <c r="J20" i="31"/>
  <c r="M20" i="31"/>
  <c r="P20" i="31"/>
  <c r="S20" i="31"/>
  <c r="V20" i="31"/>
  <c r="Y20" i="31"/>
  <c r="AB20" i="31"/>
  <c r="AE20" i="31"/>
  <c r="AH20" i="31"/>
  <c r="AK20" i="31"/>
  <c r="D21" i="31"/>
  <c r="G21" i="31"/>
  <c r="J21" i="31"/>
  <c r="M21" i="31"/>
  <c r="P21" i="31"/>
  <c r="S21" i="31"/>
  <c r="V21" i="31"/>
  <c r="Y21" i="31"/>
  <c r="AB21" i="31"/>
  <c r="AE21" i="31"/>
  <c r="AH21" i="31"/>
  <c r="AK21" i="31"/>
  <c r="B22" i="31"/>
  <c r="C22" i="31"/>
  <c r="D22" i="31" s="1"/>
  <c r="E22" i="31"/>
  <c r="F22" i="31"/>
  <c r="G22" i="31"/>
  <c r="H22" i="31"/>
  <c r="I22" i="31"/>
  <c r="J22" i="31" s="1"/>
  <c r="K22" i="31"/>
  <c r="M22" i="31" s="1"/>
  <c r="L22" i="31"/>
  <c r="N22" i="31"/>
  <c r="N47" i="31" s="1"/>
  <c r="O22" i="31"/>
  <c r="O47" i="31" s="1"/>
  <c r="Q22" i="31"/>
  <c r="S22" i="31" s="1"/>
  <c r="R22" i="31"/>
  <c r="T22" i="31"/>
  <c r="U22" i="31"/>
  <c r="V22" i="31"/>
  <c r="W22" i="31"/>
  <c r="W47" i="31" s="1"/>
  <c r="X22" i="31"/>
  <c r="Z22" i="31"/>
  <c r="AA22" i="31"/>
  <c r="AB22" i="31" s="1"/>
  <c r="AC22" i="31"/>
  <c r="AD22" i="31"/>
  <c r="AE22" i="31"/>
  <c r="AF22" i="31"/>
  <c r="AG22" i="31"/>
  <c r="AH22" i="31" s="1"/>
  <c r="AI22" i="31"/>
  <c r="AK22" i="31" s="1"/>
  <c r="AJ22" i="31"/>
  <c r="AQ23" i="31"/>
  <c r="BM23" i="31" s="1"/>
  <c r="BL23" i="31"/>
  <c r="BL38" i="31" s="1"/>
  <c r="BL24" i="31"/>
  <c r="BM24" i="31"/>
  <c r="BL25" i="31"/>
  <c r="BM25" i="31"/>
  <c r="D26" i="31"/>
  <c r="G26" i="31"/>
  <c r="J26" i="31"/>
  <c r="M26" i="31"/>
  <c r="P26" i="31"/>
  <c r="S26" i="31"/>
  <c r="V26" i="31"/>
  <c r="Y26" i="31"/>
  <c r="AB26" i="31"/>
  <c r="AE26" i="31"/>
  <c r="AH26" i="31"/>
  <c r="AK26" i="31"/>
  <c r="BL26" i="31"/>
  <c r="BM26" i="31"/>
  <c r="D27" i="31"/>
  <c r="G27" i="31"/>
  <c r="J27" i="31"/>
  <c r="M27" i="31"/>
  <c r="P27" i="31"/>
  <c r="S27" i="31"/>
  <c r="V27" i="31"/>
  <c r="Y27" i="31"/>
  <c r="AB27" i="31"/>
  <c r="AE27" i="31"/>
  <c r="AH27" i="31"/>
  <c r="AK27" i="31"/>
  <c r="BL27" i="31"/>
  <c r="BM27" i="31"/>
  <c r="D28" i="31"/>
  <c r="G28" i="31"/>
  <c r="J28" i="31"/>
  <c r="M28" i="31"/>
  <c r="P28" i="31"/>
  <c r="S28" i="31"/>
  <c r="V28" i="31"/>
  <c r="Y28" i="31"/>
  <c r="AB28" i="31"/>
  <c r="AE28" i="31"/>
  <c r="AH28" i="31"/>
  <c r="AK28" i="31"/>
  <c r="BL28" i="31"/>
  <c r="BM28" i="31"/>
  <c r="D29" i="31"/>
  <c r="G29" i="31"/>
  <c r="J29" i="31"/>
  <c r="M29" i="31"/>
  <c r="P29" i="31"/>
  <c r="S29" i="31"/>
  <c r="V29" i="31"/>
  <c r="Y29" i="31"/>
  <c r="AB29" i="31"/>
  <c r="AE29" i="31"/>
  <c r="AH29" i="31"/>
  <c r="AK29" i="31"/>
  <c r="BL29" i="31"/>
  <c r="BM29" i="31"/>
  <c r="D30" i="31"/>
  <c r="G30" i="31"/>
  <c r="J30" i="31"/>
  <c r="M30" i="31"/>
  <c r="P30" i="31"/>
  <c r="S30" i="31"/>
  <c r="V30" i="31"/>
  <c r="Y30" i="31"/>
  <c r="AB30" i="31"/>
  <c r="AE30" i="31"/>
  <c r="AH30" i="31"/>
  <c r="AK30" i="31"/>
  <c r="BL30" i="31"/>
  <c r="BM30" i="31"/>
  <c r="D31" i="31"/>
  <c r="G31" i="31"/>
  <c r="J31" i="31"/>
  <c r="M31" i="31"/>
  <c r="P31" i="31"/>
  <c r="S31" i="31"/>
  <c r="V31" i="31"/>
  <c r="Y31" i="31"/>
  <c r="AB31" i="31"/>
  <c r="AE31" i="31"/>
  <c r="AH31" i="31"/>
  <c r="AK31" i="31"/>
  <c r="BL31" i="31"/>
  <c r="BM31" i="31"/>
  <c r="D32" i="31"/>
  <c r="G32" i="31"/>
  <c r="J32" i="31"/>
  <c r="M32" i="31"/>
  <c r="P32" i="31"/>
  <c r="S32" i="31"/>
  <c r="V32" i="31"/>
  <c r="Y32" i="31"/>
  <c r="AB32" i="31"/>
  <c r="AE32" i="31"/>
  <c r="AH32" i="31"/>
  <c r="AK32" i="31"/>
  <c r="BL32" i="31"/>
  <c r="BM32" i="31"/>
  <c r="D33" i="31"/>
  <c r="G33" i="31"/>
  <c r="J33" i="31"/>
  <c r="M33" i="31"/>
  <c r="P33" i="31"/>
  <c r="S33" i="31"/>
  <c r="V33" i="31"/>
  <c r="Y33" i="31"/>
  <c r="AB33" i="31"/>
  <c r="AE33" i="31"/>
  <c r="AH33" i="31"/>
  <c r="AK33" i="31"/>
  <c r="AQ33" i="31"/>
  <c r="BM33" i="31" s="1"/>
  <c r="BL33" i="31"/>
  <c r="D34" i="31"/>
  <c r="G34" i="31"/>
  <c r="J34" i="31"/>
  <c r="M34" i="31"/>
  <c r="P34" i="31"/>
  <c r="S34" i="31"/>
  <c r="V34" i="31"/>
  <c r="Y34" i="31"/>
  <c r="AB34" i="31"/>
  <c r="AE34" i="31"/>
  <c r="AH34" i="31"/>
  <c r="AK34" i="31"/>
  <c r="BL34" i="31"/>
  <c r="BM34" i="31"/>
  <c r="D35" i="31"/>
  <c r="G35" i="31"/>
  <c r="J35" i="31"/>
  <c r="M35" i="31"/>
  <c r="P35" i="31"/>
  <c r="S35" i="31"/>
  <c r="V35" i="31"/>
  <c r="Y35" i="31"/>
  <c r="AB35" i="31"/>
  <c r="AE35" i="31"/>
  <c r="AH35" i="31"/>
  <c r="AK35" i="31"/>
  <c r="BL35" i="31"/>
  <c r="BM35" i="31"/>
  <c r="D36" i="31"/>
  <c r="G36" i="31"/>
  <c r="J36" i="31"/>
  <c r="M36" i="31"/>
  <c r="P36" i="31"/>
  <c r="S36" i="31"/>
  <c r="V36" i="31"/>
  <c r="Y36" i="31"/>
  <c r="AB36" i="31"/>
  <c r="AE36" i="31"/>
  <c r="AH36" i="31"/>
  <c r="AK36" i="31"/>
  <c r="BL36" i="31"/>
  <c r="BM36" i="31"/>
  <c r="D37" i="31"/>
  <c r="G37" i="31"/>
  <c r="J37" i="31"/>
  <c r="M37" i="31"/>
  <c r="P37" i="31"/>
  <c r="S37" i="31"/>
  <c r="V37" i="31"/>
  <c r="Y37" i="31"/>
  <c r="AB37" i="31"/>
  <c r="AE37" i="31"/>
  <c r="AH37" i="31"/>
  <c r="AK37" i="31"/>
  <c r="BL37" i="31"/>
  <c r="BM37" i="31"/>
  <c r="D38" i="31"/>
  <c r="G38" i="31"/>
  <c r="J38" i="31"/>
  <c r="M38" i="31"/>
  <c r="P38" i="31"/>
  <c r="S38" i="31"/>
  <c r="V38" i="31"/>
  <c r="Y38" i="31"/>
  <c r="AB38" i="31"/>
  <c r="AE38" i="31"/>
  <c r="AH38" i="31"/>
  <c r="AK38" i="31"/>
  <c r="AO38" i="31"/>
  <c r="AQ38" i="31"/>
  <c r="AS38" i="31"/>
  <c r="AU38" i="31"/>
  <c r="AV38" i="31"/>
  <c r="AW38" i="31"/>
  <c r="AX38" i="31"/>
  <c r="AY38" i="31"/>
  <c r="AZ38" i="31"/>
  <c r="BA38" i="31"/>
  <c r="BB38" i="31"/>
  <c r="BC38" i="31"/>
  <c r="BD38" i="31"/>
  <c r="BE38" i="31"/>
  <c r="BF38" i="31"/>
  <c r="BG38" i="31"/>
  <c r="BH38" i="31"/>
  <c r="BI38" i="31"/>
  <c r="BJ38" i="31"/>
  <c r="BK38" i="31"/>
  <c r="D39" i="31"/>
  <c r="G39" i="31"/>
  <c r="J39" i="31"/>
  <c r="M39" i="31"/>
  <c r="P39" i="31"/>
  <c r="S39" i="31"/>
  <c r="V39" i="31"/>
  <c r="Y39" i="31"/>
  <c r="AB39" i="31"/>
  <c r="AE39" i="31"/>
  <c r="AH39" i="31"/>
  <c r="AK39" i="31"/>
  <c r="D40" i="31"/>
  <c r="G40" i="31"/>
  <c r="J40" i="31"/>
  <c r="M40" i="31"/>
  <c r="P40" i="31"/>
  <c r="S40" i="31"/>
  <c r="V40" i="31"/>
  <c r="Y40" i="31"/>
  <c r="AB40" i="31"/>
  <c r="AE40" i="31"/>
  <c r="AH40" i="31"/>
  <c r="AK40" i="31"/>
  <c r="D41" i="31"/>
  <c r="G41" i="31"/>
  <c r="J41" i="31"/>
  <c r="M41" i="31"/>
  <c r="O41" i="31"/>
  <c r="P41" i="31"/>
  <c r="S41" i="31"/>
  <c r="V41" i="31"/>
  <c r="Y41" i="31"/>
  <c r="AB41" i="31"/>
  <c r="AE41" i="31"/>
  <c r="AH41" i="31"/>
  <c r="AK41" i="31"/>
  <c r="D42" i="31"/>
  <c r="G42" i="31"/>
  <c r="J42" i="31"/>
  <c r="M42" i="31"/>
  <c r="P42" i="31"/>
  <c r="S42" i="31"/>
  <c r="V42" i="31"/>
  <c r="Y42" i="31"/>
  <c r="AB42" i="31"/>
  <c r="AE42" i="31"/>
  <c r="AH42" i="31"/>
  <c r="AK42" i="31"/>
  <c r="D43" i="31"/>
  <c r="G43" i="31"/>
  <c r="J43" i="31"/>
  <c r="M43" i="31"/>
  <c r="P43" i="31"/>
  <c r="S43" i="31"/>
  <c r="V43" i="31"/>
  <c r="Y43" i="31"/>
  <c r="AB43" i="31"/>
  <c r="AE43" i="31"/>
  <c r="AH43" i="31"/>
  <c r="AK43" i="31"/>
  <c r="D44" i="31"/>
  <c r="G44" i="31"/>
  <c r="J44" i="31"/>
  <c r="M44" i="31"/>
  <c r="P44" i="31"/>
  <c r="S44" i="31"/>
  <c r="V44" i="31"/>
  <c r="Y44" i="31"/>
  <c r="AB44" i="31"/>
  <c r="AE44" i="31"/>
  <c r="AH44" i="31"/>
  <c r="AK44" i="31"/>
  <c r="B45" i="31"/>
  <c r="D45" i="31" s="1"/>
  <c r="C45" i="31"/>
  <c r="E45" i="31"/>
  <c r="F45" i="31"/>
  <c r="F47" i="31" s="1"/>
  <c r="G45" i="31"/>
  <c r="H45" i="31"/>
  <c r="J45" i="31" s="1"/>
  <c r="I45" i="31"/>
  <c r="K45" i="31"/>
  <c r="L45" i="31"/>
  <c r="M45" i="31" s="1"/>
  <c r="N45" i="31"/>
  <c r="O45" i="31"/>
  <c r="P45" i="31"/>
  <c r="Q45" i="31"/>
  <c r="R45" i="31"/>
  <c r="S45" i="31" s="1"/>
  <c r="T45" i="31"/>
  <c r="V45" i="31" s="1"/>
  <c r="U45" i="31"/>
  <c r="W45" i="31"/>
  <c r="X45" i="31"/>
  <c r="X47" i="31" s="1"/>
  <c r="Z45" i="31"/>
  <c r="AB45" i="31" s="1"/>
  <c r="AA45" i="31"/>
  <c r="AC45" i="31"/>
  <c r="AD45" i="31"/>
  <c r="AD47" i="31" s="1"/>
  <c r="AE45" i="31"/>
  <c r="AF45" i="31"/>
  <c r="AH45" i="31" s="1"/>
  <c r="AG45" i="31"/>
  <c r="AI45" i="31"/>
  <c r="AJ45" i="31"/>
  <c r="AK45" i="31" s="1"/>
  <c r="C47" i="31"/>
  <c r="E47" i="31"/>
  <c r="K47" i="31"/>
  <c r="Q47" i="31"/>
  <c r="T47" i="31"/>
  <c r="U47" i="31"/>
  <c r="AA47" i="31"/>
  <c r="AC47" i="31"/>
  <c r="AI47" i="31"/>
  <c r="EL5" i="27"/>
  <c r="EM5" i="27"/>
  <c r="EN5" i="27"/>
  <c r="EO5" i="27"/>
  <c r="EL6" i="27"/>
  <c r="EM6" i="27"/>
  <c r="EN6" i="27"/>
  <c r="EO6" i="27"/>
  <c r="EL7" i="27"/>
  <c r="EM7" i="27"/>
  <c r="EN7" i="27"/>
  <c r="EO7" i="27"/>
  <c r="EL8" i="27"/>
  <c r="EM8" i="27"/>
  <c r="EN8" i="27"/>
  <c r="EO8" i="27"/>
  <c r="EL9" i="27"/>
  <c r="EM9" i="27"/>
  <c r="EN9" i="27"/>
  <c r="EO9" i="27"/>
  <c r="EL10" i="27"/>
  <c r="EM10" i="27"/>
  <c r="EN10" i="27"/>
  <c r="EO10" i="27"/>
  <c r="EL11" i="27"/>
  <c r="EM11" i="27"/>
  <c r="EN11" i="27"/>
  <c r="EO11" i="27"/>
  <c r="EL12" i="27"/>
  <c r="EM12" i="27"/>
  <c r="EN12" i="27"/>
  <c r="EO12" i="27"/>
  <c r="EL13" i="27"/>
  <c r="EM13" i="27"/>
  <c r="EN13" i="27"/>
  <c r="EO13" i="27"/>
  <c r="EL14" i="27"/>
  <c r="EM14" i="27"/>
  <c r="EN14" i="27"/>
  <c r="EO14" i="27"/>
  <c r="EL15" i="27"/>
  <c r="EM15" i="27"/>
  <c r="EN15" i="27"/>
  <c r="EO15" i="27"/>
  <c r="EL16" i="27"/>
  <c r="EM16" i="27"/>
  <c r="EN16" i="27"/>
  <c r="EO16" i="27"/>
  <c r="EL17" i="27"/>
  <c r="EM17" i="27"/>
  <c r="EN17" i="27"/>
  <c r="EO17" i="27"/>
  <c r="EL18" i="27"/>
  <c r="EM18" i="27"/>
  <c r="EN18" i="27"/>
  <c r="EO18" i="27"/>
  <c r="EL19" i="27"/>
  <c r="EM19" i="27"/>
  <c r="EN19" i="27"/>
  <c r="EO19" i="27"/>
  <c r="EL20" i="27"/>
  <c r="EM20" i="27"/>
  <c r="EN20" i="27"/>
  <c r="EO20" i="27"/>
  <c r="EL21" i="27"/>
  <c r="EM21" i="27"/>
  <c r="EN21" i="27"/>
  <c r="EO21" i="27"/>
  <c r="EL22" i="27"/>
  <c r="EM22" i="27"/>
  <c r="EN22" i="27"/>
  <c r="EO22" i="27"/>
  <c r="EM4" i="27"/>
  <c r="EN4" i="27"/>
  <c r="EO4" i="27"/>
  <c r="EL4" i="27"/>
  <c r="EF5" i="27"/>
  <c r="EF6" i="27"/>
  <c r="EF7" i="27"/>
  <c r="EF8" i="27"/>
  <c r="EF9" i="27"/>
  <c r="EF10" i="27"/>
  <c r="EF11" i="27"/>
  <c r="EF12" i="27"/>
  <c r="EF13" i="27"/>
  <c r="EF14" i="27"/>
  <c r="EF15" i="27"/>
  <c r="EF16" i="27"/>
  <c r="EF17" i="27"/>
  <c r="EF18" i="27"/>
  <c r="EF19" i="27"/>
  <c r="EF20" i="27"/>
  <c r="EF21" i="27"/>
  <c r="EF22" i="27"/>
  <c r="EJ5" i="27"/>
  <c r="EJ6" i="27"/>
  <c r="EJ7" i="27"/>
  <c r="EJ8" i="27"/>
  <c r="EJ9" i="27"/>
  <c r="EJ10" i="27"/>
  <c r="EJ11" i="27"/>
  <c r="EJ12" i="27"/>
  <c r="EJ13" i="27"/>
  <c r="EJ14" i="27"/>
  <c r="EJ15" i="27"/>
  <c r="EJ16" i="27"/>
  <c r="EJ17" i="27"/>
  <c r="EJ19" i="27"/>
  <c r="EJ20" i="27"/>
  <c r="EJ21" i="27"/>
  <c r="EJ22" i="27"/>
  <c r="EJ4" i="27"/>
  <c r="EF4" i="27"/>
  <c r="AD75" i="30"/>
  <c r="AD76" i="30"/>
  <c r="AD77" i="30"/>
  <c r="AD78" i="30"/>
  <c r="AD79" i="30"/>
  <c r="AD80" i="30"/>
  <c r="AD81" i="30"/>
  <c r="AD82" i="30"/>
  <c r="AD83" i="30"/>
  <c r="AD84" i="30"/>
  <c r="AD85" i="30"/>
  <c r="AD86" i="30"/>
  <c r="AD87" i="30"/>
  <c r="AD88" i="30"/>
  <c r="AD89" i="30"/>
  <c r="AD90" i="30"/>
  <c r="N46" i="30" l="1"/>
  <c r="O46" i="30"/>
  <c r="AE46" i="30" s="1"/>
  <c r="B68" i="30"/>
  <c r="O44" i="30"/>
  <c r="AE44" i="30" s="1"/>
  <c r="G70" i="29"/>
  <c r="EP6" i="32"/>
  <c r="AI32" i="32"/>
  <c r="AF32" i="32"/>
  <c r="EQ22" i="32"/>
  <c r="EQ10" i="32"/>
  <c r="AB32" i="32"/>
  <c r="J32" i="32"/>
  <c r="EQ19" i="32"/>
  <c r="EP17" i="32"/>
  <c r="EP4" i="32"/>
  <c r="M32" i="32"/>
  <c r="EQ17" i="32"/>
  <c r="EP25" i="32"/>
  <c r="EQ24" i="32"/>
  <c r="EP15" i="32"/>
  <c r="EP11" i="32"/>
  <c r="EP9" i="32"/>
  <c r="I32" i="32"/>
  <c r="AH32" i="32"/>
  <c r="EQ20" i="32"/>
  <c r="EQ15" i="32"/>
  <c r="EQ13" i="32"/>
  <c r="EQ25" i="32"/>
  <c r="AK32" i="32"/>
  <c r="AJ24" i="32"/>
  <c r="AJ15" i="32"/>
  <c r="AJ7" i="32"/>
  <c r="X24" i="32"/>
  <c r="N44" i="30"/>
  <c r="X23" i="32"/>
  <c r="AJ22" i="32"/>
  <c r="AJ14" i="32"/>
  <c r="AJ6" i="32"/>
  <c r="M8" i="32"/>
  <c r="EP8" i="32" s="1"/>
  <c r="AJ4" i="32"/>
  <c r="AJ25" i="32"/>
  <c r="AJ17" i="32"/>
  <c r="AJ9" i="32"/>
  <c r="AJ23" i="32"/>
  <c r="AJ16" i="32"/>
  <c r="AJ8" i="32"/>
  <c r="AJ21" i="32"/>
  <c r="AJ13" i="32"/>
  <c r="AJ5" i="32"/>
  <c r="AJ20" i="32"/>
  <c r="AJ12" i="32"/>
  <c r="X25" i="32"/>
  <c r="AJ19" i="32"/>
  <c r="AJ11" i="32"/>
  <c r="AJ18" i="32"/>
  <c r="AJ10" i="32"/>
  <c r="AM94" i="29"/>
  <c r="AL94" i="29"/>
  <c r="L4" i="32"/>
  <c r="X17" i="32"/>
  <c r="X10" i="32"/>
  <c r="X8" i="32"/>
  <c r="L16" i="32"/>
  <c r="X12" i="32"/>
  <c r="L14" i="32"/>
  <c r="X21" i="32"/>
  <c r="X5" i="32"/>
  <c r="X14" i="32"/>
  <c r="X11" i="32"/>
  <c r="X7" i="32"/>
  <c r="X18" i="32"/>
  <c r="X16" i="32"/>
  <c r="X9" i="32"/>
  <c r="X20" i="32"/>
  <c r="X13" i="32"/>
  <c r="X22" i="32"/>
  <c r="X19" i="32"/>
  <c r="X15" i="32"/>
  <c r="X6" i="32"/>
  <c r="V15" i="32"/>
  <c r="V7" i="32"/>
  <c r="EQ7" i="32" s="1"/>
  <c r="V21" i="32"/>
  <c r="EQ21" i="32" s="1"/>
  <c r="V13" i="32"/>
  <c r="V5" i="32"/>
  <c r="EQ5" i="32" s="1"/>
  <c r="V20" i="32"/>
  <c r="V12" i="32"/>
  <c r="EQ12" i="32" s="1"/>
  <c r="V18" i="32"/>
  <c r="EQ18" i="32" s="1"/>
  <c r="V10" i="32"/>
  <c r="W4" i="32"/>
  <c r="W32" i="32" s="1"/>
  <c r="T4" i="32"/>
  <c r="T32" i="32" s="1"/>
  <c r="V4" i="32"/>
  <c r="Y4" i="32"/>
  <c r="Y32" i="32" s="1"/>
  <c r="P4" i="32"/>
  <c r="P32" i="32" s="1"/>
  <c r="L8" i="32"/>
  <c r="L6" i="32"/>
  <c r="L20" i="32"/>
  <c r="L10" i="32"/>
  <c r="L12" i="32"/>
  <c r="D22" i="32"/>
  <c r="L22" i="32" s="1"/>
  <c r="H21" i="32"/>
  <c r="L21" i="32" s="1"/>
  <c r="H19" i="32"/>
  <c r="L19" i="32" s="1"/>
  <c r="D18" i="32"/>
  <c r="L18" i="32" s="1"/>
  <c r="H17" i="32"/>
  <c r="L17" i="32" s="1"/>
  <c r="H15" i="32"/>
  <c r="L15" i="32" s="1"/>
  <c r="H13" i="32"/>
  <c r="L13" i="32" s="1"/>
  <c r="H11" i="32"/>
  <c r="L11" i="32" s="1"/>
  <c r="H9" i="32"/>
  <c r="L9" i="32" s="1"/>
  <c r="H7" i="32"/>
  <c r="L7" i="32" s="1"/>
  <c r="H5" i="32"/>
  <c r="L5" i="32" s="1"/>
  <c r="K12" i="32"/>
  <c r="K10" i="32"/>
  <c r="K8" i="32"/>
  <c r="K6" i="32"/>
  <c r="K32" i="32" s="1"/>
  <c r="BM38" i="31"/>
  <c r="AF47" i="31"/>
  <c r="H47" i="31"/>
  <c r="Y22" i="31"/>
  <c r="R47" i="31"/>
  <c r="Y45" i="31"/>
  <c r="P22" i="31"/>
  <c r="B47" i="31"/>
  <c r="Z47" i="31"/>
  <c r="AJ47" i="31"/>
  <c r="L47" i="31"/>
  <c r="AG47" i="31"/>
  <c r="I47" i="31"/>
  <c r="EJ18" i="27"/>
  <c r="AL74" i="25"/>
  <c r="AM74" i="25"/>
  <c r="AL75" i="25"/>
  <c r="AM75" i="25"/>
  <c r="AL76" i="25"/>
  <c r="AM76" i="25"/>
  <c r="AL77" i="25"/>
  <c r="AM77" i="25"/>
  <c r="AL78" i="25"/>
  <c r="AM78" i="25"/>
  <c r="AL79" i="25"/>
  <c r="AM79" i="25"/>
  <c r="AL80" i="25"/>
  <c r="AM80" i="25"/>
  <c r="AL81" i="25"/>
  <c r="AM81" i="25"/>
  <c r="AL82" i="25"/>
  <c r="AM82" i="25"/>
  <c r="AL83" i="25"/>
  <c r="AM83" i="25"/>
  <c r="AL84" i="25"/>
  <c r="AM84" i="25"/>
  <c r="AL85" i="25"/>
  <c r="AM85" i="25"/>
  <c r="AL86" i="25"/>
  <c r="AM86" i="25"/>
  <c r="AL87" i="25"/>
  <c r="AM87" i="25"/>
  <c r="AL88" i="25"/>
  <c r="AM88" i="25"/>
  <c r="AL89" i="25"/>
  <c r="AM89" i="25"/>
  <c r="AL90" i="25"/>
  <c r="AM90" i="25"/>
  <c r="AM73" i="25"/>
  <c r="AL73" i="25"/>
  <c r="AJ92" i="25"/>
  <c r="AI92" i="25"/>
  <c r="AK74" i="25"/>
  <c r="AK75" i="25"/>
  <c r="AK76" i="25"/>
  <c r="AK77" i="25"/>
  <c r="AK78" i="25"/>
  <c r="AK79" i="25"/>
  <c r="AK80" i="25"/>
  <c r="AK81" i="25"/>
  <c r="AK82" i="25"/>
  <c r="AK83" i="25"/>
  <c r="AK84" i="25"/>
  <c r="AK85" i="25"/>
  <c r="AK86" i="25"/>
  <c r="AK87" i="25"/>
  <c r="AK88" i="25"/>
  <c r="AK89" i="25"/>
  <c r="AK90" i="25"/>
  <c r="AK91" i="25"/>
  <c r="AK73" i="25"/>
  <c r="M92" i="30"/>
  <c r="L92" i="30"/>
  <c r="K92" i="30"/>
  <c r="J92" i="30"/>
  <c r="I92" i="30"/>
  <c r="H92" i="30"/>
  <c r="G92" i="30"/>
  <c r="F92" i="30"/>
  <c r="E92" i="30"/>
  <c r="D92" i="30"/>
  <c r="C92" i="30"/>
  <c r="B92" i="30"/>
  <c r="N91" i="30"/>
  <c r="AD91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N90" i="30"/>
  <c r="N89" i="30"/>
  <c r="N88" i="30"/>
  <c r="N87" i="30"/>
  <c r="N86" i="30"/>
  <c r="N85" i="30"/>
  <c r="N84" i="30"/>
  <c r="N83" i="30"/>
  <c r="N82" i="30"/>
  <c r="N81" i="30"/>
  <c r="N80" i="30"/>
  <c r="N79" i="30"/>
  <c r="N78" i="30"/>
  <c r="N77" i="30"/>
  <c r="N76" i="30"/>
  <c r="N75" i="30"/>
  <c r="M112" i="30"/>
  <c r="L112" i="30"/>
  <c r="K112" i="30"/>
  <c r="J112" i="30"/>
  <c r="I112" i="30"/>
  <c r="H112" i="30"/>
  <c r="G112" i="30"/>
  <c r="F112" i="30"/>
  <c r="E112" i="30"/>
  <c r="D112" i="30"/>
  <c r="C112" i="30"/>
  <c r="B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N111" i="30"/>
  <c r="AD110" i="30"/>
  <c r="N110" i="30"/>
  <c r="AD109" i="30"/>
  <c r="N109" i="30"/>
  <c r="AD108" i="30"/>
  <c r="N108" i="30"/>
  <c r="AD107" i="30"/>
  <c r="N107" i="30"/>
  <c r="AD106" i="30"/>
  <c r="N106" i="30"/>
  <c r="AD105" i="30"/>
  <c r="N105" i="30"/>
  <c r="AD104" i="30"/>
  <c r="N104" i="30"/>
  <c r="AD103" i="30"/>
  <c r="N103" i="30"/>
  <c r="AD102" i="30"/>
  <c r="N102" i="30"/>
  <c r="AD101" i="30"/>
  <c r="N101" i="30"/>
  <c r="AD100" i="30"/>
  <c r="N100" i="30"/>
  <c r="AD99" i="30"/>
  <c r="N99" i="30"/>
  <c r="AD98" i="30"/>
  <c r="N98" i="30"/>
  <c r="AD97" i="30"/>
  <c r="N97" i="30"/>
  <c r="BZ94" i="29"/>
  <c r="BY94" i="29"/>
  <c r="BW94" i="29"/>
  <c r="BV94" i="29"/>
  <c r="BT94" i="29"/>
  <c r="BS94" i="29"/>
  <c r="BQ94" i="29"/>
  <c r="BP94" i="29"/>
  <c r="BN94" i="29"/>
  <c r="BM94" i="29"/>
  <c r="BK94" i="29"/>
  <c r="BJ94" i="29"/>
  <c r="BH94" i="29"/>
  <c r="BG94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J94" i="29"/>
  <c r="AI94" i="29"/>
  <c r="AG94" i="29"/>
  <c r="AF94" i="29"/>
  <c r="AD94" i="29"/>
  <c r="AC94" i="29"/>
  <c r="AA94" i="29"/>
  <c r="Z94" i="29"/>
  <c r="X94" i="29"/>
  <c r="W94" i="29"/>
  <c r="U94" i="29"/>
  <c r="T94" i="29"/>
  <c r="R94" i="29"/>
  <c r="Q94" i="29"/>
  <c r="P94" i="29"/>
  <c r="O94" i="29"/>
  <c r="N94" i="29"/>
  <c r="M94" i="29"/>
  <c r="L94" i="29"/>
  <c r="K94" i="29"/>
  <c r="J94" i="29"/>
  <c r="I94" i="29"/>
  <c r="H94" i="29"/>
  <c r="F94" i="29"/>
  <c r="E94" i="29"/>
  <c r="D94" i="29"/>
  <c r="C94" i="29"/>
  <c r="B94" i="29"/>
  <c r="CA93" i="29"/>
  <c r="BX93" i="29"/>
  <c r="BU93" i="29"/>
  <c r="BR93" i="29"/>
  <c r="BO93" i="29"/>
  <c r="BL93" i="29"/>
  <c r="BI93" i="29"/>
  <c r="AK93" i="29"/>
  <c r="AH93" i="29"/>
  <c r="AE93" i="29"/>
  <c r="AB93" i="29"/>
  <c r="Y93" i="29"/>
  <c r="V93" i="29"/>
  <c r="S93" i="29"/>
  <c r="CA92" i="29"/>
  <c r="BX92" i="29"/>
  <c r="BU92" i="29"/>
  <c r="BR92" i="29"/>
  <c r="BO92" i="29"/>
  <c r="BL92" i="29"/>
  <c r="BI92" i="29"/>
  <c r="AK92" i="29"/>
  <c r="AH92" i="29"/>
  <c r="AE92" i="29"/>
  <c r="AB92" i="29"/>
  <c r="Y92" i="29"/>
  <c r="V92" i="29"/>
  <c r="S92" i="29"/>
  <c r="CA91" i="29"/>
  <c r="BX91" i="29"/>
  <c r="BU91" i="29"/>
  <c r="BR91" i="29"/>
  <c r="BO91" i="29"/>
  <c r="BL91" i="29"/>
  <c r="BI91" i="29"/>
  <c r="AK91" i="29"/>
  <c r="AH91" i="29"/>
  <c r="AE91" i="29"/>
  <c r="AB91" i="29"/>
  <c r="Y91" i="29"/>
  <c r="V91" i="29"/>
  <c r="S91" i="29"/>
  <c r="CA90" i="29"/>
  <c r="BX90" i="29"/>
  <c r="BU90" i="29"/>
  <c r="BR90" i="29"/>
  <c r="BO90" i="29"/>
  <c r="BL90" i="29"/>
  <c r="BI90" i="29"/>
  <c r="AK90" i="29"/>
  <c r="AH90" i="29"/>
  <c r="AE90" i="29"/>
  <c r="AB90" i="29"/>
  <c r="Y90" i="29"/>
  <c r="V90" i="29"/>
  <c r="S90" i="29"/>
  <c r="CA89" i="29"/>
  <c r="BX89" i="29"/>
  <c r="BU89" i="29"/>
  <c r="BR89" i="29"/>
  <c r="BO89" i="29"/>
  <c r="BL89" i="29"/>
  <c r="BI89" i="29"/>
  <c r="AK89" i="29"/>
  <c r="AH89" i="29"/>
  <c r="AE89" i="29"/>
  <c r="AB89" i="29"/>
  <c r="Y89" i="29"/>
  <c r="V89" i="29"/>
  <c r="S89" i="29"/>
  <c r="CA88" i="29"/>
  <c r="BX88" i="29"/>
  <c r="BU88" i="29"/>
  <c r="BR88" i="29"/>
  <c r="BO88" i="29"/>
  <c r="BL88" i="29"/>
  <c r="BI88" i="29"/>
  <c r="AK88" i="29"/>
  <c r="AH88" i="29"/>
  <c r="AE88" i="29"/>
  <c r="AB88" i="29"/>
  <c r="Y88" i="29"/>
  <c r="V88" i="29"/>
  <c r="S88" i="29"/>
  <c r="CA87" i="29"/>
  <c r="BX87" i="29"/>
  <c r="BU87" i="29"/>
  <c r="BR87" i="29"/>
  <c r="BO87" i="29"/>
  <c r="BL87" i="29"/>
  <c r="BI87" i="29"/>
  <c r="AK87" i="29"/>
  <c r="AH87" i="29"/>
  <c r="AE87" i="29"/>
  <c r="AB87" i="29"/>
  <c r="Y87" i="29"/>
  <c r="V87" i="29"/>
  <c r="S87" i="29"/>
  <c r="CA86" i="29"/>
  <c r="BX86" i="29"/>
  <c r="BU86" i="29"/>
  <c r="BR86" i="29"/>
  <c r="BO86" i="29"/>
  <c r="BL86" i="29"/>
  <c r="BI86" i="29"/>
  <c r="AK86" i="29"/>
  <c r="AH86" i="29"/>
  <c r="AE86" i="29"/>
  <c r="AB86" i="29"/>
  <c r="Y86" i="29"/>
  <c r="V86" i="29"/>
  <c r="S86" i="29"/>
  <c r="CA85" i="29"/>
  <c r="BX85" i="29"/>
  <c r="BU85" i="29"/>
  <c r="BR85" i="29"/>
  <c r="BO85" i="29"/>
  <c r="BL85" i="29"/>
  <c r="BI85" i="29"/>
  <c r="AK85" i="29"/>
  <c r="AH85" i="29"/>
  <c r="AE85" i="29"/>
  <c r="AB85" i="29"/>
  <c r="Y85" i="29"/>
  <c r="V85" i="29"/>
  <c r="S85" i="29"/>
  <c r="CA84" i="29"/>
  <c r="BX84" i="29"/>
  <c r="BU84" i="29"/>
  <c r="BR84" i="29"/>
  <c r="BO84" i="29"/>
  <c r="BL84" i="29"/>
  <c r="BI84" i="29"/>
  <c r="AK84" i="29"/>
  <c r="AH84" i="29"/>
  <c r="AE84" i="29"/>
  <c r="AB84" i="29"/>
  <c r="Y84" i="29"/>
  <c r="V84" i="29"/>
  <c r="S84" i="29"/>
  <c r="CA83" i="29"/>
  <c r="BX83" i="29"/>
  <c r="BU83" i="29"/>
  <c r="BR83" i="29"/>
  <c r="BO83" i="29"/>
  <c r="BL83" i="29"/>
  <c r="BI83" i="29"/>
  <c r="AK83" i="29"/>
  <c r="AH83" i="29"/>
  <c r="AE83" i="29"/>
  <c r="AB83" i="29"/>
  <c r="Y83" i="29"/>
  <c r="V83" i="29"/>
  <c r="S83" i="29"/>
  <c r="CA82" i="29"/>
  <c r="BX82" i="29"/>
  <c r="BU82" i="29"/>
  <c r="BR82" i="29"/>
  <c r="BO82" i="29"/>
  <c r="BL82" i="29"/>
  <c r="BI82" i="29"/>
  <c r="AK82" i="29"/>
  <c r="AH82" i="29"/>
  <c r="AE82" i="29"/>
  <c r="AB82" i="29"/>
  <c r="Y82" i="29"/>
  <c r="V82" i="29"/>
  <c r="S82" i="29"/>
  <c r="CA81" i="29"/>
  <c r="BX81" i="29"/>
  <c r="BU81" i="29"/>
  <c r="BR81" i="29"/>
  <c r="BO81" i="29"/>
  <c r="BL81" i="29"/>
  <c r="BI81" i="29"/>
  <c r="AK81" i="29"/>
  <c r="AH81" i="29"/>
  <c r="AE81" i="29"/>
  <c r="AB81" i="29"/>
  <c r="Y81" i="29"/>
  <c r="V81" i="29"/>
  <c r="S81" i="29"/>
  <c r="CA80" i="29"/>
  <c r="BX80" i="29"/>
  <c r="BU80" i="29"/>
  <c r="BR80" i="29"/>
  <c r="BO80" i="29"/>
  <c r="BL80" i="29"/>
  <c r="BI80" i="29"/>
  <c r="AK80" i="29"/>
  <c r="AH80" i="29"/>
  <c r="AE80" i="29"/>
  <c r="AB80" i="29"/>
  <c r="Y80" i="29"/>
  <c r="V80" i="29"/>
  <c r="S80" i="29"/>
  <c r="CA79" i="29"/>
  <c r="BX79" i="29"/>
  <c r="BU79" i="29"/>
  <c r="BR79" i="29"/>
  <c r="BO79" i="29"/>
  <c r="BL79" i="29"/>
  <c r="BI79" i="29"/>
  <c r="AK79" i="29"/>
  <c r="AH79" i="29"/>
  <c r="AE79" i="29"/>
  <c r="AB79" i="29"/>
  <c r="Y79" i="29"/>
  <c r="V79" i="29"/>
  <c r="S79" i="29"/>
  <c r="CA78" i="29"/>
  <c r="BX78" i="29"/>
  <c r="BU78" i="29"/>
  <c r="BR78" i="29"/>
  <c r="BO78" i="29"/>
  <c r="BL78" i="29"/>
  <c r="BI78" i="29"/>
  <c r="AK78" i="29"/>
  <c r="AH78" i="29"/>
  <c r="AE78" i="29"/>
  <c r="AB78" i="29"/>
  <c r="Y78" i="29"/>
  <c r="V78" i="29"/>
  <c r="S78" i="29"/>
  <c r="CA77" i="29"/>
  <c r="BX77" i="29"/>
  <c r="BU77" i="29"/>
  <c r="BR77" i="29"/>
  <c r="BO77" i="29"/>
  <c r="BL77" i="29"/>
  <c r="BI77" i="29"/>
  <c r="AK77" i="29"/>
  <c r="AH77" i="29"/>
  <c r="AE77" i="29"/>
  <c r="AB77" i="29"/>
  <c r="Y77" i="29"/>
  <c r="V77" i="29"/>
  <c r="S77" i="29"/>
  <c r="CA76" i="29"/>
  <c r="BX76" i="29"/>
  <c r="BU76" i="29"/>
  <c r="BR76" i="29"/>
  <c r="BO76" i="29"/>
  <c r="BL76" i="29"/>
  <c r="BI76" i="29"/>
  <c r="AK76" i="29"/>
  <c r="AH76" i="29"/>
  <c r="AE76" i="29"/>
  <c r="AB76" i="29"/>
  <c r="Y76" i="29"/>
  <c r="V76" i="29"/>
  <c r="S76" i="29"/>
  <c r="CA75" i="29"/>
  <c r="BX75" i="29"/>
  <c r="BU75" i="29"/>
  <c r="BR75" i="29"/>
  <c r="BO75" i="29"/>
  <c r="BL75" i="29"/>
  <c r="BI75" i="29"/>
  <c r="AK75" i="29"/>
  <c r="AH75" i="29"/>
  <c r="AE75" i="29"/>
  <c r="AB75" i="29"/>
  <c r="Y75" i="29"/>
  <c r="V75" i="29"/>
  <c r="S75" i="29"/>
  <c r="BZ114" i="29"/>
  <c r="BY114" i="29"/>
  <c r="BW114" i="29"/>
  <c r="BV114" i="29"/>
  <c r="BT114" i="29"/>
  <c r="BS114" i="29"/>
  <c r="BQ114" i="29"/>
  <c r="BP114" i="29"/>
  <c r="BN114" i="29"/>
  <c r="BM114" i="29"/>
  <c r="BK114" i="29"/>
  <c r="BJ114" i="29"/>
  <c r="BH114" i="29"/>
  <c r="BG114" i="29"/>
  <c r="BE114" i="29"/>
  <c r="BD114" i="29"/>
  <c r="AJ114" i="29"/>
  <c r="AI114" i="29"/>
  <c r="AG114" i="29"/>
  <c r="AF114" i="29"/>
  <c r="AD114" i="29"/>
  <c r="AC114" i="29"/>
  <c r="AA114" i="29"/>
  <c r="Z114" i="29"/>
  <c r="X114" i="29"/>
  <c r="W114" i="29"/>
  <c r="U114" i="29"/>
  <c r="T114" i="29"/>
  <c r="R114" i="29"/>
  <c r="Q114" i="29"/>
  <c r="O114" i="29"/>
  <c r="N114" i="29"/>
  <c r="L114" i="29"/>
  <c r="K114" i="29"/>
  <c r="I114" i="29"/>
  <c r="H114" i="29"/>
  <c r="F114" i="29"/>
  <c r="E114" i="29"/>
  <c r="C114" i="29"/>
  <c r="B114" i="29"/>
  <c r="CA113" i="29"/>
  <c r="BX113" i="29"/>
  <c r="BU113" i="29"/>
  <c r="BR113" i="29"/>
  <c r="BO113" i="29"/>
  <c r="BL113" i="29"/>
  <c r="BI113" i="29"/>
  <c r="BF113" i="29"/>
  <c r="BC113" i="29"/>
  <c r="AZ113" i="29"/>
  <c r="AW113" i="29"/>
  <c r="AT113" i="29"/>
  <c r="AK113" i="29"/>
  <c r="AH113" i="29"/>
  <c r="AE113" i="29"/>
  <c r="AB113" i="29"/>
  <c r="Y113" i="29"/>
  <c r="V113" i="29"/>
  <c r="S113" i="29"/>
  <c r="P113" i="29"/>
  <c r="M113" i="29"/>
  <c r="J113" i="29"/>
  <c r="G113" i="29"/>
  <c r="D113" i="29"/>
  <c r="CA112" i="29"/>
  <c r="BX112" i="29"/>
  <c r="BU112" i="29"/>
  <c r="BR112" i="29"/>
  <c r="BO112" i="29"/>
  <c r="BL112" i="29"/>
  <c r="BI112" i="29"/>
  <c r="BF112" i="29"/>
  <c r="AK112" i="29"/>
  <c r="AH112" i="29"/>
  <c r="AE112" i="29"/>
  <c r="AB112" i="29"/>
  <c r="Y112" i="29"/>
  <c r="V112" i="29"/>
  <c r="S112" i="29"/>
  <c r="P112" i="29"/>
  <c r="CA111" i="29"/>
  <c r="BX111" i="29"/>
  <c r="BU111" i="29"/>
  <c r="BR111" i="29"/>
  <c r="BO111" i="29"/>
  <c r="BL111" i="29"/>
  <c r="BI111" i="29"/>
  <c r="BF111" i="29"/>
  <c r="BC111" i="29"/>
  <c r="AZ111" i="29"/>
  <c r="AW111" i="29"/>
  <c r="AT111" i="29"/>
  <c r="AK111" i="29"/>
  <c r="AH111" i="29"/>
  <c r="AE111" i="29"/>
  <c r="AB111" i="29"/>
  <c r="Y111" i="29"/>
  <c r="V111" i="29"/>
  <c r="S111" i="29"/>
  <c r="P111" i="29"/>
  <c r="M111" i="29"/>
  <c r="J111" i="29"/>
  <c r="G111" i="29"/>
  <c r="D111" i="29"/>
  <c r="CA110" i="29"/>
  <c r="BX110" i="29"/>
  <c r="BU110" i="29"/>
  <c r="BR110" i="29"/>
  <c r="BO110" i="29"/>
  <c r="BL110" i="29"/>
  <c r="BI110" i="29"/>
  <c r="BF110" i="29"/>
  <c r="BC110" i="29"/>
  <c r="AZ110" i="29"/>
  <c r="AW110" i="29"/>
  <c r="AT110" i="29"/>
  <c r="AK110" i="29"/>
  <c r="AH110" i="29"/>
  <c r="AE110" i="29"/>
  <c r="AB110" i="29"/>
  <c r="Y110" i="29"/>
  <c r="V110" i="29"/>
  <c r="S110" i="29"/>
  <c r="P110" i="29"/>
  <c r="M110" i="29"/>
  <c r="J110" i="29"/>
  <c r="G110" i="29"/>
  <c r="D110" i="29"/>
  <c r="CA109" i="29"/>
  <c r="BX109" i="29"/>
  <c r="BU109" i="29"/>
  <c r="BR109" i="29"/>
  <c r="BO109" i="29"/>
  <c r="BL109" i="29"/>
  <c r="BI109" i="29"/>
  <c r="BF109" i="29"/>
  <c r="BC109" i="29"/>
  <c r="AZ109" i="29"/>
  <c r="AW109" i="29"/>
  <c r="AT109" i="29"/>
  <c r="AK109" i="29"/>
  <c r="AH109" i="29"/>
  <c r="AE109" i="29"/>
  <c r="AB109" i="29"/>
  <c r="Y109" i="29"/>
  <c r="V109" i="29"/>
  <c r="S109" i="29"/>
  <c r="P109" i="29"/>
  <c r="M109" i="29"/>
  <c r="J109" i="29"/>
  <c r="G109" i="29"/>
  <c r="D109" i="29"/>
  <c r="CA108" i="29"/>
  <c r="BX108" i="29"/>
  <c r="BU108" i="29"/>
  <c r="BR108" i="29"/>
  <c r="BO108" i="29"/>
  <c r="BL108" i="29"/>
  <c r="BI108" i="29"/>
  <c r="BF108" i="29"/>
  <c r="BC108" i="29"/>
  <c r="AZ108" i="29"/>
  <c r="AW108" i="29"/>
  <c r="AT108" i="29"/>
  <c r="AK108" i="29"/>
  <c r="AH108" i="29"/>
  <c r="AE108" i="29"/>
  <c r="AB108" i="29"/>
  <c r="Y108" i="29"/>
  <c r="V108" i="29"/>
  <c r="S108" i="29"/>
  <c r="P108" i="29"/>
  <c r="M108" i="29"/>
  <c r="J108" i="29"/>
  <c r="G108" i="29"/>
  <c r="D108" i="29"/>
  <c r="CA107" i="29"/>
  <c r="BX107" i="29"/>
  <c r="BU107" i="29"/>
  <c r="BR107" i="29"/>
  <c r="BO107" i="29"/>
  <c r="BL107" i="29"/>
  <c r="BI107" i="29"/>
  <c r="BF107" i="29"/>
  <c r="BC107" i="29"/>
  <c r="AZ107" i="29"/>
  <c r="AW107" i="29"/>
  <c r="AT107" i="29"/>
  <c r="AK107" i="29"/>
  <c r="AH107" i="29"/>
  <c r="AE107" i="29"/>
  <c r="AB107" i="29"/>
  <c r="Y107" i="29"/>
  <c r="V107" i="29"/>
  <c r="S107" i="29"/>
  <c r="P107" i="29"/>
  <c r="M107" i="29"/>
  <c r="J107" i="29"/>
  <c r="G107" i="29"/>
  <c r="D107" i="29"/>
  <c r="CA106" i="29"/>
  <c r="BX106" i="29"/>
  <c r="BU106" i="29"/>
  <c r="BR106" i="29"/>
  <c r="BO106" i="29"/>
  <c r="BL106" i="29"/>
  <c r="BI106" i="29"/>
  <c r="BF106" i="29"/>
  <c r="BC106" i="29"/>
  <c r="AZ106" i="29"/>
  <c r="AW106" i="29"/>
  <c r="AT106" i="29"/>
  <c r="AK106" i="29"/>
  <c r="AH106" i="29"/>
  <c r="AE106" i="29"/>
  <c r="AB106" i="29"/>
  <c r="Y106" i="29"/>
  <c r="V106" i="29"/>
  <c r="S106" i="29"/>
  <c r="P106" i="29"/>
  <c r="M106" i="29"/>
  <c r="J106" i="29"/>
  <c r="G106" i="29"/>
  <c r="D106" i="29"/>
  <c r="CA105" i="29"/>
  <c r="BX105" i="29"/>
  <c r="BU105" i="29"/>
  <c r="BR105" i="29"/>
  <c r="BO105" i="29"/>
  <c r="BL105" i="29"/>
  <c r="BI105" i="29"/>
  <c r="BF105" i="29"/>
  <c r="BC105" i="29"/>
  <c r="AZ105" i="29"/>
  <c r="AW105" i="29"/>
  <c r="AT105" i="29"/>
  <c r="AK105" i="29"/>
  <c r="AH105" i="29"/>
  <c r="AE105" i="29"/>
  <c r="AB105" i="29"/>
  <c r="Y105" i="29"/>
  <c r="V105" i="29"/>
  <c r="S105" i="29"/>
  <c r="P105" i="29"/>
  <c r="M105" i="29"/>
  <c r="J105" i="29"/>
  <c r="G105" i="29"/>
  <c r="D105" i="29"/>
  <c r="CA104" i="29"/>
  <c r="BX104" i="29"/>
  <c r="BU104" i="29"/>
  <c r="BR104" i="29"/>
  <c r="BO104" i="29"/>
  <c r="BL104" i="29"/>
  <c r="BI104" i="29"/>
  <c r="BF104" i="29"/>
  <c r="BC104" i="29"/>
  <c r="AZ104" i="29"/>
  <c r="AW104" i="29"/>
  <c r="AT104" i="29"/>
  <c r="AK104" i="29"/>
  <c r="AH104" i="29"/>
  <c r="AE104" i="29"/>
  <c r="AB104" i="29"/>
  <c r="Y104" i="29"/>
  <c r="V104" i="29"/>
  <c r="S104" i="29"/>
  <c r="P104" i="29"/>
  <c r="M104" i="29"/>
  <c r="J104" i="29"/>
  <c r="G104" i="29"/>
  <c r="D104" i="29"/>
  <c r="CA103" i="29"/>
  <c r="BX103" i="29"/>
  <c r="BU103" i="29"/>
  <c r="BR103" i="29"/>
  <c r="BO103" i="29"/>
  <c r="BL103" i="29"/>
  <c r="BI103" i="29"/>
  <c r="BF103" i="29"/>
  <c r="BC103" i="29"/>
  <c r="AZ103" i="29"/>
  <c r="AW103" i="29"/>
  <c r="AT103" i="29"/>
  <c r="AK103" i="29"/>
  <c r="AH103" i="29"/>
  <c r="AE103" i="29"/>
  <c r="AB103" i="29"/>
  <c r="Y103" i="29"/>
  <c r="V103" i="29"/>
  <c r="S103" i="29"/>
  <c r="P103" i="29"/>
  <c r="M103" i="29"/>
  <c r="J103" i="29"/>
  <c r="G103" i="29"/>
  <c r="D103" i="29"/>
  <c r="CA102" i="29"/>
  <c r="BX102" i="29"/>
  <c r="BU102" i="29"/>
  <c r="BR102" i="29"/>
  <c r="BO102" i="29"/>
  <c r="BL102" i="29"/>
  <c r="BI102" i="29"/>
  <c r="BF102" i="29"/>
  <c r="BC102" i="29"/>
  <c r="AZ102" i="29"/>
  <c r="AW102" i="29"/>
  <c r="AT102" i="29"/>
  <c r="AK102" i="29"/>
  <c r="AH102" i="29"/>
  <c r="AE102" i="29"/>
  <c r="AB102" i="29"/>
  <c r="Y102" i="29"/>
  <c r="V102" i="29"/>
  <c r="S102" i="29"/>
  <c r="P102" i="29"/>
  <c r="M102" i="29"/>
  <c r="J102" i="29"/>
  <c r="G102" i="29"/>
  <c r="D102" i="29"/>
  <c r="CA101" i="29"/>
  <c r="BX101" i="29"/>
  <c r="BU101" i="29"/>
  <c r="BR101" i="29"/>
  <c r="BO101" i="29"/>
  <c r="BL101" i="29"/>
  <c r="BI101" i="29"/>
  <c r="BF101" i="29"/>
  <c r="BC101" i="29"/>
  <c r="AZ101" i="29"/>
  <c r="AW101" i="29"/>
  <c r="AT101" i="29"/>
  <c r="AK101" i="29"/>
  <c r="AH101" i="29"/>
  <c r="AE101" i="29"/>
  <c r="AB101" i="29"/>
  <c r="Y101" i="29"/>
  <c r="V101" i="29"/>
  <c r="S101" i="29"/>
  <c r="P101" i="29"/>
  <c r="M101" i="29"/>
  <c r="J101" i="29"/>
  <c r="G101" i="29"/>
  <c r="D101" i="29"/>
  <c r="CA100" i="29"/>
  <c r="BX100" i="29"/>
  <c r="BU100" i="29"/>
  <c r="BR100" i="29"/>
  <c r="BO100" i="29"/>
  <c r="BL100" i="29"/>
  <c r="BI100" i="29"/>
  <c r="BF100" i="29"/>
  <c r="BC100" i="29"/>
  <c r="AZ100" i="29"/>
  <c r="AW100" i="29"/>
  <c r="AT100" i="29"/>
  <c r="AK100" i="29"/>
  <c r="AH100" i="29"/>
  <c r="AE100" i="29"/>
  <c r="AB100" i="29"/>
  <c r="Y100" i="29"/>
  <c r="V100" i="29"/>
  <c r="S100" i="29"/>
  <c r="P100" i="29"/>
  <c r="M100" i="29"/>
  <c r="J100" i="29"/>
  <c r="G100" i="29"/>
  <c r="D100" i="29"/>
  <c r="CA99" i="29"/>
  <c r="CA114" i="29" s="1"/>
  <c r="BX99" i="29"/>
  <c r="BX114" i="29" s="1"/>
  <c r="BU99" i="29"/>
  <c r="BR99" i="29"/>
  <c r="BR114" i="29" s="1"/>
  <c r="BO99" i="29"/>
  <c r="BO114" i="29" s="1"/>
  <c r="BL99" i="29"/>
  <c r="BL114" i="29" s="1"/>
  <c r="BI99" i="29"/>
  <c r="BI114" i="29" s="1"/>
  <c r="BF99" i="29"/>
  <c r="BF114" i="29" s="1"/>
  <c r="BC99" i="29"/>
  <c r="BC114" i="29" s="1"/>
  <c r="AZ99" i="29"/>
  <c r="AZ114" i="29" s="1"/>
  <c r="AW99" i="29"/>
  <c r="AT99" i="29"/>
  <c r="AT114" i="29" s="1"/>
  <c r="AK99" i="29"/>
  <c r="AH99" i="29"/>
  <c r="AE99" i="29"/>
  <c r="AB99" i="29"/>
  <c r="Y99" i="29"/>
  <c r="V99" i="29"/>
  <c r="S99" i="29"/>
  <c r="P99" i="29"/>
  <c r="M99" i="29"/>
  <c r="J99" i="29"/>
  <c r="J114" i="29" s="1"/>
  <c r="G99" i="29"/>
  <c r="D99" i="29"/>
  <c r="R42" i="12"/>
  <c r="S42" i="12"/>
  <c r="T42" i="12"/>
  <c r="U42" i="12"/>
  <c r="V42" i="12"/>
  <c r="W42" i="12"/>
  <c r="X42" i="12"/>
  <c r="Y42" i="12"/>
  <c r="Z42" i="12"/>
  <c r="AA42" i="12"/>
  <c r="AB42" i="12"/>
  <c r="AC42" i="12"/>
  <c r="Q42" i="12"/>
  <c r="N68" i="30" l="1"/>
  <c r="G114" i="29"/>
  <c r="BU114" i="29"/>
  <c r="V32" i="32"/>
  <c r="L32" i="32"/>
  <c r="EP32" i="32"/>
  <c r="AJ32" i="32"/>
  <c r="D32" i="32"/>
  <c r="H32" i="32"/>
  <c r="EQ4" i="32"/>
  <c r="CD77" i="29"/>
  <c r="CD81" i="29"/>
  <c r="CD85" i="29"/>
  <c r="CD89" i="29"/>
  <c r="CD93" i="29"/>
  <c r="CD78" i="29"/>
  <c r="CD82" i="29"/>
  <c r="CD86" i="29"/>
  <c r="CD90" i="29"/>
  <c r="CD76" i="29"/>
  <c r="CD80" i="29"/>
  <c r="CD84" i="29"/>
  <c r="CD88" i="29"/>
  <c r="CD92" i="29"/>
  <c r="AO76" i="29"/>
  <c r="AO80" i="29"/>
  <c r="AO84" i="29"/>
  <c r="AO88" i="29"/>
  <c r="AO92" i="29"/>
  <c r="CD75" i="29"/>
  <c r="CD79" i="29"/>
  <c r="CD83" i="29"/>
  <c r="CD87" i="29"/>
  <c r="CD91" i="29"/>
  <c r="AN99" i="29"/>
  <c r="AN100" i="29"/>
  <c r="AN101" i="29"/>
  <c r="AN102" i="29"/>
  <c r="AN103" i="29"/>
  <c r="AN104" i="29"/>
  <c r="AN105" i="29"/>
  <c r="AN106" i="29"/>
  <c r="AN107" i="29"/>
  <c r="AN108" i="29"/>
  <c r="AN109" i="29"/>
  <c r="AN110" i="29"/>
  <c r="AN111" i="29"/>
  <c r="AN112" i="29"/>
  <c r="AN113" i="29"/>
  <c r="BU33" i="32"/>
  <c r="CS33" i="32" s="1"/>
  <c r="DE33" i="32" s="1"/>
  <c r="AO81" i="29"/>
  <c r="AO85" i="29"/>
  <c r="AO75" i="29"/>
  <c r="AO79" i="29"/>
  <c r="AO83" i="29"/>
  <c r="AO87" i="29"/>
  <c r="AO91" i="29"/>
  <c r="AO78" i="29"/>
  <c r="AO82" i="29"/>
  <c r="AO86" i="29"/>
  <c r="AO90" i="29"/>
  <c r="AO77" i="29"/>
  <c r="AO89" i="29"/>
  <c r="AO93" i="29"/>
  <c r="AK92" i="25"/>
  <c r="AW114" i="29"/>
  <c r="S114" i="29"/>
  <c r="Y114" i="29"/>
  <c r="BI94" i="29"/>
  <c r="M114" i="29"/>
  <c r="AB114" i="29"/>
  <c r="AD111" i="30"/>
  <c r="N112" i="30"/>
  <c r="X4" i="32"/>
  <c r="X32" i="32" s="1"/>
  <c r="AN75" i="29"/>
  <c r="AN79" i="29"/>
  <c r="AN83" i="29"/>
  <c r="AN87" i="29"/>
  <c r="AN91" i="29"/>
  <c r="AN78" i="29"/>
  <c r="AN82" i="29"/>
  <c r="AN86" i="29"/>
  <c r="AN90" i="29"/>
  <c r="AN77" i="29"/>
  <c r="AN81" i="29"/>
  <c r="AN85" i="29"/>
  <c r="AN89" i="29"/>
  <c r="AN93" i="29"/>
  <c r="AN76" i="29"/>
  <c r="AN80" i="29"/>
  <c r="AN84" i="29"/>
  <c r="AN88" i="29"/>
  <c r="AN92" i="29"/>
  <c r="D114" i="29"/>
  <c r="BO94" i="29"/>
  <c r="BR94" i="29"/>
  <c r="AB94" i="29"/>
  <c r="AK114" i="29"/>
  <c r="P114" i="29"/>
  <c r="AH114" i="29"/>
  <c r="V94" i="29"/>
  <c r="S94" i="29"/>
  <c r="BL94" i="29"/>
  <c r="Y94" i="29"/>
  <c r="BX94" i="29"/>
  <c r="AE114" i="29"/>
  <c r="BU94" i="29"/>
  <c r="AE94" i="29"/>
  <c r="V114" i="29"/>
  <c r="AH94" i="29"/>
  <c r="N92" i="30"/>
  <c r="CA94" i="29"/>
  <c r="AK94" i="29"/>
  <c r="F44" i="7"/>
  <c r="AZ4" i="20"/>
  <c r="EC9" i="27"/>
  <c r="AH74" i="25"/>
  <c r="AH75" i="25"/>
  <c r="AH76" i="25"/>
  <c r="AH77" i="25"/>
  <c r="AH78" i="25"/>
  <c r="AH79" i="25"/>
  <c r="AH80" i="25"/>
  <c r="AH81" i="25"/>
  <c r="AH82" i="25"/>
  <c r="AH83" i="25"/>
  <c r="AH84" i="25"/>
  <c r="AH85" i="25"/>
  <c r="AH86" i="25"/>
  <c r="AH87" i="25"/>
  <c r="AH88" i="25"/>
  <c r="AH89" i="25"/>
  <c r="AH90" i="25"/>
  <c r="AH73" i="25"/>
  <c r="AF92" i="25"/>
  <c r="DZ5" i="27"/>
  <c r="EA5" i="27"/>
  <c r="EB5" i="27"/>
  <c r="EC5" i="27"/>
  <c r="DZ6" i="27"/>
  <c r="EA6" i="27"/>
  <c r="EB6" i="27"/>
  <c r="EC6" i="27"/>
  <c r="DZ7" i="27"/>
  <c r="EA7" i="27"/>
  <c r="EB7" i="27"/>
  <c r="EC7" i="27"/>
  <c r="DZ8" i="27"/>
  <c r="EA8" i="27"/>
  <c r="EB8" i="27"/>
  <c r="EC8" i="27"/>
  <c r="DZ9" i="27"/>
  <c r="EA9" i="27"/>
  <c r="EB9" i="27"/>
  <c r="DZ10" i="27"/>
  <c r="EA10" i="27"/>
  <c r="EB10" i="27"/>
  <c r="EC10" i="27"/>
  <c r="DZ11" i="27"/>
  <c r="EA11" i="27"/>
  <c r="EB11" i="27"/>
  <c r="EC11" i="27"/>
  <c r="DZ12" i="27"/>
  <c r="EA12" i="27"/>
  <c r="EB12" i="27"/>
  <c r="EC12" i="27"/>
  <c r="DZ13" i="27"/>
  <c r="EA13" i="27"/>
  <c r="EB13" i="27"/>
  <c r="EC13" i="27"/>
  <c r="DZ14" i="27"/>
  <c r="EA14" i="27"/>
  <c r="EB14" i="27"/>
  <c r="EC14" i="27"/>
  <c r="DZ15" i="27"/>
  <c r="EA15" i="27"/>
  <c r="EB15" i="27"/>
  <c r="EC15" i="27"/>
  <c r="DZ16" i="27"/>
  <c r="EA16" i="27"/>
  <c r="EB16" i="27"/>
  <c r="EC16" i="27"/>
  <c r="DZ17" i="27"/>
  <c r="EA17" i="27"/>
  <c r="EB17" i="27"/>
  <c r="EC17" i="27"/>
  <c r="DZ18" i="27"/>
  <c r="EA18" i="27"/>
  <c r="EB18" i="27"/>
  <c r="EC18" i="27"/>
  <c r="DZ19" i="27"/>
  <c r="EA19" i="27"/>
  <c r="EB19" i="27"/>
  <c r="EC19" i="27"/>
  <c r="DZ20" i="27"/>
  <c r="EA20" i="27"/>
  <c r="EB20" i="27"/>
  <c r="EC20" i="27"/>
  <c r="DZ21" i="27"/>
  <c r="EA21" i="27"/>
  <c r="EB21" i="27"/>
  <c r="EC21" i="27"/>
  <c r="DZ22" i="27"/>
  <c r="EA22" i="27"/>
  <c r="EB22" i="27"/>
  <c r="EC22" i="27"/>
  <c r="EA4" i="27"/>
  <c r="EB4" i="27"/>
  <c r="EC4" i="27"/>
  <c r="DZ4" i="27"/>
  <c r="DT5" i="27"/>
  <c r="DT6" i="27"/>
  <c r="DT7" i="27"/>
  <c r="DT8" i="27"/>
  <c r="DT9" i="27"/>
  <c r="DT10" i="27"/>
  <c r="DT11" i="27"/>
  <c r="DT12" i="27"/>
  <c r="DT13" i="27"/>
  <c r="DT14" i="27"/>
  <c r="DT15" i="27"/>
  <c r="DT16" i="27"/>
  <c r="DT17" i="27"/>
  <c r="DT18" i="27"/>
  <c r="DT19" i="27"/>
  <c r="DT20" i="27"/>
  <c r="DT21" i="27"/>
  <c r="DT22" i="27"/>
  <c r="DT4" i="27"/>
  <c r="DX5" i="27"/>
  <c r="DX6" i="27"/>
  <c r="DX7" i="27"/>
  <c r="DX8" i="27"/>
  <c r="DX9" i="27"/>
  <c r="DX10" i="27"/>
  <c r="DX11" i="27"/>
  <c r="DX12" i="27"/>
  <c r="DX13" i="27"/>
  <c r="DX14" i="27"/>
  <c r="DX15" i="27"/>
  <c r="DX16" i="27"/>
  <c r="DX17" i="27"/>
  <c r="DX18" i="27"/>
  <c r="DX19" i="27"/>
  <c r="DX20" i="27"/>
  <c r="DX21" i="27"/>
  <c r="DX22" i="27"/>
  <c r="DX4" i="27"/>
  <c r="DN5" i="27"/>
  <c r="DO5" i="27"/>
  <c r="DP5" i="27"/>
  <c r="DQ5" i="27"/>
  <c r="DN6" i="27"/>
  <c r="DO6" i="27"/>
  <c r="DP6" i="27"/>
  <c r="DQ6" i="27"/>
  <c r="DN7" i="27"/>
  <c r="DO7" i="27"/>
  <c r="DP7" i="27"/>
  <c r="DQ7" i="27"/>
  <c r="DN8" i="27"/>
  <c r="DO8" i="27"/>
  <c r="DP8" i="27"/>
  <c r="DQ8" i="27"/>
  <c r="DN9" i="27"/>
  <c r="DO9" i="27"/>
  <c r="DP9" i="27"/>
  <c r="DQ9" i="27"/>
  <c r="DN10" i="27"/>
  <c r="DO10" i="27"/>
  <c r="DP10" i="27"/>
  <c r="DQ10" i="27"/>
  <c r="DN11" i="27"/>
  <c r="DO11" i="27"/>
  <c r="DP11" i="27"/>
  <c r="DQ11" i="27"/>
  <c r="DN12" i="27"/>
  <c r="DO12" i="27"/>
  <c r="DP12" i="27"/>
  <c r="DQ12" i="27"/>
  <c r="DN13" i="27"/>
  <c r="DO13" i="27"/>
  <c r="DP13" i="27"/>
  <c r="DQ13" i="27"/>
  <c r="DN14" i="27"/>
  <c r="DO14" i="27"/>
  <c r="DP14" i="27"/>
  <c r="DQ14" i="27"/>
  <c r="DN15" i="27"/>
  <c r="DO15" i="27"/>
  <c r="DP15" i="27"/>
  <c r="DQ15" i="27"/>
  <c r="DN16" i="27"/>
  <c r="DO16" i="27"/>
  <c r="DP16" i="27"/>
  <c r="DQ16" i="27"/>
  <c r="DN17" i="27"/>
  <c r="DO17" i="27"/>
  <c r="DP17" i="27"/>
  <c r="DQ17" i="27"/>
  <c r="DN18" i="27"/>
  <c r="DO18" i="27"/>
  <c r="DP18" i="27"/>
  <c r="DQ18" i="27"/>
  <c r="DN19" i="27"/>
  <c r="DO19" i="27"/>
  <c r="DP19" i="27"/>
  <c r="DQ19" i="27"/>
  <c r="DN20" i="27"/>
  <c r="DO20" i="27"/>
  <c r="DP20" i="27"/>
  <c r="DQ20" i="27"/>
  <c r="DN21" i="27"/>
  <c r="DO21" i="27"/>
  <c r="DP21" i="27"/>
  <c r="DQ21" i="27"/>
  <c r="DN22" i="27"/>
  <c r="DO22" i="27"/>
  <c r="DP22" i="27"/>
  <c r="DQ22" i="27"/>
  <c r="DP4" i="27"/>
  <c r="DQ4" i="27"/>
  <c r="DO4" i="27"/>
  <c r="DN4" i="27"/>
  <c r="DH5" i="27"/>
  <c r="DH6" i="27"/>
  <c r="DH7" i="27"/>
  <c r="DH8" i="27"/>
  <c r="DH9" i="27"/>
  <c r="DH10" i="27"/>
  <c r="DH11" i="27"/>
  <c r="DH12" i="27"/>
  <c r="DH13" i="27"/>
  <c r="DH14" i="27"/>
  <c r="DH15" i="27"/>
  <c r="DH16" i="27"/>
  <c r="DH17" i="27"/>
  <c r="DH18" i="27"/>
  <c r="DH19" i="27"/>
  <c r="DH20" i="27"/>
  <c r="DH21" i="27"/>
  <c r="DH22" i="27"/>
  <c r="DL5" i="27"/>
  <c r="DL6" i="27"/>
  <c r="DL7" i="27"/>
  <c r="DL8" i="27"/>
  <c r="DL9" i="27"/>
  <c r="DL10" i="27"/>
  <c r="DL11" i="27"/>
  <c r="DL12" i="27"/>
  <c r="DL13" i="27"/>
  <c r="DL14" i="27"/>
  <c r="DL15" i="27"/>
  <c r="DL16" i="27"/>
  <c r="DL17" i="27"/>
  <c r="DL18" i="27"/>
  <c r="DL19" i="27"/>
  <c r="DL20" i="27"/>
  <c r="DL21" i="27"/>
  <c r="DL22" i="27"/>
  <c r="DL4" i="27"/>
  <c r="DH4" i="27"/>
  <c r="AE74" i="25"/>
  <c r="AE75" i="25"/>
  <c r="AE76" i="25"/>
  <c r="AE77" i="25"/>
  <c r="AE78" i="25"/>
  <c r="AE79" i="25"/>
  <c r="AE80" i="25"/>
  <c r="AE81" i="25"/>
  <c r="AE82" i="25"/>
  <c r="AE83" i="25"/>
  <c r="AE84" i="25"/>
  <c r="AE85" i="25"/>
  <c r="AE86" i="25"/>
  <c r="AE87" i="25"/>
  <c r="AE88" i="25"/>
  <c r="AE89" i="25"/>
  <c r="AE90" i="25"/>
  <c r="AE92" i="25"/>
  <c r="AE73" i="25"/>
  <c r="ER32" i="32" l="1"/>
  <c r="EQ32" i="32"/>
  <c r="ET4" i="32"/>
  <c r="CD94" i="29"/>
  <c r="AN114" i="29"/>
  <c r="AO94" i="29"/>
  <c r="AN94" i="29"/>
  <c r="AG92" i="25"/>
  <c r="AH92" i="25" s="1"/>
  <c r="AB90" i="25"/>
  <c r="AB89" i="25"/>
  <c r="AB88" i="25"/>
  <c r="AB87" i="25"/>
  <c r="AB86" i="25"/>
  <c r="AB85" i="25"/>
  <c r="AB84" i="25"/>
  <c r="AB83" i="25"/>
  <c r="AB82" i="25"/>
  <c r="AB81" i="25"/>
  <c r="AB80" i="25"/>
  <c r="AB79" i="25"/>
  <c r="AB78" i="25"/>
  <c r="AB77" i="25"/>
  <c r="AB76" i="25"/>
  <c r="AB75" i="25"/>
  <c r="AB74" i="25"/>
  <c r="AB73" i="25"/>
  <c r="Z92" i="25"/>
  <c r="Y90" i="25"/>
  <c r="Y89" i="25"/>
  <c r="Y88" i="25"/>
  <c r="Y87" i="25"/>
  <c r="Y86" i="25"/>
  <c r="Y85" i="25"/>
  <c r="Y84" i="25"/>
  <c r="Y83" i="25"/>
  <c r="Y82" i="25"/>
  <c r="Y81" i="25"/>
  <c r="Y80" i="25"/>
  <c r="Y79" i="25"/>
  <c r="Y78" i="25"/>
  <c r="Y77" i="25"/>
  <c r="Y76" i="25"/>
  <c r="Y75" i="25"/>
  <c r="Y74" i="25"/>
  <c r="Y73" i="25"/>
  <c r="V90" i="25"/>
  <c r="V89" i="25"/>
  <c r="V88" i="25"/>
  <c r="V87" i="25"/>
  <c r="V86" i="25"/>
  <c r="V85" i="25"/>
  <c r="V84" i="25"/>
  <c r="V83" i="25"/>
  <c r="V82" i="25"/>
  <c r="V81" i="25"/>
  <c r="V80" i="25"/>
  <c r="V79" i="25"/>
  <c r="V78" i="25"/>
  <c r="V77" i="25"/>
  <c r="V76" i="25"/>
  <c r="V75" i="25"/>
  <c r="V74" i="25"/>
  <c r="V73" i="25"/>
  <c r="S90" i="25"/>
  <c r="S89" i="25"/>
  <c r="S88" i="25"/>
  <c r="S87" i="25"/>
  <c r="S86" i="25"/>
  <c r="S85" i="25"/>
  <c r="S84" i="25"/>
  <c r="S83" i="25"/>
  <c r="S82" i="25"/>
  <c r="S81" i="25"/>
  <c r="S80" i="25"/>
  <c r="S79" i="25"/>
  <c r="S78" i="25"/>
  <c r="S77" i="25"/>
  <c r="S76" i="25"/>
  <c r="S75" i="25"/>
  <c r="S74" i="25"/>
  <c r="S73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M91" i="25"/>
  <c r="M90" i="25"/>
  <c r="M89" i="25"/>
  <c r="M88" i="25"/>
  <c r="M87" i="25"/>
  <c r="M86" i="25"/>
  <c r="M85" i="25"/>
  <c r="M84" i="25"/>
  <c r="M83" i="25"/>
  <c r="M82" i="25"/>
  <c r="M81" i="25"/>
  <c r="M80" i="25"/>
  <c r="M79" i="25"/>
  <c r="M78" i="25"/>
  <c r="M77" i="25"/>
  <c r="M76" i="25"/>
  <c r="M75" i="25"/>
  <c r="M74" i="25"/>
  <c r="M73" i="25"/>
  <c r="J91" i="25"/>
  <c r="J90" i="25"/>
  <c r="J89" i="25"/>
  <c r="J88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G91" i="25"/>
  <c r="G90" i="25"/>
  <c r="G89" i="25"/>
  <c r="G88" i="25"/>
  <c r="G87" i="25"/>
  <c r="G86" i="25"/>
  <c r="G85" i="25"/>
  <c r="G84" i="25"/>
  <c r="G83" i="25"/>
  <c r="G82" i="25"/>
  <c r="G81" i="25"/>
  <c r="G80" i="25"/>
  <c r="G79" i="25"/>
  <c r="G78" i="25"/>
  <c r="G77" i="25"/>
  <c r="G76" i="25"/>
  <c r="G75" i="25"/>
  <c r="G74" i="25"/>
  <c r="G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73" i="25"/>
  <c r="DG23" i="27"/>
  <c r="DH23" i="27"/>
  <c r="DI23" i="27"/>
  <c r="DJ23" i="27"/>
  <c r="DK23" i="27"/>
  <c r="DL23" i="27"/>
  <c r="DM23" i="27"/>
  <c r="DN23" i="27"/>
  <c r="DO23" i="27"/>
  <c r="DP23" i="27"/>
  <c r="DQ23" i="27"/>
  <c r="DF23" i="27"/>
  <c r="DS23" i="27"/>
  <c r="DT23" i="27"/>
  <c r="DU23" i="27"/>
  <c r="DV23" i="27"/>
  <c r="DW23" i="27"/>
  <c r="DX23" i="27"/>
  <c r="DY23" i="27"/>
  <c r="DZ23" i="27"/>
  <c r="EA23" i="27"/>
  <c r="EB23" i="27"/>
  <c r="EC23" i="27"/>
  <c r="ED23" i="27"/>
  <c r="EE23" i="27"/>
  <c r="EF23" i="27"/>
  <c r="EG23" i="27"/>
  <c r="EH23" i="27"/>
  <c r="EI23" i="27"/>
  <c r="EJ23" i="27"/>
  <c r="EK23" i="27"/>
  <c r="EL23" i="27"/>
  <c r="EM23" i="27"/>
  <c r="EN23" i="27"/>
  <c r="EO23" i="27"/>
  <c r="DR23" i="27"/>
  <c r="DB5" i="27"/>
  <c r="DC5" i="27"/>
  <c r="DE5" i="27"/>
  <c r="DB6" i="27"/>
  <c r="DC6" i="27"/>
  <c r="DE6" i="27"/>
  <c r="DB7" i="27"/>
  <c r="DC7" i="27"/>
  <c r="DE7" i="27"/>
  <c r="DB8" i="27"/>
  <c r="DC8" i="27"/>
  <c r="DE8" i="27"/>
  <c r="DB9" i="27"/>
  <c r="DC9" i="27"/>
  <c r="DE9" i="27"/>
  <c r="DB10" i="27"/>
  <c r="DC10" i="27"/>
  <c r="DE10" i="27"/>
  <c r="DB11" i="27"/>
  <c r="DC11" i="27"/>
  <c r="DE11" i="27"/>
  <c r="DB12" i="27"/>
  <c r="DC12" i="27"/>
  <c r="DE12" i="27"/>
  <c r="DB13" i="27"/>
  <c r="DC13" i="27"/>
  <c r="DE13" i="27"/>
  <c r="DB14" i="27"/>
  <c r="DC14" i="27"/>
  <c r="DE14" i="27"/>
  <c r="DB15" i="27"/>
  <c r="DC15" i="27"/>
  <c r="DE15" i="27"/>
  <c r="DB16" i="27"/>
  <c r="DC16" i="27"/>
  <c r="DE16" i="27"/>
  <c r="DB17" i="27"/>
  <c r="DC17" i="27"/>
  <c r="DE17" i="27"/>
  <c r="DB18" i="27"/>
  <c r="DC18" i="27"/>
  <c r="DE18" i="27"/>
  <c r="DB19" i="27"/>
  <c r="DC19" i="27"/>
  <c r="DE19" i="27"/>
  <c r="DB20" i="27"/>
  <c r="DC20" i="27"/>
  <c r="DE20" i="27"/>
  <c r="DB21" i="27"/>
  <c r="DC21" i="27"/>
  <c r="DE21" i="27"/>
  <c r="DB22" i="27"/>
  <c r="DC22" i="27"/>
  <c r="DE22" i="27"/>
  <c r="DE4" i="27"/>
  <c r="DC4" i="27"/>
  <c r="DB4" i="27"/>
  <c r="CZ5" i="27"/>
  <c r="CZ6" i="27"/>
  <c r="CZ7" i="27"/>
  <c r="CZ8" i="27"/>
  <c r="CZ9" i="27"/>
  <c r="CZ10" i="27"/>
  <c r="CZ11" i="27"/>
  <c r="CZ12" i="27"/>
  <c r="CZ13" i="27"/>
  <c r="CZ14" i="27"/>
  <c r="CZ15" i="27"/>
  <c r="CZ16" i="27"/>
  <c r="CZ17" i="27"/>
  <c r="CZ18" i="27"/>
  <c r="CZ19" i="27"/>
  <c r="CZ20" i="27"/>
  <c r="CZ21" i="27"/>
  <c r="CZ22" i="27"/>
  <c r="CZ4" i="27"/>
  <c r="CV5" i="27"/>
  <c r="CV6" i="27"/>
  <c r="CV7" i="27"/>
  <c r="CV8" i="27"/>
  <c r="CV9" i="27"/>
  <c r="CV10" i="27"/>
  <c r="CV11" i="27"/>
  <c r="CV12" i="27"/>
  <c r="CV13" i="27"/>
  <c r="CV14" i="27"/>
  <c r="CV15" i="27"/>
  <c r="CV16" i="27"/>
  <c r="CV17" i="27"/>
  <c r="CV18" i="27"/>
  <c r="CV19" i="27"/>
  <c r="CV20" i="27"/>
  <c r="CV21" i="27"/>
  <c r="CV22" i="27"/>
  <c r="CV4" i="27"/>
  <c r="CY23" i="27"/>
  <c r="CX23" i="27"/>
  <c r="CU23" i="27"/>
  <c r="CT23" i="27"/>
  <c r="AA92" i="25" l="1"/>
  <c r="AB92" i="25" s="1"/>
  <c r="DD5" i="27"/>
  <c r="DD4" i="27"/>
  <c r="DD18" i="27"/>
  <c r="DD10" i="27"/>
  <c r="DD22" i="27"/>
  <c r="DD14" i="27"/>
  <c r="DD6" i="27"/>
  <c r="DD16" i="27"/>
  <c r="DD8" i="27"/>
  <c r="DD12" i="27"/>
  <c r="DE23" i="27"/>
  <c r="CZ23" i="27"/>
  <c r="DD17" i="27"/>
  <c r="DD9" i="27"/>
  <c r="DD20" i="27"/>
  <c r="CV23" i="27"/>
  <c r="DD19" i="27"/>
  <c r="DD11" i="27"/>
  <c r="DD15" i="27"/>
  <c r="DC23" i="27"/>
  <c r="DD7" i="27"/>
  <c r="DD21" i="27"/>
  <c r="DD13" i="27"/>
  <c r="DB23" i="27"/>
  <c r="DA23" i="27"/>
  <c r="CW23" i="27"/>
  <c r="CP5" i="27"/>
  <c r="CQ5" i="27"/>
  <c r="CS5" i="27"/>
  <c r="CP6" i="27"/>
  <c r="CQ6" i="27"/>
  <c r="CS6" i="27"/>
  <c r="CP7" i="27"/>
  <c r="CQ7" i="27"/>
  <c r="CS7" i="27"/>
  <c r="CP8" i="27"/>
  <c r="CQ8" i="27"/>
  <c r="CS8" i="27"/>
  <c r="CP9" i="27"/>
  <c r="CQ9" i="27"/>
  <c r="CS9" i="27"/>
  <c r="CP10" i="27"/>
  <c r="CQ10" i="27"/>
  <c r="CS10" i="27"/>
  <c r="CP11" i="27"/>
  <c r="CQ11" i="27"/>
  <c r="CS11" i="27"/>
  <c r="CP12" i="27"/>
  <c r="CQ12" i="27"/>
  <c r="CS12" i="27"/>
  <c r="CP13" i="27"/>
  <c r="CQ13" i="27"/>
  <c r="CS13" i="27"/>
  <c r="CP14" i="27"/>
  <c r="CQ14" i="27"/>
  <c r="CS14" i="27"/>
  <c r="CP15" i="27"/>
  <c r="CQ15" i="27"/>
  <c r="CS15" i="27"/>
  <c r="CP16" i="27"/>
  <c r="CQ16" i="27"/>
  <c r="CS16" i="27"/>
  <c r="CP17" i="27"/>
  <c r="CQ17" i="27"/>
  <c r="CS17" i="27"/>
  <c r="CP18" i="27"/>
  <c r="CQ18" i="27"/>
  <c r="CS18" i="27"/>
  <c r="CP19" i="27"/>
  <c r="CQ19" i="27"/>
  <c r="CS19" i="27"/>
  <c r="CP20" i="27"/>
  <c r="CQ20" i="27"/>
  <c r="CS20" i="27"/>
  <c r="CP21" i="27"/>
  <c r="CQ21" i="27"/>
  <c r="CS21" i="27"/>
  <c r="CP22" i="27"/>
  <c r="CQ22" i="27"/>
  <c r="CS22" i="27"/>
  <c r="CS4" i="27"/>
  <c r="CQ4" i="27"/>
  <c r="CP4" i="27"/>
  <c r="CO23" i="27"/>
  <c r="CN5" i="27"/>
  <c r="CN6" i="27"/>
  <c r="CN7" i="27"/>
  <c r="CN8" i="27"/>
  <c r="CN9" i="27"/>
  <c r="CN10" i="27"/>
  <c r="CN11" i="27"/>
  <c r="CN12" i="27"/>
  <c r="CN13" i="27"/>
  <c r="CN14" i="27"/>
  <c r="CN15" i="27"/>
  <c r="CN16" i="27"/>
  <c r="CN17" i="27"/>
  <c r="CN18" i="27"/>
  <c r="CN19" i="27"/>
  <c r="CN20" i="27"/>
  <c r="CN21" i="27"/>
  <c r="CN22" i="27"/>
  <c r="CN4" i="27"/>
  <c r="CM23" i="27"/>
  <c r="CJ5" i="27"/>
  <c r="CJ6" i="27"/>
  <c r="CJ7" i="27"/>
  <c r="CJ8" i="27"/>
  <c r="CJ9" i="27"/>
  <c r="CJ10" i="27"/>
  <c r="CJ11" i="27"/>
  <c r="CJ12" i="27"/>
  <c r="CJ13" i="27"/>
  <c r="CJ14" i="27"/>
  <c r="CJ15" i="27"/>
  <c r="CJ16" i="27"/>
  <c r="CJ17" i="27"/>
  <c r="CJ18" i="27"/>
  <c r="CJ19" i="27"/>
  <c r="CJ20" i="27"/>
  <c r="CJ21" i="27"/>
  <c r="CJ22" i="27"/>
  <c r="CJ4" i="27"/>
  <c r="CI23" i="27"/>
  <c r="CL23" i="27"/>
  <c r="CH23" i="27"/>
  <c r="CD5" i="27"/>
  <c r="CE5" i="27"/>
  <c r="CG5" i="27"/>
  <c r="CD6" i="27"/>
  <c r="CE6" i="27"/>
  <c r="CG6" i="27"/>
  <c r="CD7" i="27"/>
  <c r="CE7" i="27"/>
  <c r="CG7" i="27"/>
  <c r="CD8" i="27"/>
  <c r="CE8" i="27"/>
  <c r="CG8" i="27"/>
  <c r="CD9" i="27"/>
  <c r="CE9" i="27"/>
  <c r="CG9" i="27"/>
  <c r="CD10" i="27"/>
  <c r="CE10" i="27"/>
  <c r="CG10" i="27"/>
  <c r="CD11" i="27"/>
  <c r="CE11" i="27"/>
  <c r="CG11" i="27"/>
  <c r="CD12" i="27"/>
  <c r="CE12" i="27"/>
  <c r="CG12" i="27"/>
  <c r="CD13" i="27"/>
  <c r="CE13" i="27"/>
  <c r="CG13" i="27"/>
  <c r="CD14" i="27"/>
  <c r="CE14" i="27"/>
  <c r="CG14" i="27"/>
  <c r="CD15" i="27"/>
  <c r="CE15" i="27"/>
  <c r="CG15" i="27"/>
  <c r="CD16" i="27"/>
  <c r="CE16" i="27"/>
  <c r="CG16" i="27"/>
  <c r="CD17" i="27"/>
  <c r="CE17" i="27"/>
  <c r="CG17" i="27"/>
  <c r="CD18" i="27"/>
  <c r="CE18" i="27"/>
  <c r="CG18" i="27"/>
  <c r="CD19" i="27"/>
  <c r="CE19" i="27"/>
  <c r="CG19" i="27"/>
  <c r="CD20" i="27"/>
  <c r="CE20" i="27"/>
  <c r="CG20" i="27"/>
  <c r="CD21" i="27"/>
  <c r="CE21" i="27"/>
  <c r="CG21" i="27"/>
  <c r="CD22" i="27"/>
  <c r="CE22" i="27"/>
  <c r="CG22" i="27"/>
  <c r="CE4" i="27"/>
  <c r="CG4" i="27"/>
  <c r="CD4" i="27"/>
  <c r="CC23" i="27"/>
  <c r="CB5" i="27"/>
  <c r="CB6" i="27"/>
  <c r="CB7" i="27"/>
  <c r="CB8" i="27"/>
  <c r="CB9" i="27"/>
  <c r="CB10" i="27"/>
  <c r="CB11" i="27"/>
  <c r="CB12" i="27"/>
  <c r="CB13" i="27"/>
  <c r="CB14" i="27"/>
  <c r="CB15" i="27"/>
  <c r="CB16" i="27"/>
  <c r="CB17" i="27"/>
  <c r="CB18" i="27"/>
  <c r="CB19" i="27"/>
  <c r="CB20" i="27"/>
  <c r="CB21" i="27"/>
  <c r="CB22" i="27"/>
  <c r="CB4" i="27"/>
  <c r="CA23" i="27"/>
  <c r="BX5" i="27"/>
  <c r="BX6" i="27"/>
  <c r="BX7" i="27"/>
  <c r="BW23" i="27"/>
  <c r="BX8" i="27"/>
  <c r="BX9" i="27"/>
  <c r="BX10" i="27"/>
  <c r="BX11" i="27"/>
  <c r="BX12" i="27"/>
  <c r="BX13" i="27"/>
  <c r="BX14" i="27"/>
  <c r="BX15" i="27"/>
  <c r="BX16" i="27"/>
  <c r="BX17" i="27"/>
  <c r="BX18" i="27"/>
  <c r="BX19" i="27"/>
  <c r="BX20" i="27"/>
  <c r="BX21" i="27"/>
  <c r="BX22" i="27"/>
  <c r="BX4" i="27"/>
  <c r="BS4" i="27"/>
  <c r="BU4" i="27"/>
  <c r="BR5" i="27"/>
  <c r="BS5" i="27"/>
  <c r="BU5" i="27"/>
  <c r="BR6" i="27"/>
  <c r="BS6" i="27"/>
  <c r="BU6" i="27"/>
  <c r="BR7" i="27"/>
  <c r="BS7" i="27"/>
  <c r="BU7" i="27"/>
  <c r="BR8" i="27"/>
  <c r="BS8" i="27"/>
  <c r="BU8" i="27"/>
  <c r="BR9" i="27"/>
  <c r="BS9" i="27"/>
  <c r="BU9" i="27"/>
  <c r="BR10" i="27"/>
  <c r="BS10" i="27"/>
  <c r="BU10" i="27"/>
  <c r="BR11" i="27"/>
  <c r="BS11" i="27"/>
  <c r="BU11" i="27"/>
  <c r="BR12" i="27"/>
  <c r="BS12" i="27"/>
  <c r="BU12" i="27"/>
  <c r="BR13" i="27"/>
  <c r="BS13" i="27"/>
  <c r="BU13" i="27"/>
  <c r="BR14" i="27"/>
  <c r="BS14" i="27"/>
  <c r="BU14" i="27"/>
  <c r="BR15" i="27"/>
  <c r="BS15" i="27"/>
  <c r="BU15" i="27"/>
  <c r="BR16" i="27"/>
  <c r="BS16" i="27"/>
  <c r="BU16" i="27"/>
  <c r="BR17" i="27"/>
  <c r="BS17" i="27"/>
  <c r="BU17" i="27"/>
  <c r="BR18" i="27"/>
  <c r="BS18" i="27"/>
  <c r="BU18" i="27"/>
  <c r="BR19" i="27"/>
  <c r="BS19" i="27"/>
  <c r="BU19" i="27"/>
  <c r="BR20" i="27"/>
  <c r="BS20" i="27"/>
  <c r="BU20" i="27"/>
  <c r="BR21" i="27"/>
  <c r="BS21" i="27"/>
  <c r="BU21" i="27"/>
  <c r="BR22" i="27"/>
  <c r="BS22" i="27"/>
  <c r="BU22" i="27"/>
  <c r="BR4" i="27"/>
  <c r="BP5" i="27"/>
  <c r="BP6" i="27"/>
  <c r="BP7" i="27"/>
  <c r="BP8" i="27"/>
  <c r="BP9" i="27"/>
  <c r="BO23" i="27"/>
  <c r="BP10" i="27"/>
  <c r="BP11" i="27"/>
  <c r="BP12" i="27"/>
  <c r="BP13" i="27"/>
  <c r="BP14" i="27"/>
  <c r="BP15" i="27"/>
  <c r="BP16" i="27"/>
  <c r="BP17" i="27"/>
  <c r="BP18" i="27"/>
  <c r="BP19" i="27"/>
  <c r="BP20" i="27"/>
  <c r="BP21" i="27"/>
  <c r="BP22" i="27"/>
  <c r="BP4" i="27"/>
  <c r="BJ23" i="27"/>
  <c r="BK23" i="27"/>
  <c r="BL5" i="27"/>
  <c r="BL6" i="27"/>
  <c r="BL7" i="27"/>
  <c r="BL8" i="27"/>
  <c r="BL9" i="27"/>
  <c r="BL10" i="27"/>
  <c r="BL11" i="27"/>
  <c r="BL12" i="27"/>
  <c r="BL13" i="27"/>
  <c r="BL14" i="27"/>
  <c r="BL15" i="27"/>
  <c r="BL16" i="27"/>
  <c r="BL17" i="27"/>
  <c r="BL18" i="27"/>
  <c r="BL19" i="27"/>
  <c r="BL20" i="27"/>
  <c r="BL21" i="27"/>
  <c r="BL22" i="27"/>
  <c r="BL4" i="27"/>
  <c r="BE19" i="27"/>
  <c r="BI19" i="27" s="1"/>
  <c r="BD23" i="27"/>
  <c r="BC23" i="27"/>
  <c r="BB23" i="27"/>
  <c r="BA23" i="27"/>
  <c r="AZ23" i="27"/>
  <c r="AY23" i="27"/>
  <c r="AX23" i="27"/>
  <c r="AS23" i="27"/>
  <c r="AR23" i="27"/>
  <c r="AQ23" i="27"/>
  <c r="AP23" i="27"/>
  <c r="AO23" i="27"/>
  <c r="AN23" i="27"/>
  <c r="AM23" i="27"/>
  <c r="AL23" i="27"/>
  <c r="AG23" i="27"/>
  <c r="AF23" i="27"/>
  <c r="AE23" i="27"/>
  <c r="AD23" i="27"/>
  <c r="U23" i="27"/>
  <c r="T23" i="27"/>
  <c r="S23" i="27"/>
  <c r="R23" i="27"/>
  <c r="Q23" i="27"/>
  <c r="P23" i="27"/>
  <c r="O23" i="27"/>
  <c r="N23" i="27"/>
  <c r="I23" i="27"/>
  <c r="H23" i="27"/>
  <c r="G23" i="27"/>
  <c r="F23" i="27"/>
  <c r="E23" i="27"/>
  <c r="D23" i="27"/>
  <c r="C23" i="27"/>
  <c r="B23" i="27"/>
  <c r="BI22" i="27"/>
  <c r="BH22" i="27"/>
  <c r="BG22" i="27"/>
  <c r="BF22" i="27"/>
  <c r="AW22" i="27"/>
  <c r="AV22" i="27"/>
  <c r="AU22" i="27"/>
  <c r="AT22" i="27"/>
  <c r="Y22" i="27"/>
  <c r="AC22" i="27" s="1"/>
  <c r="X22" i="27"/>
  <c r="AB22" i="27" s="1"/>
  <c r="W22" i="27"/>
  <c r="AA22" i="27" s="1"/>
  <c r="V22" i="27"/>
  <c r="Z22" i="27" s="1"/>
  <c r="M22" i="27"/>
  <c r="L22" i="27"/>
  <c r="K22" i="27"/>
  <c r="J22" i="27"/>
  <c r="BI21" i="27"/>
  <c r="BH21" i="27"/>
  <c r="BG21" i="27"/>
  <c r="BF21" i="27"/>
  <c r="AW21" i="27"/>
  <c r="AV21" i="27"/>
  <c r="AU21" i="27"/>
  <c r="AT21" i="27"/>
  <c r="AK21" i="27"/>
  <c r="AJ21" i="27"/>
  <c r="AI21" i="27"/>
  <c r="AH21" i="27"/>
  <c r="Y21" i="27"/>
  <c r="X21" i="27"/>
  <c r="W21" i="27"/>
  <c r="V21" i="27"/>
  <c r="M21" i="27"/>
  <c r="L21" i="27"/>
  <c r="K21" i="27"/>
  <c r="J21" i="27"/>
  <c r="BI20" i="27"/>
  <c r="BH20" i="27"/>
  <c r="BG20" i="27"/>
  <c r="BF20" i="27"/>
  <c r="AW20" i="27"/>
  <c r="AV20" i="27"/>
  <c r="AU20" i="27"/>
  <c r="AT20" i="27"/>
  <c r="AK20" i="27"/>
  <c r="AJ20" i="27"/>
  <c r="AI20" i="27"/>
  <c r="AH20" i="27"/>
  <c r="Y20" i="27"/>
  <c r="X20" i="27"/>
  <c r="W20" i="27"/>
  <c r="V20" i="27"/>
  <c r="M20" i="27"/>
  <c r="L20" i="27"/>
  <c r="K20" i="27"/>
  <c r="J20" i="27"/>
  <c r="BH19" i="27"/>
  <c r="BG19" i="27"/>
  <c r="BF19" i="27"/>
  <c r="AW19" i="27"/>
  <c r="AV19" i="27"/>
  <c r="AU19" i="27"/>
  <c r="AT19" i="27"/>
  <c r="AK19" i="27"/>
  <c r="AJ19" i="27"/>
  <c r="AI19" i="27"/>
  <c r="AH19" i="27"/>
  <c r="Y19" i="27"/>
  <c r="X19" i="27"/>
  <c r="W19" i="27"/>
  <c r="V19" i="27"/>
  <c r="M19" i="27"/>
  <c r="L19" i="27"/>
  <c r="K19" i="27"/>
  <c r="J19" i="27"/>
  <c r="BI18" i="27"/>
  <c r="BH18" i="27"/>
  <c r="BG18" i="27"/>
  <c r="BF18" i="27"/>
  <c r="AW18" i="27"/>
  <c r="AV18" i="27"/>
  <c r="AU18" i="27"/>
  <c r="AT18" i="27"/>
  <c r="AK18" i="27"/>
  <c r="AJ18" i="27"/>
  <c r="AI18" i="27"/>
  <c r="AH18" i="27"/>
  <c r="Y18" i="27"/>
  <c r="X18" i="27"/>
  <c r="W18" i="27"/>
  <c r="V18" i="27"/>
  <c r="M18" i="27"/>
  <c r="L18" i="27"/>
  <c r="K18" i="27"/>
  <c r="J18" i="27"/>
  <c r="BI17" i="27"/>
  <c r="BH17" i="27"/>
  <c r="BG17" i="27"/>
  <c r="BF17" i="27"/>
  <c r="AW17" i="27"/>
  <c r="AV17" i="27"/>
  <c r="AU17" i="27"/>
  <c r="AT17" i="27"/>
  <c r="AK17" i="27"/>
  <c r="AJ17" i="27"/>
  <c r="AI17" i="27"/>
  <c r="AH17" i="27"/>
  <c r="Y17" i="27"/>
  <c r="X17" i="27"/>
  <c r="W17" i="27"/>
  <c r="V17" i="27"/>
  <c r="M17" i="27"/>
  <c r="L17" i="27"/>
  <c r="K17" i="27"/>
  <c r="J17" i="27"/>
  <c r="BI16" i="27"/>
  <c r="BH16" i="27"/>
  <c r="BG16" i="27"/>
  <c r="BF16" i="27"/>
  <c r="AW16" i="27"/>
  <c r="AV16" i="27"/>
  <c r="AU16" i="27"/>
  <c r="AT16" i="27"/>
  <c r="AK16" i="27"/>
  <c r="AJ16" i="27"/>
  <c r="AI16" i="27"/>
  <c r="AH16" i="27"/>
  <c r="Y16" i="27"/>
  <c r="X16" i="27"/>
  <c r="W16" i="27"/>
  <c r="V16" i="27"/>
  <c r="M16" i="27"/>
  <c r="L16" i="27"/>
  <c r="K16" i="27"/>
  <c r="J16" i="27"/>
  <c r="BI15" i="27"/>
  <c r="BH15" i="27"/>
  <c r="BG15" i="27"/>
  <c r="BF15" i="27"/>
  <c r="AW15" i="27"/>
  <c r="AV15" i="27"/>
  <c r="AU15" i="27"/>
  <c r="AT15" i="27"/>
  <c r="AK15" i="27"/>
  <c r="AJ15" i="27"/>
  <c r="AI15" i="27"/>
  <c r="AH15" i="27"/>
  <c r="Y15" i="27"/>
  <c r="X15" i="27"/>
  <c r="W15" i="27"/>
  <c r="V15" i="27"/>
  <c r="M15" i="27"/>
  <c r="L15" i="27"/>
  <c r="K15" i="27"/>
  <c r="J15" i="27"/>
  <c r="BI14" i="27"/>
  <c r="BH14" i="27"/>
  <c r="BG14" i="27"/>
  <c r="BF14" i="27"/>
  <c r="AW14" i="27"/>
  <c r="AV14" i="27"/>
  <c r="AU14" i="27"/>
  <c r="AT14" i="27"/>
  <c r="AK14" i="27"/>
  <c r="AJ14" i="27"/>
  <c r="AI14" i="27"/>
  <c r="AH14" i="27"/>
  <c r="Y14" i="27"/>
  <c r="X14" i="27"/>
  <c r="W14" i="27"/>
  <c r="V14" i="27"/>
  <c r="M14" i="27"/>
  <c r="L14" i="27"/>
  <c r="K14" i="27"/>
  <c r="J14" i="27"/>
  <c r="BI13" i="27"/>
  <c r="BH13" i="27"/>
  <c r="BG13" i="27"/>
  <c r="BF13" i="27"/>
  <c r="AW13" i="27"/>
  <c r="AV13" i="27"/>
  <c r="AU13" i="27"/>
  <c r="AT13" i="27"/>
  <c r="AK13" i="27"/>
  <c r="AJ13" i="27"/>
  <c r="AI13" i="27"/>
  <c r="AH13" i="27"/>
  <c r="Y13" i="27"/>
  <c r="X13" i="27"/>
  <c r="W13" i="27"/>
  <c r="V13" i="27"/>
  <c r="M13" i="27"/>
  <c r="L13" i="27"/>
  <c r="K13" i="27"/>
  <c r="J13" i="27"/>
  <c r="BI12" i="27"/>
  <c r="BH12" i="27"/>
  <c r="BG12" i="27"/>
  <c r="BF12" i="27"/>
  <c r="AW12" i="27"/>
  <c r="AV12" i="27"/>
  <c r="AU12" i="27"/>
  <c r="AT12" i="27"/>
  <c r="AK12" i="27"/>
  <c r="AJ12" i="27"/>
  <c r="AI12" i="27"/>
  <c r="AH12" i="27"/>
  <c r="Y12" i="27"/>
  <c r="X12" i="27"/>
  <c r="W12" i="27"/>
  <c r="V12" i="27"/>
  <c r="M12" i="27"/>
  <c r="L12" i="27"/>
  <c r="K12" i="27"/>
  <c r="J12" i="27"/>
  <c r="BI11" i="27"/>
  <c r="BH11" i="27"/>
  <c r="BG11" i="27"/>
  <c r="BF11" i="27"/>
  <c r="AW11" i="27"/>
  <c r="AV11" i="27"/>
  <c r="AU11" i="27"/>
  <c r="AT11" i="27"/>
  <c r="AK11" i="27"/>
  <c r="AJ11" i="27"/>
  <c r="AI11" i="27"/>
  <c r="AH11" i="27"/>
  <c r="Y11" i="27"/>
  <c r="X11" i="27"/>
  <c r="W11" i="27"/>
  <c r="V11" i="27"/>
  <c r="M11" i="27"/>
  <c r="L11" i="27"/>
  <c r="K11" i="27"/>
  <c r="J11" i="27"/>
  <c r="BI10" i="27"/>
  <c r="BH10" i="27"/>
  <c r="BG10" i="27"/>
  <c r="BF10" i="27"/>
  <c r="AW10" i="27"/>
  <c r="AV10" i="27"/>
  <c r="AU10" i="27"/>
  <c r="AT10" i="27"/>
  <c r="AK10" i="27"/>
  <c r="AJ10" i="27"/>
  <c r="AI10" i="27"/>
  <c r="AH10" i="27"/>
  <c r="Y10" i="27"/>
  <c r="X10" i="27"/>
  <c r="W10" i="27"/>
  <c r="V10" i="27"/>
  <c r="M10" i="27"/>
  <c r="L10" i="27"/>
  <c r="K10" i="27"/>
  <c r="J10" i="27"/>
  <c r="BI9" i="27"/>
  <c r="BH9" i="27"/>
  <c r="BG9" i="27"/>
  <c r="BF9" i="27"/>
  <c r="AW9" i="27"/>
  <c r="AV9" i="27"/>
  <c r="AU9" i="27"/>
  <c r="AT9" i="27"/>
  <c r="AK9" i="27"/>
  <c r="AJ9" i="27"/>
  <c r="AI9" i="27"/>
  <c r="AH9" i="27"/>
  <c r="Y9" i="27"/>
  <c r="X9" i="27"/>
  <c r="W9" i="27"/>
  <c r="V9" i="27"/>
  <c r="M9" i="27"/>
  <c r="L9" i="27"/>
  <c r="K9" i="27"/>
  <c r="J9" i="27"/>
  <c r="BI8" i="27"/>
  <c r="BH8" i="27"/>
  <c r="BG8" i="27"/>
  <c r="BF8" i="27"/>
  <c r="AW8" i="27"/>
  <c r="AV8" i="27"/>
  <c r="AU8" i="27"/>
  <c r="AT8" i="27"/>
  <c r="AK8" i="27"/>
  <c r="AJ8" i="27"/>
  <c r="AI8" i="27"/>
  <c r="AH8" i="27"/>
  <c r="Y8" i="27"/>
  <c r="X8" i="27"/>
  <c r="W8" i="27"/>
  <c r="V8" i="27"/>
  <c r="M8" i="27"/>
  <c r="L8" i="27"/>
  <c r="K8" i="27"/>
  <c r="J8" i="27"/>
  <c r="BI7" i="27"/>
  <c r="BH7" i="27"/>
  <c r="BG7" i="27"/>
  <c r="BF7" i="27"/>
  <c r="AW7" i="27"/>
  <c r="AV7" i="27"/>
  <c r="AU7" i="27"/>
  <c r="AT7" i="27"/>
  <c r="AK7" i="27"/>
  <c r="AJ7" i="27"/>
  <c r="AI7" i="27"/>
  <c r="AH7" i="27"/>
  <c r="Y7" i="27"/>
  <c r="X7" i="27"/>
  <c r="W7" i="27"/>
  <c r="V7" i="27"/>
  <c r="M7" i="27"/>
  <c r="L7" i="27"/>
  <c r="K7" i="27"/>
  <c r="J7" i="27"/>
  <c r="BI6" i="27"/>
  <c r="BH6" i="27"/>
  <c r="BG6" i="27"/>
  <c r="BF6" i="27"/>
  <c r="AW6" i="27"/>
  <c r="AV6" i="27"/>
  <c r="AU6" i="27"/>
  <c r="AT6" i="27"/>
  <c r="AK6" i="27"/>
  <c r="AJ6" i="27"/>
  <c r="AI6" i="27"/>
  <c r="AH6" i="27"/>
  <c r="Y6" i="27"/>
  <c r="X6" i="27"/>
  <c r="W6" i="27"/>
  <c r="V6" i="27"/>
  <c r="M6" i="27"/>
  <c r="L6" i="27"/>
  <c r="K6" i="27"/>
  <c r="J6" i="27"/>
  <c r="BI5" i="27"/>
  <c r="BH5" i="27"/>
  <c r="BG5" i="27"/>
  <c r="BF5" i="27"/>
  <c r="AW5" i="27"/>
  <c r="AV5" i="27"/>
  <c r="AU5" i="27"/>
  <c r="AT5" i="27"/>
  <c r="AK5" i="27"/>
  <c r="AJ5" i="27"/>
  <c r="AI5" i="27"/>
  <c r="AH5" i="27"/>
  <c r="Y5" i="27"/>
  <c r="X5" i="27"/>
  <c r="W5" i="27"/>
  <c r="V5" i="27"/>
  <c r="M5" i="27"/>
  <c r="L5" i="27"/>
  <c r="K5" i="27"/>
  <c r="J5" i="27"/>
  <c r="BI4" i="27"/>
  <c r="BH4" i="27"/>
  <c r="BG4" i="27"/>
  <c r="BF4" i="27"/>
  <c r="AW4" i="27"/>
  <c r="AV4" i="27"/>
  <c r="AU4" i="27"/>
  <c r="AT4" i="27"/>
  <c r="AK4" i="27"/>
  <c r="AJ4" i="27"/>
  <c r="AI4" i="27"/>
  <c r="AH4" i="27"/>
  <c r="Y4" i="27"/>
  <c r="X4" i="27"/>
  <c r="W4" i="27"/>
  <c r="V4" i="27"/>
  <c r="M4" i="27"/>
  <c r="L4" i="27"/>
  <c r="K4" i="27"/>
  <c r="J4" i="27"/>
  <c r="CR16" i="27" l="1"/>
  <c r="DD23" i="27"/>
  <c r="CR17" i="27"/>
  <c r="CR9" i="27"/>
  <c r="CS23" i="27"/>
  <c r="CF19" i="27"/>
  <c r="CF11" i="27"/>
  <c r="CR19" i="27"/>
  <c r="CR11" i="27"/>
  <c r="CR4" i="27"/>
  <c r="CR15" i="27"/>
  <c r="CR7" i="27"/>
  <c r="CR18" i="27"/>
  <c r="CR10" i="27"/>
  <c r="CR22" i="27"/>
  <c r="CR14" i="27"/>
  <c r="CR6" i="27"/>
  <c r="CP23" i="27"/>
  <c r="CR21" i="27"/>
  <c r="CR13" i="27"/>
  <c r="CR5" i="27"/>
  <c r="CR8" i="27"/>
  <c r="CR20" i="27"/>
  <c r="CR12" i="27"/>
  <c r="CQ23" i="27"/>
  <c r="CN23" i="27"/>
  <c r="CK23" i="27"/>
  <c r="CJ23" i="27"/>
  <c r="CF17" i="27"/>
  <c r="CF9" i="27"/>
  <c r="CF18" i="27"/>
  <c r="CF10" i="27"/>
  <c r="CF20" i="27"/>
  <c r="CF12" i="27"/>
  <c r="CF22" i="27"/>
  <c r="CF14" i="27"/>
  <c r="BT22" i="27"/>
  <c r="CF16" i="27"/>
  <c r="CF8" i="27"/>
  <c r="BT9" i="27"/>
  <c r="BT7" i="27"/>
  <c r="BT14" i="27"/>
  <c r="CF6" i="27"/>
  <c r="CF4" i="27"/>
  <c r="CF15" i="27"/>
  <c r="CF7" i="27"/>
  <c r="BT4" i="27"/>
  <c r="BT15" i="27"/>
  <c r="CF21" i="27"/>
  <c r="CF13" i="27"/>
  <c r="CF5" i="27"/>
  <c r="BT6" i="27"/>
  <c r="BL23" i="27"/>
  <c r="BT17" i="27"/>
  <c r="BY23" i="27"/>
  <c r="CB23" i="27"/>
  <c r="BZ23" i="27"/>
  <c r="BX23" i="27"/>
  <c r="BV23" i="27"/>
  <c r="BT20" i="27"/>
  <c r="BT18" i="27"/>
  <c r="BT16" i="27"/>
  <c r="BT12" i="27"/>
  <c r="BT10" i="27"/>
  <c r="BT8" i="27"/>
  <c r="K23" i="27"/>
  <c r="V23" i="27"/>
  <c r="BT21" i="27"/>
  <c r="BT19" i="27"/>
  <c r="BT13" i="27"/>
  <c r="BT11" i="27"/>
  <c r="BT5" i="27"/>
  <c r="CG23" i="27"/>
  <c r="BS23" i="27"/>
  <c r="CE23" i="27"/>
  <c r="CD23" i="27"/>
  <c r="BR23" i="27"/>
  <c r="BU23" i="27"/>
  <c r="BQ23" i="27"/>
  <c r="BM23" i="27"/>
  <c r="BN23" i="27"/>
  <c r="BP23" i="27"/>
  <c r="W23" i="27"/>
  <c r="BG23" i="27"/>
  <c r="X23" i="27"/>
  <c r="AV23" i="27"/>
  <c r="J23" i="27"/>
  <c r="L23" i="27"/>
  <c r="BF23" i="27"/>
  <c r="BH23" i="27"/>
  <c r="AT23" i="27"/>
  <c r="M23" i="27"/>
  <c r="BE23" i="27"/>
  <c r="BI23" i="27"/>
  <c r="Y23" i="27"/>
  <c r="AU23" i="27"/>
  <c r="AW23" i="27"/>
  <c r="AH22" i="27"/>
  <c r="AH23" i="27" s="1"/>
  <c r="Z23" i="27"/>
  <c r="AA23" i="27"/>
  <c r="AI22" i="27"/>
  <c r="AI23" i="27" s="1"/>
  <c r="AB23" i="27"/>
  <c r="AJ22" i="27"/>
  <c r="AJ23" i="27" s="1"/>
  <c r="AC23" i="27"/>
  <c r="AK22" i="27"/>
  <c r="AK23" i="27" s="1"/>
  <c r="I92" i="25"/>
  <c r="C92" i="25"/>
  <c r="E92" i="25"/>
  <c r="F92" i="25"/>
  <c r="H92" i="25"/>
  <c r="K92" i="25"/>
  <c r="L92" i="25"/>
  <c r="B92" i="25"/>
  <c r="D92" i="25" l="1"/>
  <c r="M92" i="25"/>
  <c r="G92" i="25"/>
  <c r="J92" i="25"/>
  <c r="CR23" i="27"/>
  <c r="CF23" i="27"/>
  <c r="BT23" i="27"/>
  <c r="BI83" i="25"/>
  <c r="BH83" i="25"/>
  <c r="AQ88" i="25"/>
  <c r="AR88" i="25"/>
  <c r="AS88" i="25"/>
  <c r="AT88" i="25"/>
  <c r="AU88" i="25"/>
  <c r="AV88" i="25"/>
  <c r="AW88" i="25"/>
  <c r="AX88" i="25"/>
  <c r="AY88" i="25"/>
  <c r="AZ88" i="25"/>
  <c r="BA88" i="25"/>
  <c r="BB88" i="25"/>
  <c r="BC88" i="25"/>
  <c r="BD88" i="25"/>
  <c r="BE88" i="25"/>
  <c r="BF88" i="25"/>
  <c r="BG88" i="25"/>
  <c r="BJ88" i="25"/>
  <c r="AP88" i="25"/>
  <c r="BI77" i="25"/>
  <c r="BK77" i="25" s="1"/>
  <c r="BI80" i="25"/>
  <c r="BK80" i="25" s="1"/>
  <c r="BI85" i="25"/>
  <c r="BK85" i="25" s="1"/>
  <c r="BH74" i="25"/>
  <c r="BH75" i="25"/>
  <c r="BH76" i="25"/>
  <c r="BH77" i="25"/>
  <c r="BH78" i="25"/>
  <c r="BH79" i="25"/>
  <c r="BH80" i="25"/>
  <c r="BH81" i="25"/>
  <c r="BH82" i="25"/>
  <c r="BH84" i="25"/>
  <c r="BH85" i="25"/>
  <c r="BH86" i="25"/>
  <c r="BH87" i="25"/>
  <c r="BH73" i="25"/>
  <c r="O91" i="25"/>
  <c r="N91" i="25"/>
  <c r="P91" i="25" l="1"/>
  <c r="Q91" i="25"/>
  <c r="O92" i="25"/>
  <c r="R91" i="25"/>
  <c r="N92" i="25"/>
  <c r="BH88" i="25"/>
  <c r="BI87" i="25"/>
  <c r="BK87" i="25" s="1"/>
  <c r="BI86" i="25"/>
  <c r="BK86" i="25" s="1"/>
  <c r="BI78" i="25"/>
  <c r="BK78" i="25" s="1"/>
  <c r="BK83" i="25"/>
  <c r="BI81" i="25"/>
  <c r="BK81" i="25" s="1"/>
  <c r="BI76" i="25"/>
  <c r="BK76" i="25" s="1"/>
  <c r="BI82" i="25"/>
  <c r="BK82" i="25" s="1"/>
  <c r="BI84" i="25"/>
  <c r="BK84" i="25" s="1"/>
  <c r="BI74" i="25"/>
  <c r="BK74" i="25" s="1"/>
  <c r="BI79" i="25"/>
  <c r="BK79" i="25" s="1"/>
  <c r="BI75" i="25"/>
  <c r="BK75" i="25" s="1"/>
  <c r="BI73" i="25"/>
  <c r="S91" i="25" l="1"/>
  <c r="P92" i="25"/>
  <c r="Q92" i="25"/>
  <c r="T91" i="25"/>
  <c r="R92" i="25"/>
  <c r="U91" i="25"/>
  <c r="BK73" i="25"/>
  <c r="BK88" i="25" s="1"/>
  <c r="BI88" i="25"/>
  <c r="S92" i="25" l="1"/>
  <c r="V91" i="25"/>
  <c r="U92" i="25"/>
  <c r="X91" i="25"/>
  <c r="AM91" i="25" s="1"/>
  <c r="T92" i="25"/>
  <c r="W91" i="25"/>
  <c r="AL91" i="25" s="1"/>
  <c r="BF4" i="20"/>
  <c r="BF5" i="20"/>
  <c r="BF6" i="20"/>
  <c r="BF7" i="20"/>
  <c r="BF8" i="20"/>
  <c r="BF9" i="20"/>
  <c r="BF10" i="20"/>
  <c r="BF11" i="20"/>
  <c r="BF12" i="20"/>
  <c r="BF13" i="20"/>
  <c r="BF14" i="20"/>
  <c r="BF15" i="20"/>
  <c r="BF16" i="20"/>
  <c r="BF17" i="20"/>
  <c r="BF19" i="20"/>
  <c r="BF20" i="20"/>
  <c r="BF21" i="20"/>
  <c r="BF23" i="20"/>
  <c r="BF24" i="20"/>
  <c r="BF25" i="20"/>
  <c r="BF26" i="20"/>
  <c r="BF27" i="20"/>
  <c r="BF28" i="20"/>
  <c r="BF29" i="20"/>
  <c r="BF30" i="20"/>
  <c r="BF31" i="20"/>
  <c r="BF33" i="20"/>
  <c r="BF34" i="20"/>
  <c r="BF35" i="20"/>
  <c r="BF36" i="20"/>
  <c r="BF3" i="20"/>
  <c r="BC4" i="20"/>
  <c r="BD4" i="20"/>
  <c r="BC5" i="20"/>
  <c r="BD5" i="20"/>
  <c r="BC6" i="20"/>
  <c r="BD6" i="20"/>
  <c r="BC7" i="20"/>
  <c r="BD7" i="20"/>
  <c r="BC8" i="20"/>
  <c r="BD8" i="20"/>
  <c r="BC9" i="20"/>
  <c r="BD9" i="20"/>
  <c r="BC10" i="20"/>
  <c r="BD10" i="20"/>
  <c r="BC11" i="20"/>
  <c r="BD11" i="20"/>
  <c r="BC12" i="20"/>
  <c r="BD12" i="20"/>
  <c r="BC13" i="20"/>
  <c r="BD13" i="20"/>
  <c r="BC14" i="20"/>
  <c r="BD14" i="20"/>
  <c r="BC15" i="20"/>
  <c r="BD15" i="20"/>
  <c r="BC16" i="20"/>
  <c r="BD16" i="20"/>
  <c r="BE16" i="20"/>
  <c r="BC17" i="20"/>
  <c r="BD17" i="20"/>
  <c r="BC18" i="20"/>
  <c r="BD18" i="20"/>
  <c r="BC19" i="20"/>
  <c r="BD19" i="20"/>
  <c r="BE19" i="20"/>
  <c r="BC20" i="20"/>
  <c r="BD20" i="20"/>
  <c r="BE20" i="20"/>
  <c r="BC21" i="20"/>
  <c r="BD21" i="20"/>
  <c r="BE21" i="20"/>
  <c r="BC22" i="20"/>
  <c r="BD22" i="20"/>
  <c r="BC23" i="20"/>
  <c r="BD23" i="20"/>
  <c r="BC24" i="20"/>
  <c r="BD24" i="20"/>
  <c r="BC25" i="20"/>
  <c r="BD25" i="20"/>
  <c r="BC26" i="20"/>
  <c r="BD26" i="20"/>
  <c r="BC27" i="20"/>
  <c r="BD27" i="20"/>
  <c r="BC28" i="20"/>
  <c r="BD28" i="20"/>
  <c r="BC29" i="20"/>
  <c r="BD29" i="20"/>
  <c r="BC30" i="20"/>
  <c r="BD30" i="20"/>
  <c r="BC31" i="20"/>
  <c r="BD31" i="20"/>
  <c r="BC32" i="20"/>
  <c r="BD32" i="20"/>
  <c r="BC33" i="20"/>
  <c r="BD33" i="20"/>
  <c r="BC34" i="20"/>
  <c r="BD34" i="20"/>
  <c r="BC35" i="20"/>
  <c r="BD35" i="20"/>
  <c r="BE35" i="20"/>
  <c r="BC36" i="20"/>
  <c r="BD36" i="20"/>
  <c r="BC37" i="20"/>
  <c r="BD37" i="20"/>
  <c r="BD3" i="20"/>
  <c r="BC3" i="20"/>
  <c r="Y91" i="25" l="1"/>
  <c r="V92" i="25"/>
  <c r="X92" i="25"/>
  <c r="AM92" i="25"/>
  <c r="W92" i="25"/>
  <c r="AL92" i="25"/>
  <c r="Y92" i="25" l="1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25" i="2"/>
  <c r="AN20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5" i="2"/>
  <c r="W18" i="6"/>
  <c r="T18" i="6"/>
  <c r="Q18" i="6"/>
  <c r="N18" i="6"/>
  <c r="K18" i="6"/>
  <c r="H18" i="6"/>
  <c r="F18" i="6"/>
  <c r="E18" i="6"/>
  <c r="C18" i="6"/>
  <c r="B18" i="6"/>
  <c r="AI17" i="6"/>
  <c r="AF17" i="6"/>
  <c r="AD17" i="6"/>
  <c r="AC17" i="6"/>
  <c r="Z17" i="6"/>
  <c r="AX24" i="20"/>
  <c r="AY24" i="20"/>
  <c r="BA24" i="20"/>
  <c r="AX25" i="20"/>
  <c r="AY25" i="20"/>
  <c r="BA25" i="20"/>
  <c r="AX26" i="20"/>
  <c r="AY26" i="20"/>
  <c r="BA26" i="20"/>
  <c r="AX27" i="20"/>
  <c r="AY27" i="20"/>
  <c r="BA27" i="20"/>
  <c r="AX28" i="20"/>
  <c r="AY28" i="20"/>
  <c r="BA28" i="20"/>
  <c r="AX29" i="20"/>
  <c r="AY29" i="20"/>
  <c r="BA29" i="20"/>
  <c r="AX30" i="20"/>
  <c r="AY30" i="20"/>
  <c r="BA30" i="20"/>
  <c r="AX31" i="20"/>
  <c r="AY31" i="20"/>
  <c r="BA31" i="20"/>
  <c r="AX32" i="20"/>
  <c r="AY32" i="20"/>
  <c r="BA32" i="20"/>
  <c r="AX33" i="20"/>
  <c r="AY33" i="20"/>
  <c r="AX34" i="20"/>
  <c r="AY34" i="20"/>
  <c r="BA34" i="20"/>
  <c r="AX35" i="20"/>
  <c r="AY35" i="20"/>
  <c r="BA35" i="20"/>
  <c r="AX36" i="20"/>
  <c r="AY36" i="20"/>
  <c r="BA36" i="20"/>
  <c r="AX37" i="20"/>
  <c r="AY37" i="20"/>
  <c r="BA37" i="20"/>
  <c r="AY23" i="20"/>
  <c r="AX23" i="20"/>
  <c r="AY4" i="20"/>
  <c r="BA4" i="20"/>
  <c r="AY5" i="20"/>
  <c r="BA5" i="20"/>
  <c r="AY6" i="20"/>
  <c r="BA6" i="20"/>
  <c r="AY7" i="20"/>
  <c r="BA7" i="20"/>
  <c r="AY8" i="20"/>
  <c r="BA8" i="20"/>
  <c r="AY9" i="20"/>
  <c r="BA9" i="20"/>
  <c r="AY10" i="20"/>
  <c r="BA10" i="20"/>
  <c r="AY11" i="20"/>
  <c r="BA11" i="20"/>
  <c r="AY12" i="20"/>
  <c r="BA12" i="20"/>
  <c r="AY13" i="20"/>
  <c r="BA13" i="20"/>
  <c r="AY14" i="20"/>
  <c r="BA14" i="20"/>
  <c r="AY15" i="20"/>
  <c r="BA15" i="20"/>
  <c r="AY16" i="20"/>
  <c r="BA16" i="20"/>
  <c r="AY17" i="20"/>
  <c r="BA17" i="20"/>
  <c r="AY18" i="20"/>
  <c r="BA18" i="20"/>
  <c r="AX5" i="20"/>
  <c r="AX6" i="20"/>
  <c r="AX7" i="20"/>
  <c r="AX8" i="20"/>
  <c r="AX9" i="20"/>
  <c r="AX10" i="20"/>
  <c r="AX11" i="20"/>
  <c r="AX12" i="20"/>
  <c r="AX13" i="20"/>
  <c r="AX14" i="20"/>
  <c r="AX15" i="20"/>
  <c r="AX16" i="20"/>
  <c r="AX17" i="20"/>
  <c r="AX18" i="20"/>
  <c r="AX4" i="20"/>
  <c r="O39" i="20" l="1"/>
  <c r="N39" i="20"/>
  <c r="K39" i="20"/>
  <c r="J39" i="20"/>
  <c r="G39" i="20"/>
  <c r="F39" i="20"/>
  <c r="C39" i="20"/>
  <c r="BD38" i="20" s="1"/>
  <c r="B39" i="20"/>
  <c r="BC38" i="20" s="1"/>
  <c r="AW38" i="20"/>
  <c r="AU38" i="20"/>
  <c r="AT38" i="20"/>
  <c r="AS38" i="20"/>
  <c r="AQ38" i="20"/>
  <c r="AP38" i="20"/>
  <c r="AO38" i="20"/>
  <c r="AM38" i="20"/>
  <c r="AL38" i="20"/>
  <c r="AK38" i="20"/>
  <c r="AI38" i="20"/>
  <c r="AH38" i="20"/>
  <c r="AG38" i="20"/>
  <c r="AE38" i="20"/>
  <c r="AD38" i="20"/>
  <c r="AC38" i="20"/>
  <c r="AA38" i="20"/>
  <c r="Z38" i="20"/>
  <c r="Y38" i="20"/>
  <c r="W38" i="20"/>
  <c r="V38" i="20"/>
  <c r="S38" i="20"/>
  <c r="R38" i="20"/>
  <c r="M38" i="20"/>
  <c r="E38" i="20"/>
  <c r="AV37" i="20"/>
  <c r="AR37" i="20"/>
  <c r="AN37" i="20"/>
  <c r="AJ37" i="20"/>
  <c r="AF37" i="20"/>
  <c r="AB37" i="20"/>
  <c r="X37" i="20"/>
  <c r="T37" i="20"/>
  <c r="P37" i="20"/>
  <c r="L37" i="20"/>
  <c r="H37" i="20"/>
  <c r="D37" i="20"/>
  <c r="AV36" i="20"/>
  <c r="AR36" i="20"/>
  <c r="AN36" i="20"/>
  <c r="AJ36" i="20"/>
  <c r="AF36" i="20"/>
  <c r="AB36" i="20"/>
  <c r="X36" i="20"/>
  <c r="T36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AV34" i="20"/>
  <c r="AR34" i="20"/>
  <c r="AN34" i="20"/>
  <c r="AJ34" i="20"/>
  <c r="AF34" i="20"/>
  <c r="AB34" i="20"/>
  <c r="X34" i="20"/>
  <c r="T34" i="20"/>
  <c r="P34" i="20"/>
  <c r="L34" i="20"/>
  <c r="H34" i="20"/>
  <c r="D34" i="20"/>
  <c r="AV33" i="20"/>
  <c r="AR33" i="20"/>
  <c r="AN33" i="20"/>
  <c r="AJ33" i="20"/>
  <c r="AF33" i="20"/>
  <c r="AB33" i="20"/>
  <c r="X33" i="20"/>
  <c r="T33" i="20"/>
  <c r="P33" i="20"/>
  <c r="L33" i="20"/>
  <c r="I33" i="20"/>
  <c r="H33" i="20"/>
  <c r="D33" i="20"/>
  <c r="AV32" i="20"/>
  <c r="AR32" i="20"/>
  <c r="AN32" i="20"/>
  <c r="AJ32" i="20"/>
  <c r="AF32" i="20"/>
  <c r="AB32" i="20"/>
  <c r="X32" i="20"/>
  <c r="T32" i="20"/>
  <c r="P32" i="20"/>
  <c r="L32" i="20"/>
  <c r="H32" i="20"/>
  <c r="D32" i="20"/>
  <c r="AV31" i="20"/>
  <c r="AR31" i="20"/>
  <c r="AN31" i="20"/>
  <c r="AJ31" i="20"/>
  <c r="AF31" i="20"/>
  <c r="AB31" i="20"/>
  <c r="X31" i="20"/>
  <c r="T31" i="20"/>
  <c r="P31" i="20"/>
  <c r="L31" i="20"/>
  <c r="H31" i="20"/>
  <c r="D31" i="20"/>
  <c r="AV30" i="20"/>
  <c r="AR30" i="20"/>
  <c r="AN30" i="20"/>
  <c r="AJ30" i="20"/>
  <c r="AF30" i="20"/>
  <c r="AB30" i="20"/>
  <c r="X30" i="20"/>
  <c r="T30" i="20"/>
  <c r="P30" i="20"/>
  <c r="L30" i="20"/>
  <c r="H30" i="20"/>
  <c r="D30" i="20"/>
  <c r="AV29" i="20"/>
  <c r="AR29" i="20"/>
  <c r="AN29" i="20"/>
  <c r="AJ29" i="20"/>
  <c r="AF29" i="20"/>
  <c r="AB29" i="20"/>
  <c r="X29" i="20"/>
  <c r="T29" i="20"/>
  <c r="P29" i="20"/>
  <c r="L29" i="20"/>
  <c r="H29" i="20"/>
  <c r="D29" i="20"/>
  <c r="AV28" i="20"/>
  <c r="AR28" i="20"/>
  <c r="AN28" i="20"/>
  <c r="AJ28" i="20"/>
  <c r="AF28" i="20"/>
  <c r="AB28" i="20"/>
  <c r="X28" i="20"/>
  <c r="T28" i="20"/>
  <c r="P28" i="20"/>
  <c r="L28" i="20"/>
  <c r="H28" i="20"/>
  <c r="D28" i="20"/>
  <c r="AV27" i="20"/>
  <c r="AR27" i="20"/>
  <c r="AN27" i="20"/>
  <c r="AJ27" i="20"/>
  <c r="AF27" i="20"/>
  <c r="AB27" i="20"/>
  <c r="X27" i="20"/>
  <c r="T27" i="20"/>
  <c r="P27" i="20"/>
  <c r="L27" i="20"/>
  <c r="H27" i="20"/>
  <c r="D27" i="20"/>
  <c r="AV26" i="20"/>
  <c r="AR26" i="20"/>
  <c r="AN26" i="20"/>
  <c r="AJ26" i="20"/>
  <c r="AF26" i="20"/>
  <c r="AB26" i="20"/>
  <c r="X26" i="20"/>
  <c r="T26" i="20"/>
  <c r="P26" i="20"/>
  <c r="L26" i="20"/>
  <c r="H26" i="20"/>
  <c r="D26" i="20"/>
  <c r="AV25" i="20"/>
  <c r="AR25" i="20"/>
  <c r="AN25" i="20"/>
  <c r="AJ25" i="20"/>
  <c r="AF25" i="20"/>
  <c r="AB25" i="20"/>
  <c r="X25" i="20"/>
  <c r="T25" i="20"/>
  <c r="P25" i="20"/>
  <c r="L25" i="20"/>
  <c r="H25" i="20"/>
  <c r="D25" i="20"/>
  <c r="AV24" i="20"/>
  <c r="AR24" i="20"/>
  <c r="AN24" i="20"/>
  <c r="AJ24" i="20"/>
  <c r="AF24" i="20"/>
  <c r="AB24" i="20"/>
  <c r="X24" i="20"/>
  <c r="T24" i="20"/>
  <c r="P24" i="20"/>
  <c r="L24" i="20"/>
  <c r="H24" i="20"/>
  <c r="D24" i="20"/>
  <c r="AV23" i="20"/>
  <c r="AR23" i="20"/>
  <c r="AN23" i="20"/>
  <c r="AJ23" i="20"/>
  <c r="AF23" i="20"/>
  <c r="AB23" i="20"/>
  <c r="X23" i="20"/>
  <c r="T23" i="20"/>
  <c r="P23" i="20"/>
  <c r="L23" i="20"/>
  <c r="I23" i="20"/>
  <c r="H23" i="20"/>
  <c r="D23" i="20"/>
  <c r="AW19" i="20"/>
  <c r="AU19" i="20"/>
  <c r="AT19" i="20"/>
  <c r="AS19" i="20"/>
  <c r="AQ19" i="20"/>
  <c r="AP19" i="20"/>
  <c r="AO19" i="20"/>
  <c r="AM19" i="20"/>
  <c r="AL19" i="20"/>
  <c r="AK19" i="20"/>
  <c r="AI19" i="20"/>
  <c r="AH19" i="20"/>
  <c r="AG19" i="20"/>
  <c r="AE19" i="20"/>
  <c r="AD19" i="20"/>
  <c r="AC19" i="20"/>
  <c r="AA19" i="20"/>
  <c r="Z19" i="20"/>
  <c r="Y19" i="20"/>
  <c r="W19" i="20"/>
  <c r="V19" i="20"/>
  <c r="S19" i="20"/>
  <c r="R19" i="20"/>
  <c r="I19" i="20"/>
  <c r="E19" i="20"/>
  <c r="AV18" i="20"/>
  <c r="AR18" i="20"/>
  <c r="AN18" i="20"/>
  <c r="AJ18" i="20"/>
  <c r="AF18" i="20"/>
  <c r="AB18" i="20"/>
  <c r="X18" i="20"/>
  <c r="T18" i="20"/>
  <c r="P18" i="20"/>
  <c r="L18" i="20"/>
  <c r="H18" i="20"/>
  <c r="D18" i="20"/>
  <c r="AV17" i="20"/>
  <c r="AR17" i="20"/>
  <c r="AN17" i="20"/>
  <c r="AJ17" i="20"/>
  <c r="AF17" i="20"/>
  <c r="AB17" i="20"/>
  <c r="X17" i="20"/>
  <c r="T17" i="20"/>
  <c r="AV16" i="20"/>
  <c r="AR16" i="20"/>
  <c r="AN16" i="20"/>
  <c r="AJ16" i="20"/>
  <c r="AF16" i="20"/>
  <c r="AB16" i="20"/>
  <c r="X16" i="20"/>
  <c r="T16" i="20"/>
  <c r="P16" i="20"/>
  <c r="L16" i="20"/>
  <c r="H16" i="20"/>
  <c r="D16" i="20"/>
  <c r="AV15" i="20"/>
  <c r="AR15" i="20"/>
  <c r="AN15" i="20"/>
  <c r="AJ15" i="20"/>
  <c r="AF15" i="20"/>
  <c r="AB15" i="20"/>
  <c r="X15" i="20"/>
  <c r="T15" i="20"/>
  <c r="P15" i="20"/>
  <c r="L15" i="20"/>
  <c r="H15" i="20"/>
  <c r="D15" i="20"/>
  <c r="AV14" i="20"/>
  <c r="AR14" i="20"/>
  <c r="AN14" i="20"/>
  <c r="AJ14" i="20"/>
  <c r="AF14" i="20"/>
  <c r="AB14" i="20"/>
  <c r="X14" i="20"/>
  <c r="T14" i="20"/>
  <c r="P14" i="20"/>
  <c r="L14" i="20"/>
  <c r="H14" i="20"/>
  <c r="D14" i="20"/>
  <c r="AV13" i="20"/>
  <c r="AR13" i="20"/>
  <c r="AN13" i="20"/>
  <c r="AJ13" i="20"/>
  <c r="AF13" i="20"/>
  <c r="AB13" i="20"/>
  <c r="X13" i="20"/>
  <c r="T13" i="20"/>
  <c r="P13" i="20"/>
  <c r="L13" i="20"/>
  <c r="H13" i="20"/>
  <c r="D13" i="20"/>
  <c r="AV12" i="20"/>
  <c r="AR12" i="20"/>
  <c r="AN12" i="20"/>
  <c r="AJ12" i="20"/>
  <c r="AF12" i="20"/>
  <c r="AB12" i="20"/>
  <c r="X12" i="20"/>
  <c r="T12" i="20"/>
  <c r="P12" i="20"/>
  <c r="L12" i="20"/>
  <c r="H12" i="20"/>
  <c r="D12" i="20"/>
  <c r="AV11" i="20"/>
  <c r="AR11" i="20"/>
  <c r="AN11" i="20"/>
  <c r="AJ11" i="20"/>
  <c r="AF11" i="20"/>
  <c r="AB11" i="20"/>
  <c r="X11" i="20"/>
  <c r="T11" i="20"/>
  <c r="P11" i="20"/>
  <c r="L11" i="20"/>
  <c r="H11" i="20"/>
  <c r="D11" i="20"/>
  <c r="AV10" i="20"/>
  <c r="AR10" i="20"/>
  <c r="AN10" i="20"/>
  <c r="AJ10" i="20"/>
  <c r="AF10" i="20"/>
  <c r="AB10" i="20"/>
  <c r="X10" i="20"/>
  <c r="T10" i="20"/>
  <c r="P10" i="20"/>
  <c r="L10" i="20"/>
  <c r="H10" i="20"/>
  <c r="D10" i="20"/>
  <c r="AV9" i="20"/>
  <c r="AR9" i="20"/>
  <c r="AN9" i="20"/>
  <c r="AJ9" i="20"/>
  <c r="AF9" i="20"/>
  <c r="AB9" i="20"/>
  <c r="X9" i="20"/>
  <c r="T9" i="20"/>
  <c r="P9" i="20"/>
  <c r="L9" i="20"/>
  <c r="H9" i="20"/>
  <c r="D9" i="20"/>
  <c r="AV8" i="20"/>
  <c r="AR8" i="20"/>
  <c r="AN8" i="20"/>
  <c r="AJ8" i="20"/>
  <c r="AF8" i="20"/>
  <c r="AB8" i="20"/>
  <c r="X8" i="20"/>
  <c r="T8" i="20"/>
  <c r="P8" i="20"/>
  <c r="L8" i="20"/>
  <c r="H8" i="20"/>
  <c r="D8" i="20"/>
  <c r="AV7" i="20"/>
  <c r="AR7" i="20"/>
  <c r="AN7" i="20"/>
  <c r="AJ7" i="20"/>
  <c r="AF7" i="20"/>
  <c r="AB7" i="20"/>
  <c r="X7" i="20"/>
  <c r="T7" i="20"/>
  <c r="P7" i="20"/>
  <c r="L7" i="20"/>
  <c r="H7" i="20"/>
  <c r="D7" i="20"/>
  <c r="AV6" i="20"/>
  <c r="AR6" i="20"/>
  <c r="AN6" i="20"/>
  <c r="AJ6" i="20"/>
  <c r="AF6" i="20"/>
  <c r="AB6" i="20"/>
  <c r="X6" i="20"/>
  <c r="T6" i="20"/>
  <c r="P6" i="20"/>
  <c r="L6" i="20"/>
  <c r="H6" i="20"/>
  <c r="D6" i="20"/>
  <c r="AV5" i="20"/>
  <c r="AR5" i="20"/>
  <c r="AN5" i="20"/>
  <c r="AJ5" i="20"/>
  <c r="AF5" i="20"/>
  <c r="AB5" i="20"/>
  <c r="X5" i="20"/>
  <c r="T5" i="20"/>
  <c r="P5" i="20"/>
  <c r="L5" i="20"/>
  <c r="H5" i="20"/>
  <c r="D5" i="20"/>
  <c r="AV4" i="20"/>
  <c r="AR4" i="20"/>
  <c r="AN4" i="20"/>
  <c r="AJ4" i="20"/>
  <c r="AF4" i="20"/>
  <c r="AB4" i="20"/>
  <c r="X4" i="20"/>
  <c r="T4" i="20"/>
  <c r="P4" i="20"/>
  <c r="L4" i="20"/>
  <c r="H4" i="20"/>
  <c r="D4" i="20"/>
  <c r="AM26" i="2"/>
  <c r="AM27" i="2"/>
  <c r="AM28" i="2"/>
  <c r="AM30" i="2"/>
  <c r="N33" i="2"/>
  <c r="AM34" i="2"/>
  <c r="AM35" i="2"/>
  <c r="AM36" i="2"/>
  <c r="AM38" i="2"/>
  <c r="AM25" i="2"/>
  <c r="C42" i="2"/>
  <c r="D42" i="2"/>
  <c r="E42" i="2"/>
  <c r="O42" i="2"/>
  <c r="P42" i="2"/>
  <c r="Q42" i="2"/>
  <c r="R42" i="2"/>
  <c r="B42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25" i="2"/>
  <c r="AM29" i="2"/>
  <c r="AM31" i="2"/>
  <c r="AM32" i="2"/>
  <c r="AM37" i="2"/>
  <c r="N39" i="2"/>
  <c r="M18" i="12"/>
  <c r="BE33" i="20" l="1"/>
  <c r="BE36" i="20"/>
  <c r="BE4" i="20"/>
  <c r="BE6" i="20"/>
  <c r="BE8" i="20"/>
  <c r="BE10" i="20"/>
  <c r="BE12" i="20"/>
  <c r="BE14" i="20"/>
  <c r="BE24" i="20"/>
  <c r="BE26" i="20"/>
  <c r="BE28" i="20"/>
  <c r="BE30" i="20"/>
  <c r="BE32" i="20"/>
  <c r="BA23" i="20"/>
  <c r="BF22" i="20"/>
  <c r="AZ35" i="20"/>
  <c r="BE34" i="20"/>
  <c r="BE17" i="20"/>
  <c r="BA33" i="20"/>
  <c r="BF32" i="20"/>
  <c r="BE23" i="20"/>
  <c r="BE25" i="20"/>
  <c r="BE27" i="20"/>
  <c r="BE29" i="20"/>
  <c r="BE31" i="20"/>
  <c r="BE5" i="20"/>
  <c r="BE7" i="20"/>
  <c r="BE9" i="20"/>
  <c r="BE11" i="20"/>
  <c r="BE13" i="20"/>
  <c r="BE15" i="20"/>
  <c r="BE3" i="20"/>
  <c r="BE22" i="20"/>
  <c r="AZ5" i="20"/>
  <c r="AZ9" i="20"/>
  <c r="AZ11" i="20"/>
  <c r="AZ13" i="20"/>
  <c r="AZ15" i="20"/>
  <c r="AZ17" i="20"/>
  <c r="AZ18" i="20"/>
  <c r="AZ7" i="20"/>
  <c r="AZ30" i="20"/>
  <c r="AZ32" i="20"/>
  <c r="AZ24" i="20"/>
  <c r="AZ26" i="20"/>
  <c r="AZ28" i="20"/>
  <c r="AZ34" i="20"/>
  <c r="AZ36" i="20"/>
  <c r="AZ37" i="20"/>
  <c r="AZ12" i="20"/>
  <c r="AL39" i="20"/>
  <c r="AZ8" i="20"/>
  <c r="AZ10" i="20"/>
  <c r="AZ16" i="20"/>
  <c r="AZ23" i="20"/>
  <c r="AZ6" i="20"/>
  <c r="AZ14" i="20"/>
  <c r="AZ25" i="20"/>
  <c r="AZ27" i="20"/>
  <c r="AZ29" i="20"/>
  <c r="AZ31" i="20"/>
  <c r="AZ33" i="20"/>
  <c r="I38" i="20"/>
  <c r="I39" i="20" s="1"/>
  <c r="Q38" i="20"/>
  <c r="Q19" i="20"/>
  <c r="T19" i="20"/>
  <c r="AM39" i="20"/>
  <c r="AD39" i="20"/>
  <c r="AE39" i="20"/>
  <c r="E39" i="20"/>
  <c r="M19" i="20"/>
  <c r="M39" i="20" s="1"/>
  <c r="V39" i="20"/>
  <c r="AJ19" i="20"/>
  <c r="AB38" i="20"/>
  <c r="W39" i="20"/>
  <c r="AS39" i="20"/>
  <c r="AC39" i="20"/>
  <c r="Y39" i="20"/>
  <c r="AI39" i="20"/>
  <c r="AT39" i="20"/>
  <c r="L19" i="20"/>
  <c r="Z39" i="20"/>
  <c r="AK39" i="20"/>
  <c r="AU39" i="20"/>
  <c r="L38" i="20"/>
  <c r="U38" i="20"/>
  <c r="U19" i="20"/>
  <c r="AF38" i="20"/>
  <c r="AA39" i="20"/>
  <c r="AW39" i="20"/>
  <c r="AX19" i="20"/>
  <c r="H38" i="20"/>
  <c r="AJ38" i="20"/>
  <c r="R39" i="20"/>
  <c r="AV19" i="20"/>
  <c r="X19" i="20"/>
  <c r="AY19" i="20"/>
  <c r="AN38" i="20"/>
  <c r="S39" i="20"/>
  <c r="AO39" i="20"/>
  <c r="AB19" i="20"/>
  <c r="AR38" i="20"/>
  <c r="AP39" i="20"/>
  <c r="AF19" i="20"/>
  <c r="H19" i="20"/>
  <c r="P38" i="20"/>
  <c r="AV38" i="20"/>
  <c r="AG39" i="20"/>
  <c r="AQ39" i="20"/>
  <c r="D19" i="20"/>
  <c r="AN19" i="20"/>
  <c r="T38" i="20"/>
  <c r="AX38" i="20"/>
  <c r="AH39" i="20"/>
  <c r="AR19" i="20"/>
  <c r="P19" i="20"/>
  <c r="X38" i="20"/>
  <c r="AY38" i="20"/>
  <c r="D38" i="20"/>
  <c r="M40" i="2"/>
  <c r="Z40" i="2"/>
  <c r="AA40" i="2"/>
  <c r="N25" i="2"/>
  <c r="N32" i="2"/>
  <c r="N38" i="2"/>
  <c r="N37" i="2"/>
  <c r="N29" i="2"/>
  <c r="AM39" i="2"/>
  <c r="N36" i="2"/>
  <c r="N28" i="2"/>
  <c r="AM33" i="2"/>
  <c r="N31" i="2"/>
  <c r="N30" i="2"/>
  <c r="N35" i="2"/>
  <c r="N27" i="2"/>
  <c r="N34" i="2"/>
  <c r="N26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5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Z20" i="2"/>
  <c r="M20" i="2"/>
  <c r="AB39" i="20" l="1"/>
  <c r="BE18" i="20"/>
  <c r="BE37" i="20"/>
  <c r="BF37" i="20"/>
  <c r="BF18" i="20"/>
  <c r="BF38" i="20"/>
  <c r="BA38" i="20"/>
  <c r="Q39" i="20"/>
  <c r="L39" i="20"/>
  <c r="P39" i="20"/>
  <c r="D39" i="20"/>
  <c r="AY39" i="20"/>
  <c r="AJ39" i="20"/>
  <c r="AX39" i="20"/>
  <c r="T39" i="20"/>
  <c r="X39" i="20"/>
  <c r="AV39" i="20"/>
  <c r="H39" i="20"/>
  <c r="AF39" i="20"/>
  <c r="BA19" i="20"/>
  <c r="U39" i="20"/>
  <c r="AZ38" i="20"/>
  <c r="AZ19" i="20"/>
  <c r="AN39" i="20"/>
  <c r="AR39" i="20"/>
  <c r="AA20" i="2"/>
  <c r="AM40" i="2"/>
  <c r="AM20" i="2"/>
  <c r="AM42" i="2" s="1"/>
  <c r="AA42" i="2"/>
  <c r="Z42" i="2"/>
  <c r="N40" i="2"/>
  <c r="M42" i="2"/>
  <c r="N20" i="2"/>
  <c r="N42" i="2" s="1"/>
  <c r="C44" i="7"/>
  <c r="B44" i="7"/>
  <c r="G43" i="7"/>
  <c r="D43" i="7"/>
  <c r="E44" i="7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24" i="12"/>
  <c r="K38" i="12"/>
  <c r="BE38" i="20" l="1"/>
  <c r="N38" i="12"/>
  <c r="BA39" i="20"/>
  <c r="AZ39" i="20"/>
  <c r="L38" i="12"/>
  <c r="M38" i="12" l="1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3" i="12"/>
  <c r="G33" i="7" l="1"/>
  <c r="G34" i="7"/>
  <c r="G35" i="7"/>
  <c r="G36" i="7"/>
  <c r="G37" i="7"/>
  <c r="G38" i="7"/>
  <c r="G39" i="7"/>
  <c r="G40" i="7"/>
  <c r="G41" i="7"/>
  <c r="G42" i="7"/>
  <c r="G32" i="7"/>
  <c r="G44" i="7"/>
  <c r="D44" i="7"/>
  <c r="D33" i="7"/>
  <c r="D34" i="7"/>
  <c r="D35" i="7"/>
  <c r="D36" i="7"/>
  <c r="D37" i="7"/>
  <c r="D38" i="7"/>
  <c r="D39" i="7"/>
  <c r="D40" i="7"/>
  <c r="D41" i="7"/>
  <c r="D42" i="7"/>
  <c r="D32" i="7"/>
  <c r="J38" i="12" l="1"/>
  <c r="I38" i="12"/>
  <c r="H38" i="12"/>
  <c r="G38" i="12"/>
  <c r="F38" i="12"/>
  <c r="E38" i="12"/>
  <c r="D38" i="12"/>
  <c r="C38" i="12"/>
  <c r="B38" i="12"/>
  <c r="K18" i="12"/>
  <c r="F18" i="12"/>
  <c r="B18" i="12"/>
  <c r="L18" i="12" l="1"/>
  <c r="AL36" i="2" l="1"/>
  <c r="AL25" i="2"/>
  <c r="AL30" i="2"/>
  <c r="AL34" i="2"/>
  <c r="AL26" i="2"/>
  <c r="AL35" i="2"/>
  <c r="AL27" i="2"/>
  <c r="AL32" i="2"/>
  <c r="AL33" i="2"/>
  <c r="AL28" i="2"/>
  <c r="Y40" i="2"/>
  <c r="AL31" i="2"/>
  <c r="AL37" i="2"/>
  <c r="AL39" i="2"/>
  <c r="AL38" i="2"/>
  <c r="AL29" i="2"/>
  <c r="L40" i="2"/>
  <c r="AL40" i="2" l="1"/>
  <c r="AL19" i="2"/>
  <c r="AL18" i="2"/>
  <c r="AL10" i="2"/>
  <c r="AL15" i="2"/>
  <c r="AL7" i="2"/>
  <c r="AL12" i="2"/>
  <c r="AL14" i="2"/>
  <c r="AL6" i="2"/>
  <c r="AL17" i="2"/>
  <c r="AL9" i="2"/>
  <c r="AL16" i="2"/>
  <c r="AL8" i="2"/>
  <c r="AL13" i="2"/>
  <c r="Y20" i="2"/>
  <c r="Y42" i="2" s="1"/>
  <c r="AL11" i="2"/>
  <c r="L20" i="2"/>
  <c r="L42" i="2" s="1"/>
  <c r="AL5" i="2"/>
  <c r="AL20" i="2" l="1"/>
  <c r="AL42" i="2" s="1"/>
  <c r="J18" i="12" l="1"/>
  <c r="I18" i="12"/>
  <c r="H18" i="12"/>
  <c r="G18" i="12"/>
  <c r="E18" i="12"/>
  <c r="D18" i="12"/>
  <c r="C18" i="12"/>
  <c r="N18" i="12" l="1"/>
  <c r="AK25" i="2" l="1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K20" i="2"/>
  <c r="X20" i="2"/>
  <c r="K40" i="2"/>
  <c r="X40" i="2"/>
  <c r="X42" i="2" l="1"/>
  <c r="K42" i="2"/>
  <c r="AK20" i="2"/>
  <c r="AK40" i="2"/>
  <c r="AK42" i="2" s="1"/>
  <c r="AB26" i="2" l="1"/>
  <c r="AC26" i="2"/>
  <c r="AD26" i="2"/>
  <c r="AE26" i="2"/>
  <c r="AF26" i="2"/>
  <c r="AG26" i="2"/>
  <c r="AH26" i="2"/>
  <c r="AI26" i="2"/>
  <c r="AJ26" i="2"/>
  <c r="AB27" i="2"/>
  <c r="AC27" i="2"/>
  <c r="AD27" i="2"/>
  <c r="AE27" i="2"/>
  <c r="AF27" i="2"/>
  <c r="AG27" i="2"/>
  <c r="AH27" i="2"/>
  <c r="AI27" i="2"/>
  <c r="AJ27" i="2"/>
  <c r="AB28" i="2"/>
  <c r="AC28" i="2"/>
  <c r="AD28" i="2"/>
  <c r="AE28" i="2"/>
  <c r="AF28" i="2"/>
  <c r="AG28" i="2"/>
  <c r="AH28" i="2"/>
  <c r="AI28" i="2"/>
  <c r="AJ28" i="2"/>
  <c r="AB29" i="2"/>
  <c r="AC29" i="2"/>
  <c r="AD29" i="2"/>
  <c r="AE29" i="2"/>
  <c r="AF29" i="2"/>
  <c r="AG29" i="2"/>
  <c r="AH29" i="2"/>
  <c r="AI29" i="2"/>
  <c r="AJ29" i="2"/>
  <c r="AB30" i="2"/>
  <c r="AC30" i="2"/>
  <c r="AD30" i="2"/>
  <c r="AE30" i="2"/>
  <c r="AF30" i="2"/>
  <c r="AG30" i="2"/>
  <c r="AH30" i="2"/>
  <c r="AI30" i="2"/>
  <c r="AJ30" i="2"/>
  <c r="AB31" i="2"/>
  <c r="AC31" i="2"/>
  <c r="AD31" i="2"/>
  <c r="AE31" i="2"/>
  <c r="AF31" i="2"/>
  <c r="AG31" i="2"/>
  <c r="AH31" i="2"/>
  <c r="AI31" i="2"/>
  <c r="AJ31" i="2"/>
  <c r="AB32" i="2"/>
  <c r="AC32" i="2"/>
  <c r="AD32" i="2"/>
  <c r="AE32" i="2"/>
  <c r="AF32" i="2"/>
  <c r="AG32" i="2"/>
  <c r="AH32" i="2"/>
  <c r="AI32" i="2"/>
  <c r="AJ32" i="2"/>
  <c r="AB33" i="2"/>
  <c r="AC33" i="2"/>
  <c r="AD33" i="2"/>
  <c r="AE33" i="2"/>
  <c r="AF33" i="2"/>
  <c r="AG33" i="2"/>
  <c r="AH33" i="2"/>
  <c r="AI33" i="2"/>
  <c r="AJ33" i="2"/>
  <c r="AB34" i="2"/>
  <c r="AC34" i="2"/>
  <c r="AD34" i="2"/>
  <c r="AE34" i="2"/>
  <c r="AF34" i="2"/>
  <c r="AG34" i="2"/>
  <c r="AH34" i="2"/>
  <c r="AI34" i="2"/>
  <c r="AJ34" i="2"/>
  <c r="AB35" i="2"/>
  <c r="AC35" i="2"/>
  <c r="AD35" i="2"/>
  <c r="AE35" i="2"/>
  <c r="AF35" i="2"/>
  <c r="AG35" i="2"/>
  <c r="AH35" i="2"/>
  <c r="AI35" i="2"/>
  <c r="AJ35" i="2"/>
  <c r="AB36" i="2"/>
  <c r="AC36" i="2"/>
  <c r="AD36" i="2"/>
  <c r="AE36" i="2"/>
  <c r="AF36" i="2"/>
  <c r="AG36" i="2"/>
  <c r="AH36" i="2"/>
  <c r="AI36" i="2"/>
  <c r="AJ36" i="2"/>
  <c r="AB37" i="2"/>
  <c r="AC37" i="2"/>
  <c r="AD37" i="2"/>
  <c r="AE37" i="2"/>
  <c r="AF37" i="2"/>
  <c r="AG37" i="2"/>
  <c r="AH37" i="2"/>
  <c r="AI37" i="2"/>
  <c r="AJ37" i="2"/>
  <c r="AB38" i="2"/>
  <c r="AC38" i="2"/>
  <c r="AD38" i="2"/>
  <c r="AE38" i="2"/>
  <c r="AF38" i="2"/>
  <c r="AG38" i="2"/>
  <c r="AH38" i="2"/>
  <c r="AI38" i="2"/>
  <c r="AJ38" i="2"/>
  <c r="AB39" i="2"/>
  <c r="AC39" i="2"/>
  <c r="AD39" i="2"/>
  <c r="AE39" i="2"/>
  <c r="AF39" i="2"/>
  <c r="AG39" i="2"/>
  <c r="AH39" i="2"/>
  <c r="AI39" i="2"/>
  <c r="AJ39" i="2"/>
  <c r="AC25" i="2"/>
  <c r="AD25" i="2"/>
  <c r="AE25" i="2"/>
  <c r="AF25" i="2"/>
  <c r="AG25" i="2"/>
  <c r="AH25" i="2"/>
  <c r="AI25" i="2"/>
  <c r="AJ25" i="2"/>
  <c r="V40" i="2"/>
  <c r="I40" i="2"/>
  <c r="H40" i="2"/>
  <c r="AC20" i="2"/>
  <c r="AD20" i="2"/>
  <c r="AE20" i="2"/>
  <c r="AB6" i="2"/>
  <c r="AC6" i="2"/>
  <c r="AD6" i="2"/>
  <c r="AE6" i="2"/>
  <c r="AF6" i="2"/>
  <c r="AG6" i="2"/>
  <c r="AH6" i="2"/>
  <c r="AI6" i="2"/>
  <c r="AB7" i="2"/>
  <c r="AC7" i="2"/>
  <c r="AD7" i="2"/>
  <c r="AE7" i="2"/>
  <c r="AF7" i="2"/>
  <c r="AG7" i="2"/>
  <c r="AH7" i="2"/>
  <c r="AI7" i="2"/>
  <c r="AB8" i="2"/>
  <c r="AC8" i="2"/>
  <c r="AD8" i="2"/>
  <c r="AE8" i="2"/>
  <c r="AF8" i="2"/>
  <c r="AG8" i="2"/>
  <c r="AH8" i="2"/>
  <c r="AI8" i="2"/>
  <c r="AB9" i="2"/>
  <c r="AC9" i="2"/>
  <c r="AD9" i="2"/>
  <c r="AE9" i="2"/>
  <c r="AF9" i="2"/>
  <c r="AG9" i="2"/>
  <c r="AH9" i="2"/>
  <c r="AI9" i="2"/>
  <c r="AB10" i="2"/>
  <c r="AC10" i="2"/>
  <c r="AD10" i="2"/>
  <c r="AE10" i="2"/>
  <c r="AF10" i="2"/>
  <c r="AG10" i="2"/>
  <c r="AH10" i="2"/>
  <c r="AI10" i="2"/>
  <c r="AB11" i="2"/>
  <c r="AC11" i="2"/>
  <c r="AD11" i="2"/>
  <c r="AE11" i="2"/>
  <c r="AF11" i="2"/>
  <c r="AG11" i="2"/>
  <c r="AH11" i="2"/>
  <c r="AI11" i="2"/>
  <c r="AB12" i="2"/>
  <c r="AC12" i="2"/>
  <c r="AD12" i="2"/>
  <c r="AE12" i="2"/>
  <c r="AF12" i="2"/>
  <c r="AG12" i="2"/>
  <c r="AH12" i="2"/>
  <c r="AI12" i="2"/>
  <c r="AB13" i="2"/>
  <c r="AC13" i="2"/>
  <c r="AD13" i="2"/>
  <c r="AE13" i="2"/>
  <c r="AF13" i="2"/>
  <c r="AG13" i="2"/>
  <c r="AH13" i="2"/>
  <c r="AI13" i="2"/>
  <c r="AB14" i="2"/>
  <c r="AC14" i="2"/>
  <c r="AD14" i="2"/>
  <c r="AE14" i="2"/>
  <c r="AF14" i="2"/>
  <c r="AG14" i="2"/>
  <c r="AH14" i="2"/>
  <c r="AI14" i="2"/>
  <c r="AB15" i="2"/>
  <c r="AC15" i="2"/>
  <c r="AD15" i="2"/>
  <c r="AE15" i="2"/>
  <c r="AF15" i="2"/>
  <c r="AG15" i="2"/>
  <c r="AH15" i="2"/>
  <c r="AI15" i="2"/>
  <c r="AB16" i="2"/>
  <c r="AC16" i="2"/>
  <c r="AD16" i="2"/>
  <c r="AE16" i="2"/>
  <c r="AF16" i="2"/>
  <c r="AG16" i="2"/>
  <c r="AH16" i="2"/>
  <c r="AI16" i="2"/>
  <c r="AB17" i="2"/>
  <c r="AC17" i="2"/>
  <c r="AD17" i="2"/>
  <c r="AE17" i="2"/>
  <c r="AF17" i="2"/>
  <c r="AG17" i="2"/>
  <c r="AH17" i="2"/>
  <c r="AI17" i="2"/>
  <c r="AB18" i="2"/>
  <c r="AC18" i="2"/>
  <c r="AD18" i="2"/>
  <c r="AE18" i="2"/>
  <c r="AF18" i="2"/>
  <c r="AG18" i="2"/>
  <c r="AH18" i="2"/>
  <c r="AI18" i="2"/>
  <c r="AB19" i="2"/>
  <c r="AC19" i="2"/>
  <c r="AD19" i="2"/>
  <c r="AE19" i="2"/>
  <c r="AF19" i="2"/>
  <c r="AG19" i="2"/>
  <c r="AH19" i="2"/>
  <c r="AI19" i="2"/>
  <c r="AC5" i="2"/>
  <c r="AD5" i="2"/>
  <c r="AE5" i="2"/>
  <c r="AF5" i="2"/>
  <c r="AG5" i="2"/>
  <c r="AH5" i="2"/>
  <c r="AI5" i="2"/>
  <c r="AJ10" i="2"/>
  <c r="AJ18" i="2"/>
  <c r="AJ6" i="2"/>
  <c r="AJ8" i="2"/>
  <c r="AJ9" i="2"/>
  <c r="AJ11" i="2"/>
  <c r="AJ14" i="2"/>
  <c r="AJ16" i="2"/>
  <c r="AJ17" i="2"/>
  <c r="AJ19" i="2"/>
  <c r="AJ5" i="2"/>
  <c r="V20" i="2"/>
  <c r="I20" i="2"/>
  <c r="I42" i="2" l="1"/>
  <c r="V42" i="2"/>
  <c r="AC40" i="2"/>
  <c r="AC42" i="2" s="1"/>
  <c r="AJ40" i="2"/>
  <c r="AI40" i="2"/>
  <c r="AI42" i="2" s="1"/>
  <c r="AH40" i="2"/>
  <c r="AG40" i="2"/>
  <c r="AF40" i="2"/>
  <c r="AE40" i="2"/>
  <c r="AE42" i="2" s="1"/>
  <c r="AD40" i="2"/>
  <c r="AD42" i="2" s="1"/>
  <c r="AJ12" i="2"/>
  <c r="AI20" i="2"/>
  <c r="AJ15" i="2"/>
  <c r="AJ7" i="2"/>
  <c r="AJ13" i="2"/>
  <c r="J20" i="2"/>
  <c r="W20" i="2"/>
  <c r="AJ20" i="2" l="1"/>
  <c r="AJ42" i="2" s="1"/>
  <c r="Y4" i="7" l="1"/>
  <c r="W40" i="2" l="1"/>
  <c r="W42" i="2" s="1"/>
  <c r="J40" i="2"/>
  <c r="J42" i="2" s="1"/>
  <c r="U20" i="2"/>
  <c r="X19" i="7" l="1"/>
  <c r="Y19" i="7"/>
  <c r="Y12" i="7"/>
  <c r="W13" i="7"/>
  <c r="Y16" i="7"/>
  <c r="W4" i="7"/>
  <c r="X5" i="7"/>
  <c r="Y5" i="7"/>
  <c r="X6" i="7"/>
  <c r="Y6" i="7"/>
  <c r="X7" i="7"/>
  <c r="Y7" i="7"/>
  <c r="X8" i="7"/>
  <c r="Y8" i="7"/>
  <c r="X9" i="7"/>
  <c r="Y9" i="7"/>
  <c r="X10" i="7"/>
  <c r="Y10" i="7"/>
  <c r="X11" i="7"/>
  <c r="Y11" i="7"/>
  <c r="X12" i="7"/>
  <c r="X13" i="7"/>
  <c r="Y13" i="7"/>
  <c r="X14" i="7"/>
  <c r="Y14" i="7"/>
  <c r="X15" i="7"/>
  <c r="Y15" i="7"/>
  <c r="Z15" i="7" s="1"/>
  <c r="X16" i="7"/>
  <c r="X17" i="7"/>
  <c r="Y17" i="7"/>
  <c r="X4" i="7"/>
  <c r="Z4" i="7" s="1"/>
  <c r="W17" i="7"/>
  <c r="W16" i="7"/>
  <c r="W15" i="7"/>
  <c r="W14" i="7"/>
  <c r="W12" i="7"/>
  <c r="W11" i="7"/>
  <c r="W10" i="7"/>
  <c r="W9" i="7"/>
  <c r="W8" i="7"/>
  <c r="W7" i="7"/>
  <c r="W6" i="7"/>
  <c r="W5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4" i="7"/>
  <c r="B20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4" i="7"/>
  <c r="U20" i="7"/>
  <c r="C20" i="7"/>
  <c r="F20" i="7"/>
  <c r="G20" i="7"/>
  <c r="J20" i="7"/>
  <c r="M20" i="7"/>
  <c r="P20" i="7"/>
  <c r="S20" i="7"/>
  <c r="Y18" i="7"/>
  <c r="Z14" i="7" l="1"/>
  <c r="Z9" i="7"/>
  <c r="Z12" i="7"/>
  <c r="Z6" i="7"/>
  <c r="Z8" i="7"/>
  <c r="Z5" i="7"/>
  <c r="Z13" i="7"/>
  <c r="H20" i="7"/>
  <c r="Z7" i="7"/>
  <c r="Z17" i="7"/>
  <c r="X20" i="7"/>
  <c r="E20" i="7"/>
  <c r="Z11" i="7"/>
  <c r="Z16" i="7"/>
  <c r="Z10" i="7"/>
  <c r="V20" i="7"/>
  <c r="W20" i="7" s="1"/>
  <c r="R20" i="7"/>
  <c r="T20" i="7" s="1"/>
  <c r="O20" i="7"/>
  <c r="Q20" i="7" s="1"/>
  <c r="L20" i="7"/>
  <c r="N20" i="7" s="1"/>
  <c r="I20" i="7"/>
  <c r="K20" i="7" s="1"/>
  <c r="Y20" i="7" l="1"/>
  <c r="Z20" i="7" s="1"/>
  <c r="U40" i="2"/>
  <c r="U42" i="2" s="1"/>
  <c r="H20" i="2"/>
  <c r="AH20" i="2" l="1"/>
  <c r="AH42" i="2" s="1"/>
  <c r="H42" i="2"/>
  <c r="AB25" i="2"/>
  <c r="AN40" i="2" s="1"/>
  <c r="T40" i="2"/>
  <c r="T42" i="2" s="1"/>
  <c r="G40" i="2"/>
  <c r="T20" i="2"/>
  <c r="G20" i="2"/>
  <c r="G42" i="2" l="1"/>
  <c r="AG20" i="2"/>
  <c r="AG42" i="2" s="1"/>
  <c r="F40" i="2" l="1"/>
  <c r="S20" i="2"/>
  <c r="S40" i="2"/>
  <c r="S42" i="2" s="1"/>
  <c r="F20" i="2"/>
  <c r="F42" i="2" l="1"/>
  <c r="AF20" i="2"/>
  <c r="AF42" i="2" s="1"/>
  <c r="AB20" i="2"/>
  <c r="AB5" i="2"/>
  <c r="AN42" i="2" l="1"/>
  <c r="AB40" i="2"/>
  <c r="AB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Rakesh Bisht</author>
  </authors>
  <commentList>
    <comment ref="B44" authorId="0" shapeId="0" xr:uid="{5D7A3D6E-9B04-43C0-9C5A-6F1C2E871A09}">
      <text>
        <r>
          <rPr>
            <b/>
            <sz val="9"/>
            <color indexed="81"/>
            <rFont val="Tahoma"/>
            <family val="2"/>
          </rPr>
          <t>Rs. 183600/- Trf from South ex, Approved by Preeti mam</t>
        </r>
      </text>
    </comment>
    <comment ref="B46" authorId="0" shapeId="0" xr:uid="{73C52B71-5F18-46A1-B42C-B544AE3D1273}">
      <text>
        <r>
          <rPr>
            <b/>
            <sz val="9"/>
            <color indexed="81"/>
            <rFont val="Tahoma"/>
            <family val="2"/>
          </rPr>
          <t>Rs. 183600/- Trf to NFC, Approved by Preeti mam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Rakesh Bisht</author>
  </authors>
  <commentList>
    <comment ref="I8" authorId="0" shapeId="0" xr:uid="{4C02E135-49F0-4F45-A8CC-375D84F65000}">
      <text>
        <r>
          <rPr>
            <b/>
            <sz val="9"/>
            <color indexed="81"/>
            <rFont val="Tahoma"/>
            <family val="2"/>
          </rPr>
          <t>Rs. 183600/- trf from South ex, Approved by Preeti mam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Rakesh Bisht</author>
  </authors>
  <commentList>
    <comment ref="I8" authorId="0" shapeId="0" xr:uid="{1EAC110B-199D-48DD-B127-128D30ADAB51}">
      <text>
        <r>
          <rPr>
            <b/>
            <sz val="9"/>
            <color indexed="81"/>
            <rFont val="Tahoma"/>
            <family val="2"/>
          </rPr>
          <t>Rs. 183600/- trf from South ex, Approved by Preeti mam</t>
        </r>
      </text>
    </comment>
  </commentList>
</comments>
</file>

<file path=xl/sharedStrings.xml><?xml version="1.0" encoding="utf-8"?>
<sst xmlns="http://schemas.openxmlformats.org/spreadsheetml/2006/main" count="2382" uniqueCount="147">
  <si>
    <t>APR</t>
  </si>
  <si>
    <t>CENTER</t>
  </si>
  <si>
    <t>Growth</t>
  </si>
  <si>
    <t>DELHI-PITAMPURA</t>
  </si>
  <si>
    <t>AHMEDABAD</t>
  </si>
  <si>
    <t>KOLKATA</t>
  </si>
  <si>
    <t>MUMBAI</t>
  </si>
  <si>
    <t>CHANDIGARH</t>
  </si>
  <si>
    <t>BANGALORE</t>
  </si>
  <si>
    <t>PATNA</t>
  </si>
  <si>
    <t>HYDERABAD</t>
  </si>
  <si>
    <t>INDORE</t>
  </si>
  <si>
    <t>RAIPUR</t>
  </si>
  <si>
    <t>CHENNAI</t>
  </si>
  <si>
    <t>TOTAL</t>
  </si>
  <si>
    <t>MT</t>
  </si>
  <si>
    <t>MNT</t>
  </si>
  <si>
    <t>NEW</t>
  </si>
  <si>
    <t>ONGOING</t>
  </si>
  <si>
    <t xml:space="preserve">MAY </t>
  </si>
  <si>
    <t xml:space="preserve">JUN </t>
  </si>
  <si>
    <t xml:space="preserve">JUL </t>
  </si>
  <si>
    <t>REVENUE</t>
  </si>
  <si>
    <t>LUCKNOW</t>
  </si>
  <si>
    <t>AUG</t>
  </si>
  <si>
    <t>SEP</t>
  </si>
  <si>
    <t>NEW PATIENT</t>
  </si>
  <si>
    <t>ONGOING PATIENT</t>
  </si>
  <si>
    <t>TOTAL PATIENT (MT+MNT)</t>
  </si>
  <si>
    <t>OCT</t>
  </si>
  <si>
    <t>NEW PATIENT- MT-MNT TRACKER</t>
  </si>
  <si>
    <t>ONGOING PATIENT- MT-MNT TRACKER</t>
  </si>
  <si>
    <t>Total</t>
  </si>
  <si>
    <t>GURUGRAM</t>
  </si>
  <si>
    <t>Growth %</t>
  </si>
  <si>
    <t>Apr</t>
  </si>
  <si>
    <t>May</t>
  </si>
  <si>
    <t>Jun</t>
  </si>
  <si>
    <t>Jul</t>
  </si>
  <si>
    <t>Aug</t>
  </si>
  <si>
    <t>Sep</t>
  </si>
  <si>
    <t>Oct</t>
  </si>
  <si>
    <t>Clinic Name</t>
  </si>
  <si>
    <t>YoY SALES GROWTH- APR 22 TO OCT 23</t>
  </si>
  <si>
    <t>Grand Total</t>
  </si>
  <si>
    <t>NOV</t>
  </si>
  <si>
    <t>Center</t>
  </si>
  <si>
    <t>AHMADABAD</t>
  </si>
  <si>
    <t>Delhi-Pitampura</t>
  </si>
  <si>
    <t>Kolkata</t>
  </si>
  <si>
    <t>Raipur</t>
  </si>
  <si>
    <t>GRAND TOTAL</t>
  </si>
  <si>
    <t>DEC</t>
  </si>
  <si>
    <t>Year</t>
  </si>
  <si>
    <t>JAN</t>
  </si>
  <si>
    <t>New patients count</t>
  </si>
  <si>
    <t>Total Revenue</t>
  </si>
  <si>
    <t>FEB</t>
  </si>
  <si>
    <t>MAY</t>
  </si>
  <si>
    <t>JUN</t>
  </si>
  <si>
    <t>JUL</t>
  </si>
  <si>
    <t>2022-23</t>
  </si>
  <si>
    <t>2023-24</t>
  </si>
  <si>
    <t>Revenue</t>
  </si>
  <si>
    <t>New Patient</t>
  </si>
  <si>
    <t>Month</t>
  </si>
  <si>
    <t>NEW PATIENT TRACKER</t>
  </si>
  <si>
    <t>PATIENT</t>
  </si>
  <si>
    <t>ONGOING PATIENT TRACKER</t>
  </si>
  <si>
    <t>MAR</t>
  </si>
  <si>
    <t>MoM Sales Growth</t>
  </si>
  <si>
    <t>New patients (MT) Count</t>
  </si>
  <si>
    <t>Ongoing paitent count</t>
  </si>
  <si>
    <t>New patients revenue</t>
  </si>
  <si>
    <t>Ongoing patient revenue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</si>
  <si>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</si>
  <si>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</si>
  <si>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</si>
  <si>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</si>
  <si>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</si>
  <si>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</si>
  <si>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</si>
  <si>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</si>
  <si>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</si>
  <si>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</si>
  <si>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</si>
  <si>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JAIPUR</t>
  </si>
  <si>
    <t>LUDHIANA</t>
  </si>
  <si>
    <t>-</t>
  </si>
  <si>
    <t>Center Name</t>
  </si>
  <si>
    <t>TARGET</t>
  </si>
  <si>
    <t>ACHIEVEMENT</t>
  </si>
  <si>
    <t>TGT vs ACH.</t>
  </si>
  <si>
    <t xml:space="preserve"> Total</t>
  </si>
  <si>
    <t>from Apr23 to Jun23</t>
  </si>
  <si>
    <t>DEHRADUN</t>
  </si>
  <si>
    <t>Sales Tracker</t>
  </si>
  <si>
    <t>FY 2024-25</t>
  </si>
  <si>
    <t>ACH%</t>
  </si>
  <si>
    <t>CHC REVENUE FY- 2023-24</t>
  </si>
  <si>
    <t>ORGANIC LIFE REVENUE FY- 2023-24</t>
  </si>
  <si>
    <t>ORGANIC LIFE REVENUE FY- 2024-25</t>
  </si>
  <si>
    <t>CENTER NAME</t>
  </si>
  <si>
    <t>VIRTUAL CENTER</t>
  </si>
  <si>
    <t>CHC REVENUE FY- 2024-25</t>
  </si>
  <si>
    <t>OL REVENUE FY- 2023-24</t>
  </si>
  <si>
    <t>OL REVENUE FY- 2024-25</t>
  </si>
  <si>
    <t>ABV</t>
  </si>
  <si>
    <t>ONGOING 2024-25</t>
  </si>
  <si>
    <t>ONGOING 2023-24</t>
  </si>
  <si>
    <t>NEW 2023-24</t>
  </si>
  <si>
    <t>NEW 2024-25</t>
  </si>
  <si>
    <t>FY 2025-26</t>
  </si>
  <si>
    <t>VARANASI</t>
  </si>
  <si>
    <t>SURAT</t>
  </si>
  <si>
    <t>CHC REVENUE FY- 2025-26</t>
  </si>
  <si>
    <t>OL REVENUE FY- 2025-26</t>
  </si>
  <si>
    <t>RANCHI</t>
  </si>
  <si>
    <t>GUWAHATI</t>
  </si>
  <si>
    <t>CHC- 2025-26</t>
  </si>
  <si>
    <t>OL- 2025-26</t>
  </si>
  <si>
    <t>VADODARA</t>
  </si>
  <si>
    <t>REV</t>
  </si>
  <si>
    <t>ltv</t>
  </si>
  <si>
    <t>Retention</t>
  </si>
  <si>
    <t>NASHIK</t>
  </si>
  <si>
    <t>DELHI-CHH</t>
  </si>
  <si>
    <t>DELHI-NFC</t>
  </si>
  <si>
    <t>DELHI-SOUTH EX</t>
  </si>
  <si>
    <t>MUMBAI-JUHU</t>
  </si>
  <si>
    <t>MUMBAI-PAREL</t>
  </si>
  <si>
    <t>MUMBAI-THANE</t>
  </si>
  <si>
    <t>SRI SRI</t>
  </si>
  <si>
    <t>Ongoing Patient</t>
  </si>
  <si>
    <t>BAGESHWAR DHAM</t>
  </si>
  <si>
    <t>BHOPAL</t>
  </si>
  <si>
    <t>CHC</t>
  </si>
  <si>
    <t>OL</t>
  </si>
  <si>
    <t>2026-27</t>
  </si>
  <si>
    <t>NEW PATIENT MT-MNT TRACKER-2026-27</t>
  </si>
  <si>
    <t>ONGOING PATIENT MT-MNT TRACKER-2026-27</t>
  </si>
  <si>
    <t>Bageshwar Dham</t>
  </si>
  <si>
    <t>CHC- 2026-27</t>
  </si>
  <si>
    <t>OL- 2026-27</t>
  </si>
  <si>
    <t>PUNE</t>
  </si>
  <si>
    <t>COIMBATORE</t>
  </si>
  <si>
    <t>FY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</si>
</sst>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[$-409]mmm/yy;@"/>
    <numFmt numFmtId="166" formatCode="[$-409]d/mmm/yy;@"/>
    <numFmt numFmtId="167" formatCode="_(* #,##0_);_(* \(#,##0\);_(* &quot;-&quot;??_);_(@_)"/>
    <numFmt numFmtId="168" formatCode="mmm/yyyy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18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i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ptos Display"/>
      <family val="2"/>
    </font>
    <font>
      <sz val="9"/>
      <color theme="1"/>
      <name val="Aptos Display"/>
      <family val="2"/>
    </font>
    <font>
      <b/>
      <sz val="9"/>
      <color theme="1"/>
      <name val="Calibri"/>
      <family val="2"/>
    </font>
    <font>
      <b/>
      <sz val="9"/>
      <color indexed="1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theme="2" tint="-0.749992370372631"/>
        <bgColor indexed="2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5">
    <xf numFmtId="0" fontId="0" fillId="0" borderId="0" xfId="0"/>
    <xf numFmtId="0" fontId="0" fillId="0" borderId="1" xfId="0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>
      <alignment horizontal="center"/>
    </xf>
    <xf numFmtId="0" fontId="2" fillId="5" borderId="9" xfId="0" applyFont="1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2" fillId="0" borderId="0" xfId="0" applyFont="1"/>
    <xf numFmtId="43" fontId="0" fillId="0" borderId="1" xfId="0" applyNumberFormat="1" applyBorder="1" applyAlignment="1" applyProtection="1">
      <alignment horizontal="center" vertical="center"/>
      <protection hidden="1"/>
    </xf>
    <xf numFmtId="0" fontId="2" fillId="5" borderId="4" xfId="0" applyFont="1" applyFill="1" applyBorder="1" applyAlignment="1" applyProtection="1">
      <alignment horizontal="center" vertical="center"/>
      <protection hidden="1"/>
    </xf>
    <xf numFmtId="43" fontId="0" fillId="0" borderId="3" xfId="0" applyNumberFormat="1" applyBorder="1" applyAlignment="1" applyProtection="1">
      <alignment horizontal="center" vertical="center"/>
      <protection hidden="1"/>
    </xf>
    <xf numFmtId="0" fontId="4" fillId="0" borderId="0" xfId="0" applyFont="1"/>
    <xf numFmtId="9" fontId="2" fillId="0" borderId="0" xfId="0" applyNumberFormat="1" applyFont="1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1" fontId="0" fillId="0" borderId="3" xfId="0" applyNumberFormat="1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1" fontId="1" fillId="0" borderId="1" xfId="1" applyNumberFormat="1" applyFont="1" applyFill="1" applyBorder="1" applyAlignment="1" applyProtection="1">
      <alignment horizontal="center" vertical="center"/>
      <protection hidden="1"/>
    </xf>
    <xf numFmtId="43" fontId="0" fillId="0" borderId="1" xfId="0" applyNumberFormat="1" applyBorder="1" applyAlignment="1">
      <alignment horizontal="center"/>
    </xf>
    <xf numFmtId="1" fontId="2" fillId="8" borderId="1" xfId="0" applyNumberFormat="1" applyFont="1" applyFill="1" applyBorder="1" applyAlignment="1" applyProtection="1">
      <alignment horizontal="center" vertical="center"/>
      <protection hidden="1"/>
    </xf>
    <xf numFmtId="1" fontId="2" fillId="8" borderId="3" xfId="0" applyNumberFormat="1" applyFont="1" applyFill="1" applyBorder="1" applyAlignment="1" applyProtection="1">
      <alignment horizontal="center" vertical="center"/>
      <protection hidden="1"/>
    </xf>
    <xf numFmtId="165" fontId="2" fillId="8" borderId="8" xfId="0" applyNumberFormat="1" applyFont="1" applyFill="1" applyBorder="1" applyAlignment="1" applyProtection="1">
      <alignment horizontal="center" vertical="center"/>
      <protection hidden="1"/>
    </xf>
    <xf numFmtId="43" fontId="0" fillId="0" borderId="8" xfId="0" applyNumberFormat="1" applyBorder="1" applyAlignment="1">
      <alignment horizontal="center"/>
    </xf>
    <xf numFmtId="0" fontId="2" fillId="8" borderId="4" xfId="0" applyFont="1" applyFill="1" applyBorder="1" applyAlignment="1" applyProtection="1">
      <alignment horizontal="center" vertical="center"/>
      <protection hidden="1"/>
    </xf>
    <xf numFmtId="0" fontId="2" fillId="8" borderId="9" xfId="0" applyFont="1" applyFill="1" applyBorder="1" applyAlignment="1" applyProtection="1">
      <alignment horizontal="center" vertical="center"/>
      <protection hidden="1"/>
    </xf>
    <xf numFmtId="9" fontId="2" fillId="8" borderId="10" xfId="0" applyNumberFormat="1" applyFont="1" applyFill="1" applyBorder="1" applyAlignment="1" applyProtection="1">
      <alignment horizontal="center" vertical="center"/>
      <protection hidden="1"/>
    </xf>
    <xf numFmtId="1" fontId="1" fillId="0" borderId="3" xfId="1" applyNumberFormat="1" applyFont="1" applyFill="1" applyBorder="1" applyAlignment="1" applyProtection="1">
      <alignment horizontal="center" vertical="center"/>
      <protection hidden="1"/>
    </xf>
    <xf numFmtId="1" fontId="2" fillId="0" borderId="17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8" xfId="0" applyNumberFormat="1" applyFont="1" applyBorder="1" applyAlignment="1" applyProtection="1">
      <alignment horizontal="center" vertical="center"/>
      <protection hidden="1"/>
    </xf>
    <xf numFmtId="43" fontId="0" fillId="0" borderId="3" xfId="0" applyNumberFormat="1" applyBorder="1" applyAlignment="1">
      <alignment horizontal="center"/>
    </xf>
    <xf numFmtId="0" fontId="5" fillId="8" borderId="21" xfId="0" applyFont="1" applyFill="1" applyBorder="1" applyAlignment="1" applyProtection="1">
      <alignment horizontal="left"/>
      <protection hidden="1"/>
    </xf>
    <xf numFmtId="0" fontId="2" fillId="0" borderId="21" xfId="0" applyFont="1" applyBorder="1" applyAlignment="1" applyProtection="1">
      <alignment horizontal="left" vertical="center"/>
      <protection hidden="1"/>
    </xf>
    <xf numFmtId="0" fontId="2" fillId="0" borderId="21" xfId="0" applyFont="1" applyBorder="1" applyAlignment="1">
      <alignment horizontal="left"/>
    </xf>
    <xf numFmtId="0" fontId="2" fillId="8" borderId="18" xfId="0" applyFont="1" applyFill="1" applyBorder="1" applyAlignment="1" applyProtection="1">
      <alignment horizontal="left" vertical="center"/>
      <protection hidden="1"/>
    </xf>
    <xf numFmtId="43" fontId="2" fillId="0" borderId="8" xfId="0" applyNumberFormat="1" applyFont="1" applyBorder="1" applyAlignment="1" applyProtection="1">
      <alignment horizontal="center" vertical="center"/>
      <protection hidden="1"/>
    </xf>
    <xf numFmtId="43" fontId="2" fillId="0" borderId="8" xfId="0" applyNumberFormat="1" applyFont="1" applyBorder="1" applyAlignment="1">
      <alignment horizontal="center"/>
    </xf>
    <xf numFmtId="43" fontId="2" fillId="0" borderId="3" xfId="0" applyNumberFormat="1" applyFont="1" applyBorder="1" applyAlignment="1">
      <alignment horizontal="center"/>
    </xf>
    <xf numFmtId="0" fontId="4" fillId="8" borderId="21" xfId="0" applyFont="1" applyFill="1" applyBorder="1" applyAlignment="1">
      <alignment horizontal="left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5" borderId="10" xfId="0" applyFont="1" applyFill="1" applyBorder="1" applyAlignment="1" applyProtection="1">
      <alignment horizontal="center" vertical="center"/>
      <protection hidden="1"/>
    </xf>
    <xf numFmtId="1" fontId="1" fillId="0" borderId="0" xfId="1" applyNumberFormat="1" applyFont="1" applyFill="1" applyBorder="1" applyAlignment="1">
      <alignment vertical="center"/>
    </xf>
    <xf numFmtId="1" fontId="0" fillId="0" borderId="23" xfId="0" applyNumberFormat="1" applyBorder="1" applyAlignment="1">
      <alignment vertical="center"/>
    </xf>
    <xf numFmtId="0" fontId="0" fillId="0" borderId="0" xfId="0" applyAlignment="1">
      <alignment horizontal="left"/>
    </xf>
    <xf numFmtId="0" fontId="0" fillId="0" borderId="23" xfId="0" applyBorder="1" applyAlignment="1">
      <alignment horizontal="left"/>
    </xf>
    <xf numFmtId="0" fontId="5" fillId="0" borderId="14" xfId="0" applyFont="1" applyBorder="1" applyAlignment="1">
      <alignment horizontal="left"/>
    </xf>
    <xf numFmtId="17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 applyProtection="1">
      <alignment horizontal="center" vertical="center"/>
      <protection hidden="1"/>
    </xf>
    <xf numFmtId="0" fontId="8" fillId="0" borderId="0" xfId="0" applyFont="1"/>
    <xf numFmtId="1" fontId="0" fillId="0" borderId="23" xfId="0" applyNumberFormat="1" applyBorder="1"/>
    <xf numFmtId="0" fontId="0" fillId="0" borderId="1" xfId="0" applyBorder="1"/>
    <xf numFmtId="17" fontId="2" fillId="0" borderId="0" xfId="0" applyNumberFormat="1" applyFont="1" applyAlignment="1">
      <alignment horizontal="center" vertical="center"/>
    </xf>
    <xf numFmtId="1" fontId="2" fillId="8" borderId="2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43" fontId="0" fillId="0" borderId="2" xfId="0" applyNumberFormat="1" applyBorder="1" applyAlignment="1" applyProtection="1">
      <alignment horizontal="center" vertical="center"/>
      <protection hidden="1"/>
    </xf>
    <xf numFmtId="43" fontId="0" fillId="0" borderId="2" xfId="0" applyNumberFormat="1" applyBorder="1" applyAlignment="1">
      <alignment horizontal="center"/>
    </xf>
    <xf numFmtId="0" fontId="2" fillId="8" borderId="26" xfId="0" applyFont="1" applyFill="1" applyBorder="1" applyAlignment="1" applyProtection="1">
      <alignment horizontal="center" vertical="center"/>
      <protection hidden="1"/>
    </xf>
    <xf numFmtId="0" fontId="11" fillId="12" borderId="1" xfId="0" applyFont="1" applyFill="1" applyBorder="1" applyAlignment="1" applyProtection="1">
      <alignment horizontal="right" vertical="center"/>
      <protection hidden="1"/>
    </xf>
    <xf numFmtId="0" fontId="11" fillId="12" borderId="3" xfId="0" applyFont="1" applyFill="1" applyBorder="1" applyAlignment="1" applyProtection="1">
      <alignment horizontal="right" vertical="center"/>
      <protection hidden="1"/>
    </xf>
    <xf numFmtId="0" fontId="3" fillId="0" borderId="0" xfId="0" applyFont="1"/>
    <xf numFmtId="2" fontId="2" fillId="0" borderId="0" xfId="0" applyNumberFormat="1" applyFont="1" applyAlignment="1" applyProtection="1">
      <alignment horizontal="center" vertical="center"/>
      <protection hidden="1"/>
    </xf>
    <xf numFmtId="0" fontId="5" fillId="0" borderId="1" xfId="0" applyFont="1" applyBorder="1" applyAlignment="1">
      <alignment horizontal="center"/>
    </xf>
    <xf numFmtId="167" fontId="9" fillId="0" borderId="1" xfId="1" applyNumberFormat="1" applyFont="1" applyFill="1" applyBorder="1" applyAlignment="1">
      <alignment horizontal="center"/>
    </xf>
    <xf numFmtId="0" fontId="9" fillId="0" borderId="1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7" fontId="9" fillId="0" borderId="3" xfId="1" applyNumberFormat="1" applyFont="1" applyFill="1" applyBorder="1" applyAlignment="1">
      <alignment horizontal="center"/>
    </xf>
    <xf numFmtId="9" fontId="5" fillId="0" borderId="8" xfId="0" applyNumberFormat="1" applyFont="1" applyBorder="1" applyAlignment="1">
      <alignment horizontal="center"/>
    </xf>
    <xf numFmtId="9" fontId="5" fillId="0" borderId="10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67" fontId="5" fillId="0" borderId="4" xfId="1" applyNumberFormat="1" applyFont="1" applyFill="1" applyBorder="1" applyAlignment="1">
      <alignment horizontal="center"/>
    </xf>
    <xf numFmtId="167" fontId="5" fillId="0" borderId="9" xfId="1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8" fillId="0" borderId="0" xfId="0" applyFont="1"/>
    <xf numFmtId="0" fontId="20" fillId="2" borderId="1" xfId="0" applyFont="1" applyFill="1" applyBorder="1" applyAlignment="1" applyProtection="1">
      <alignment horizontal="left"/>
      <protection hidden="1"/>
    </xf>
    <xf numFmtId="165" fontId="20" fillId="2" borderId="1" xfId="0" applyNumberFormat="1" applyFont="1" applyFill="1" applyBorder="1" applyAlignment="1" applyProtection="1">
      <alignment horizontal="center" vertical="center"/>
      <protection hidden="1"/>
    </xf>
    <xf numFmtId="0" fontId="20" fillId="0" borderId="1" xfId="0" applyFont="1" applyBorder="1" applyAlignment="1" applyProtection="1">
      <alignment horizontal="left" vertical="center"/>
      <protection hidden="1"/>
    </xf>
    <xf numFmtId="3" fontId="18" fillId="0" borderId="0" xfId="0" applyNumberFormat="1" applyFont="1"/>
    <xf numFmtId="1" fontId="21" fillId="0" borderId="1" xfId="1" applyNumberFormat="1" applyFont="1" applyBorder="1" applyAlignment="1" applyProtection="1">
      <alignment horizontal="center" vertical="center"/>
      <protection hidden="1"/>
    </xf>
    <xf numFmtId="1" fontId="21" fillId="0" borderId="1" xfId="1" applyNumberFormat="1" applyFont="1" applyBorder="1" applyAlignment="1" applyProtection="1">
      <alignment horizontal="center"/>
      <protection hidden="1"/>
    </xf>
    <xf numFmtId="1" fontId="21" fillId="0" borderId="1" xfId="1" applyNumberFormat="1" applyFont="1" applyFill="1" applyBorder="1" applyAlignment="1" applyProtection="1">
      <alignment horizontal="center" vertical="center"/>
      <protection hidden="1"/>
    </xf>
    <xf numFmtId="1" fontId="20" fillId="0" borderId="1" xfId="1" applyNumberFormat="1" applyFont="1" applyBorder="1" applyAlignment="1" applyProtection="1">
      <alignment horizontal="center"/>
      <protection hidden="1"/>
    </xf>
    <xf numFmtId="1" fontId="20" fillId="2" borderId="1" xfId="0" applyNumberFormat="1" applyFont="1" applyFill="1" applyBorder="1" applyAlignment="1" applyProtection="1">
      <alignment horizontal="center" vertical="center"/>
      <protection hidden="1"/>
    </xf>
    <xf numFmtId="1" fontId="18" fillId="0" borderId="0" xfId="0" applyNumberFormat="1" applyFont="1"/>
    <xf numFmtId="167" fontId="18" fillId="0" borderId="0" xfId="0" applyNumberFormat="1" applyFont="1"/>
    <xf numFmtId="0" fontId="19" fillId="0" borderId="0" xfId="0" applyFont="1" applyAlignment="1" applyProtection="1">
      <alignment horizontal="left" vertical="center"/>
      <protection hidden="1"/>
    </xf>
    <xf numFmtId="1" fontId="19" fillId="0" borderId="0" xfId="0" applyNumberFormat="1" applyFont="1" applyAlignment="1" applyProtection="1">
      <alignment vertical="center"/>
      <protection hidden="1"/>
    </xf>
    <xf numFmtId="9" fontId="19" fillId="0" borderId="0" xfId="0" applyNumberFormat="1" applyFont="1" applyAlignment="1" applyProtection="1">
      <alignment horizontal="center" vertical="center"/>
      <protection hidden="1"/>
    </xf>
    <xf numFmtId="165" fontId="19" fillId="2" borderId="1" xfId="0" applyNumberFormat="1" applyFont="1" applyFill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left" vertical="center"/>
      <protection hidden="1"/>
    </xf>
    <xf numFmtId="1" fontId="18" fillId="0" borderId="1" xfId="0" applyNumberFormat="1" applyFont="1" applyBorder="1" applyAlignment="1">
      <alignment horizontal="center"/>
    </xf>
    <xf numFmtId="1" fontId="18" fillId="0" borderId="1" xfId="0" applyNumberFormat="1" applyFont="1" applyBorder="1" applyAlignment="1" applyProtection="1">
      <alignment horizontal="center"/>
      <protection hidden="1"/>
    </xf>
    <xf numFmtId="0" fontId="19" fillId="2" borderId="1" xfId="0" applyFont="1" applyFill="1" applyBorder="1" applyAlignment="1" applyProtection="1">
      <alignment horizontal="left" vertical="center"/>
      <protection hidden="1"/>
    </xf>
    <xf numFmtId="1" fontId="19" fillId="2" borderId="1" xfId="0" applyNumberFormat="1" applyFont="1" applyFill="1" applyBorder="1" applyAlignment="1">
      <alignment horizontal="center"/>
    </xf>
    <xf numFmtId="0" fontId="2" fillId="0" borderId="31" xfId="0" applyFont="1" applyBorder="1" applyAlignment="1" applyProtection="1">
      <alignment horizontal="left" vertical="center"/>
      <protection hidden="1"/>
    </xf>
    <xf numFmtId="0" fontId="2" fillId="0" borderId="31" xfId="0" applyFont="1" applyBorder="1"/>
    <xf numFmtId="166" fontId="3" fillId="3" borderId="2" xfId="0" applyNumberFormat="1" applyFont="1" applyFill="1" applyBorder="1" applyAlignment="1" applyProtection="1">
      <alignment horizontal="center" vertical="center"/>
      <protection hidden="1"/>
    </xf>
    <xf numFmtId="0" fontId="3" fillId="5" borderId="2" xfId="0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left" vertical="center"/>
      <protection hidden="1"/>
    </xf>
    <xf numFmtId="0" fontId="2" fillId="5" borderId="2" xfId="0" applyFont="1" applyFill="1" applyBorder="1" applyAlignment="1" applyProtection="1">
      <alignment horizontal="center" vertical="center"/>
      <protection hidden="1"/>
    </xf>
    <xf numFmtId="0" fontId="3" fillId="5" borderId="3" xfId="0" applyFont="1" applyFill="1" applyBorder="1" applyAlignment="1" applyProtection="1">
      <alignment horizontal="center" vertical="center"/>
      <protection hidden="1"/>
    </xf>
    <xf numFmtId="0" fontId="3" fillId="5" borderId="8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4" borderId="2" xfId="0" applyFont="1" applyFill="1" applyBorder="1" applyAlignment="1" applyProtection="1">
      <alignment horizontal="left" vertical="center"/>
      <protection hidden="1"/>
    </xf>
    <xf numFmtId="0" fontId="0" fillId="0" borderId="1" xfId="0" applyBorder="1" applyAlignment="1">
      <alignment horizontal="center"/>
    </xf>
    <xf numFmtId="0" fontId="6" fillId="4" borderId="12" xfId="0" applyFont="1" applyFill="1" applyBorder="1"/>
    <xf numFmtId="0" fontId="5" fillId="0" borderId="11" xfId="0" applyFont="1" applyBorder="1"/>
    <xf numFmtId="17" fontId="5" fillId="0" borderId="11" xfId="0" applyNumberFormat="1" applyFont="1" applyBorder="1"/>
    <xf numFmtId="0" fontId="5" fillId="0" borderId="13" xfId="0" applyFont="1" applyBorder="1"/>
    <xf numFmtId="0" fontId="23" fillId="5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3" fillId="0" borderId="1" xfId="0" applyFont="1" applyBorder="1" applyAlignment="1" applyProtection="1">
      <alignment horizontal="center" vertical="center"/>
      <protection hidden="1"/>
    </xf>
    <xf numFmtId="0" fontId="24" fillId="0" borderId="0" xfId="0" applyFont="1"/>
    <xf numFmtId="0" fontId="23" fillId="0" borderId="0" xfId="0" applyFont="1"/>
    <xf numFmtId="9" fontId="23" fillId="0" borderId="0" xfId="0" applyNumberFormat="1" applyFont="1" applyAlignment="1">
      <alignment horizontal="center"/>
    </xf>
    <xf numFmtId="0" fontId="14" fillId="10" borderId="0" xfId="0" applyFont="1" applyFill="1" applyAlignment="1" applyProtection="1">
      <alignment vertical="center"/>
      <protection hidden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1" fillId="12" borderId="37" xfId="0" applyFont="1" applyFill="1" applyBorder="1" applyAlignment="1">
      <alignment horizontal="right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166" fontId="12" fillId="12" borderId="33" xfId="0" applyNumberFormat="1" applyFont="1" applyFill="1" applyBorder="1" applyAlignment="1">
      <alignment horizontal="left" vertical="center"/>
    </xf>
    <xf numFmtId="0" fontId="11" fillId="12" borderId="41" xfId="0" applyFont="1" applyFill="1" applyBorder="1" applyAlignment="1">
      <alignment horizontal="right" vertical="center"/>
    </xf>
    <xf numFmtId="0" fontId="11" fillId="12" borderId="28" xfId="0" applyFont="1" applyFill="1" applyBorder="1" applyAlignment="1">
      <alignment horizontal="right" vertical="center"/>
    </xf>
    <xf numFmtId="0" fontId="11" fillId="12" borderId="27" xfId="0" applyFont="1" applyFill="1" applyBorder="1" applyAlignment="1">
      <alignment horizontal="right" vertical="center"/>
    </xf>
    <xf numFmtId="0" fontId="13" fillId="10" borderId="41" xfId="0" applyFont="1" applyFill="1" applyBorder="1" applyAlignment="1">
      <alignment horizontal="left" vertical="center"/>
    </xf>
    <xf numFmtId="0" fontId="10" fillId="10" borderId="41" xfId="0" applyFont="1" applyFill="1" applyBorder="1" applyAlignment="1">
      <alignment vertical="center"/>
    </xf>
    <xf numFmtId="0" fontId="10" fillId="10" borderId="28" xfId="0" applyFont="1" applyFill="1" applyBorder="1" applyAlignment="1">
      <alignment vertical="center"/>
    </xf>
    <xf numFmtId="0" fontId="14" fillId="10" borderId="28" xfId="0" applyFont="1" applyFill="1" applyBorder="1" applyAlignment="1">
      <alignment vertical="center"/>
    </xf>
    <xf numFmtId="0" fontId="10" fillId="10" borderId="29" xfId="0" applyFont="1" applyFill="1" applyBorder="1" applyAlignment="1">
      <alignment vertical="center"/>
    </xf>
    <xf numFmtId="0" fontId="14" fillId="10" borderId="29" xfId="0" applyFont="1" applyFill="1" applyBorder="1" applyAlignment="1">
      <alignment vertical="center"/>
    </xf>
    <xf numFmtId="0" fontId="14" fillId="10" borderId="27" xfId="0" applyFont="1" applyFill="1" applyBorder="1" applyAlignment="1">
      <alignment vertical="center"/>
    </xf>
    <xf numFmtId="43" fontId="10" fillId="10" borderId="41" xfId="0" applyNumberFormat="1" applyFont="1" applyFill="1" applyBorder="1" applyAlignment="1">
      <alignment vertical="center"/>
    </xf>
    <xf numFmtId="43" fontId="10" fillId="10" borderId="28" xfId="0" applyNumberFormat="1" applyFont="1" applyFill="1" applyBorder="1" applyAlignment="1">
      <alignment vertical="center"/>
    </xf>
    <xf numFmtId="1" fontId="10" fillId="10" borderId="28" xfId="0" applyNumberFormat="1" applyFont="1" applyFill="1" applyBorder="1" applyAlignment="1">
      <alignment vertical="center"/>
    </xf>
    <xf numFmtId="0" fontId="13" fillId="11" borderId="41" xfId="0" applyFont="1" applyFill="1" applyBorder="1" applyAlignment="1">
      <alignment horizontal="center" vertical="center"/>
    </xf>
    <xf numFmtId="0" fontId="14" fillId="11" borderId="41" xfId="0" applyFont="1" applyFill="1" applyBorder="1" applyAlignment="1">
      <alignment vertical="center"/>
    </xf>
    <xf numFmtId="0" fontId="14" fillId="11" borderId="28" xfId="0" applyFont="1" applyFill="1" applyBorder="1" applyAlignment="1">
      <alignment vertical="center"/>
    </xf>
    <xf numFmtId="1" fontId="14" fillId="11" borderId="28" xfId="0" applyNumberFormat="1" applyFont="1" applyFill="1" applyBorder="1" applyAlignment="1">
      <alignment vertical="center"/>
    </xf>
    <xf numFmtId="0" fontId="14" fillId="11" borderId="24" xfId="0" applyFont="1" applyFill="1" applyBorder="1" applyAlignment="1">
      <alignment vertical="center"/>
    </xf>
    <xf numFmtId="166" fontId="17" fillId="13" borderId="37" xfId="0" applyNumberFormat="1" applyFont="1" applyFill="1" applyBorder="1" applyAlignment="1">
      <alignment horizontal="center" vertical="center"/>
    </xf>
    <xf numFmtId="166" fontId="17" fillId="13" borderId="19" xfId="0" applyNumberFormat="1" applyFont="1" applyFill="1" applyBorder="1" applyAlignment="1">
      <alignment horizontal="center" vertical="center"/>
    </xf>
    <xf numFmtId="166" fontId="17" fillId="13" borderId="42" xfId="0" applyNumberFormat="1" applyFont="1" applyFill="1" applyBorder="1" applyAlignment="1">
      <alignment horizontal="center" vertical="center"/>
    </xf>
    <xf numFmtId="0" fontId="12" fillId="12" borderId="33" xfId="0" applyFont="1" applyFill="1" applyBorder="1" applyAlignment="1">
      <alignment horizontal="left" vertical="center"/>
    </xf>
    <xf numFmtId="0" fontId="11" fillId="12" borderId="41" xfId="0" applyFont="1" applyFill="1" applyBorder="1" applyAlignment="1">
      <alignment horizontal="center" vertical="center"/>
    </xf>
    <xf numFmtId="0" fontId="11" fillId="12" borderId="29" xfId="0" applyFont="1" applyFill="1" applyBorder="1" applyAlignment="1">
      <alignment horizontal="center" vertical="center"/>
    </xf>
    <xf numFmtId="0" fontId="11" fillId="12" borderId="30" xfId="0" applyFont="1" applyFill="1" applyBorder="1" applyAlignment="1">
      <alignment horizontal="center" vertical="center"/>
    </xf>
    <xf numFmtId="166" fontId="12" fillId="12" borderId="41" xfId="0" applyNumberFormat="1" applyFont="1" applyFill="1" applyBorder="1" applyAlignment="1">
      <alignment horizontal="left" vertical="center"/>
    </xf>
    <xf numFmtId="0" fontId="15" fillId="11" borderId="34" xfId="0" applyFont="1" applyFill="1" applyBorder="1" applyAlignment="1">
      <alignment horizontal="left" vertical="center"/>
    </xf>
    <xf numFmtId="0" fontId="16" fillId="11" borderId="34" xfId="0" applyFont="1" applyFill="1" applyBorder="1" applyAlignment="1">
      <alignment vertical="center"/>
    </xf>
    <xf numFmtId="0" fontId="16" fillId="11" borderId="32" xfId="0" applyFont="1" applyFill="1" applyBorder="1" applyAlignment="1">
      <alignment vertical="center"/>
    </xf>
    <xf numFmtId="0" fontId="16" fillId="11" borderId="43" xfId="0" applyFont="1" applyFill="1" applyBorder="1" applyAlignment="1">
      <alignment vertical="center"/>
    </xf>
    <xf numFmtId="0" fontId="25" fillId="0" borderId="0" xfId="0" applyFont="1"/>
    <xf numFmtId="166" fontId="23" fillId="15" borderId="1" xfId="0" applyNumberFormat="1" applyFont="1" applyFill="1" applyBorder="1" applyAlignment="1" applyProtection="1">
      <alignment horizontal="center" vertical="center"/>
      <protection hidden="1"/>
    </xf>
    <xf numFmtId="0" fontId="23" fillId="5" borderId="1" xfId="0" applyFont="1" applyFill="1" applyBorder="1" applyAlignment="1" applyProtection="1">
      <alignment horizontal="left" vertical="center"/>
      <protection hidden="1"/>
    </xf>
    <xf numFmtId="0" fontId="23" fillId="0" borderId="1" xfId="0" applyFont="1" applyBorder="1" applyAlignment="1" applyProtection="1">
      <alignment horizontal="left" vertical="center"/>
      <protection hidden="1"/>
    </xf>
    <xf numFmtId="0" fontId="23" fillId="0" borderId="1" xfId="0" applyFont="1" applyBorder="1" applyAlignment="1">
      <alignment horizontal="left"/>
    </xf>
    <xf numFmtId="0" fontId="23" fillId="14" borderId="1" xfId="0" applyFont="1" applyFill="1" applyBorder="1" applyAlignment="1">
      <alignment horizontal="left"/>
    </xf>
    <xf numFmtId="0" fontId="12" fillId="12" borderId="28" xfId="0" applyFont="1" applyFill="1" applyBorder="1" applyAlignment="1">
      <alignment horizontal="center" vertical="center"/>
    </xf>
    <xf numFmtId="17" fontId="11" fillId="12" borderId="33" xfId="0" applyNumberFormat="1" applyFont="1" applyFill="1" applyBorder="1" applyAlignment="1">
      <alignment horizontal="right" vertical="center"/>
    </xf>
    <xf numFmtId="1" fontId="19" fillId="0" borderId="1" xfId="0" applyNumberFormat="1" applyFont="1" applyBorder="1" applyAlignment="1">
      <alignment horizontal="center"/>
    </xf>
    <xf numFmtId="0" fontId="2" fillId="16" borderId="1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center"/>
    </xf>
    <xf numFmtId="17" fontId="2" fillId="16" borderId="1" xfId="0" applyNumberFormat="1" applyFont="1" applyFill="1" applyBorder="1" applyAlignment="1">
      <alignment horizontal="center"/>
    </xf>
    <xf numFmtId="0" fontId="26" fillId="17" borderId="1" xfId="0" applyFont="1" applyFill="1" applyBorder="1" applyAlignment="1" applyProtection="1">
      <alignment horizontal="left" vertical="center"/>
      <protection hidden="1"/>
    </xf>
    <xf numFmtId="17" fontId="26" fillId="17" borderId="1" xfId="0" applyNumberFormat="1" applyFont="1" applyFill="1" applyBorder="1" applyAlignment="1">
      <alignment horizontal="centerContinuous" vertical="center"/>
    </xf>
    <xf numFmtId="0" fontId="26" fillId="17" borderId="1" xfId="0" applyFont="1" applyFill="1" applyBorder="1" applyAlignment="1">
      <alignment horizontal="centerContinuous" vertical="center"/>
    </xf>
    <xf numFmtId="0" fontId="27" fillId="0" borderId="0" xfId="0" applyFont="1"/>
    <xf numFmtId="0" fontId="26" fillId="1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 applyProtection="1">
      <alignment horizontal="left" vertical="center"/>
      <protection hidden="1"/>
    </xf>
    <xf numFmtId="0" fontId="26" fillId="7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" fontId="27" fillId="0" borderId="1" xfId="0" applyNumberFormat="1" applyFont="1" applyBorder="1" applyAlignment="1">
      <alignment vertical="center"/>
    </xf>
    <xf numFmtId="1" fontId="26" fillId="0" borderId="1" xfId="0" applyNumberFormat="1" applyFont="1" applyBorder="1" applyAlignment="1">
      <alignment vertical="center"/>
    </xf>
    <xf numFmtId="0" fontId="26" fillId="7" borderId="1" xfId="0" applyFont="1" applyFill="1" applyBorder="1" applyAlignment="1">
      <alignment horizontal="left" vertical="center"/>
    </xf>
    <xf numFmtId="1" fontId="26" fillId="7" borderId="1" xfId="0" applyNumberFormat="1" applyFont="1" applyFill="1" applyBorder="1" applyAlignment="1">
      <alignment vertical="center"/>
    </xf>
    <xf numFmtId="0" fontId="26" fillId="0" borderId="0" xfId="0" applyFont="1"/>
    <xf numFmtId="0" fontId="26" fillId="17" borderId="1" xfId="0" applyFont="1" applyFill="1" applyBorder="1" applyAlignment="1">
      <alignment horizontal="left" vertical="center"/>
    </xf>
    <xf numFmtId="1" fontId="26" fillId="17" borderId="1" xfId="0" applyNumberFormat="1" applyFont="1" applyFill="1" applyBorder="1" applyAlignment="1">
      <alignment vertical="center"/>
    </xf>
    <xf numFmtId="0" fontId="26" fillId="17" borderId="1" xfId="0" applyFont="1" applyFill="1" applyBorder="1" applyAlignment="1" applyProtection="1">
      <alignment horizontal="center" vertical="center"/>
      <protection hidden="1"/>
    </xf>
    <xf numFmtId="0" fontId="26" fillId="7" borderId="1" xfId="0" applyFont="1" applyFill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left" vertical="center"/>
      <protection hidden="1"/>
    </xf>
    <xf numFmtId="0" fontId="27" fillId="0" borderId="1" xfId="0" applyFont="1" applyBorder="1" applyAlignment="1" applyProtection="1">
      <alignment vertical="center"/>
      <protection hidden="1"/>
    </xf>
    <xf numFmtId="0" fontId="26" fillId="0" borderId="1" xfId="0" applyFont="1" applyBorder="1" applyAlignment="1" applyProtection="1">
      <alignment vertical="center"/>
      <protection hidden="1"/>
    </xf>
    <xf numFmtId="0" fontId="27" fillId="0" borderId="1" xfId="0" applyFont="1" applyBorder="1"/>
    <xf numFmtId="0" fontId="26" fillId="0" borderId="1" xfId="0" applyFont="1" applyBorder="1"/>
    <xf numFmtId="0" fontId="26" fillId="0" borderId="1" xfId="0" applyFont="1" applyBorder="1" applyAlignment="1">
      <alignment horizontal="left"/>
    </xf>
    <xf numFmtId="0" fontId="26" fillId="7" borderId="1" xfId="0" applyFont="1" applyFill="1" applyBorder="1" applyAlignment="1" applyProtection="1">
      <alignment vertical="center"/>
      <protection hidden="1"/>
    </xf>
    <xf numFmtId="0" fontId="26" fillId="17" borderId="1" xfId="0" applyFont="1" applyFill="1" applyBorder="1" applyAlignment="1" applyProtection="1">
      <alignment vertical="center"/>
      <protection hidden="1"/>
    </xf>
    <xf numFmtId="0" fontId="28" fillId="2" borderId="1" xfId="0" applyFont="1" applyFill="1" applyBorder="1" applyAlignment="1" applyProtection="1">
      <alignment horizontal="left"/>
      <protection hidden="1"/>
    </xf>
    <xf numFmtId="165" fontId="28" fillId="2" borderId="1" xfId="0" applyNumberFormat="1" applyFont="1" applyFill="1" applyBorder="1" applyAlignment="1" applyProtection="1">
      <alignment horizontal="center" vertical="center"/>
      <protection hidden="1"/>
    </xf>
    <xf numFmtId="0" fontId="28" fillId="0" borderId="1" xfId="0" applyFont="1" applyBorder="1" applyAlignment="1" applyProtection="1">
      <alignment horizontal="left" vertical="center"/>
      <protection hidden="1"/>
    </xf>
    <xf numFmtId="1" fontId="29" fillId="0" borderId="1" xfId="2" applyNumberFormat="1" applyFont="1" applyBorder="1" applyAlignment="1" applyProtection="1">
      <alignment horizontal="center" vertical="center"/>
      <protection hidden="1"/>
    </xf>
    <xf numFmtId="1" fontId="29" fillId="0" borderId="1" xfId="2" applyNumberFormat="1" applyFont="1" applyBorder="1" applyAlignment="1" applyProtection="1">
      <alignment horizontal="center"/>
      <protection hidden="1"/>
    </xf>
    <xf numFmtId="1" fontId="29" fillId="0" borderId="1" xfId="2" applyNumberFormat="1" applyFont="1" applyFill="1" applyBorder="1" applyAlignment="1" applyProtection="1">
      <alignment horizontal="center" vertical="center"/>
      <protection hidden="1"/>
    </xf>
    <xf numFmtId="1" fontId="28" fillId="0" borderId="1" xfId="2" applyNumberFormat="1" applyFont="1" applyBorder="1" applyAlignment="1" applyProtection="1">
      <alignment horizontal="center"/>
      <protection hidden="1"/>
    </xf>
    <xf numFmtId="1" fontId="29" fillId="0" borderId="1" xfId="0" applyNumberFormat="1" applyFont="1" applyBorder="1" applyAlignment="1">
      <alignment horizontal="center"/>
    </xf>
    <xf numFmtId="1" fontId="29" fillId="0" borderId="1" xfId="0" applyNumberFormat="1" applyFont="1" applyBorder="1" applyAlignment="1" applyProtection="1">
      <alignment horizontal="center"/>
      <protection hidden="1"/>
    </xf>
    <xf numFmtId="1" fontId="28" fillId="0" borderId="1" xfId="0" applyNumberFormat="1" applyFont="1" applyBorder="1" applyAlignment="1">
      <alignment horizontal="center"/>
    </xf>
    <xf numFmtId="0" fontId="28" fillId="2" borderId="1" xfId="0" applyFont="1" applyFill="1" applyBorder="1" applyAlignment="1" applyProtection="1">
      <alignment horizontal="left" vertical="center"/>
      <protection hidden="1"/>
    </xf>
    <xf numFmtId="1" fontId="28" fillId="2" borderId="1" xfId="0" applyNumberFormat="1" applyFont="1" applyFill="1" applyBorder="1" applyAlignment="1">
      <alignment horizontal="center"/>
    </xf>
    <xf numFmtId="1" fontId="28" fillId="2" borderId="1" xfId="0" applyNumberFormat="1" applyFont="1" applyFill="1" applyBorder="1" applyAlignment="1" applyProtection="1">
      <alignment horizontal="center" vertical="center"/>
      <protection hidden="1"/>
    </xf>
    <xf numFmtId="0" fontId="29" fillId="0" borderId="0" xfId="0" applyFont="1"/>
    <xf numFmtId="0" fontId="26" fillId="16" borderId="1" xfId="0" applyFont="1" applyFill="1" applyBorder="1" applyAlignment="1">
      <alignment horizontal="left" vertical="center"/>
    </xf>
    <xf numFmtId="17" fontId="26" fillId="16" borderId="1" xfId="0" applyNumberFormat="1" applyFont="1" applyFill="1" applyBorder="1" applyAlignment="1">
      <alignment horizontal="center" vertical="center"/>
    </xf>
    <xf numFmtId="17" fontId="30" fillId="18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6" fillId="0" borderId="0" xfId="0" applyFont="1" applyAlignment="1">
      <alignment horizontal="left"/>
    </xf>
    <xf numFmtId="0" fontId="26" fillId="0" borderId="46" xfId="0" applyFont="1" applyBorder="1" applyAlignment="1">
      <alignment horizontal="center"/>
    </xf>
    <xf numFmtId="0" fontId="26" fillId="0" borderId="46" xfId="0" applyFont="1" applyBorder="1" applyAlignment="1">
      <alignment horizontal="left" vertical="center"/>
    </xf>
    <xf numFmtId="1" fontId="26" fillId="17" borderId="1" xfId="0" applyNumberFormat="1" applyFont="1" applyFill="1" applyBorder="1" applyAlignment="1" applyProtection="1">
      <alignment horizontal="center" vertical="center"/>
      <protection hidden="1"/>
    </xf>
    <xf numFmtId="1" fontId="26" fillId="0" borderId="1" xfId="0" applyNumberFormat="1" applyFont="1" applyBorder="1" applyAlignment="1" applyProtection="1">
      <alignment horizontal="center" vertical="center"/>
      <protection hidden="1"/>
    </xf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43" fontId="27" fillId="0" borderId="1" xfId="0" applyNumberFormat="1" applyFont="1" applyBorder="1" applyAlignment="1">
      <alignment vertical="center"/>
    </xf>
    <xf numFmtId="166" fontId="26" fillId="17" borderId="1" xfId="0" applyNumberFormat="1" applyFont="1" applyFill="1" applyBorder="1" applyAlignment="1" applyProtection="1">
      <alignment horizontal="center" vertical="center"/>
      <protection hidden="1"/>
    </xf>
    <xf numFmtId="166" fontId="26" fillId="0" borderId="1" xfId="0" applyNumberFormat="1" applyFont="1" applyBorder="1" applyAlignment="1" applyProtection="1">
      <alignment horizontal="center" vertical="center"/>
      <protection hidden="1"/>
    </xf>
    <xf numFmtId="166" fontId="26" fillId="0" borderId="19" xfId="0" applyNumberFormat="1" applyFont="1" applyBorder="1" applyAlignment="1">
      <alignment horizontal="center" vertical="center"/>
    </xf>
    <xf numFmtId="166" fontId="26" fillId="0" borderId="19" xfId="0" applyNumberFormat="1" applyFont="1" applyBorder="1" applyAlignment="1">
      <alignment horizontal="left" vertical="center"/>
    </xf>
    <xf numFmtId="0" fontId="31" fillId="11" borderId="0" xfId="0" applyFont="1" applyFill="1" applyAlignment="1">
      <alignment vertical="center"/>
    </xf>
    <xf numFmtId="1" fontId="31" fillId="11" borderId="0" xfId="0" applyNumberFormat="1" applyFont="1" applyFill="1" applyAlignment="1">
      <alignment vertical="center"/>
    </xf>
    <xf numFmtId="0" fontId="32" fillId="11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6" fillId="5" borderId="1" xfId="0" applyFont="1" applyFill="1" applyBorder="1" applyAlignment="1">
      <alignment horizontal="left"/>
    </xf>
    <xf numFmtId="17" fontId="37" fillId="5" borderId="1" xfId="0" applyNumberFormat="1" applyFont="1" applyFill="1" applyBorder="1" applyAlignment="1">
      <alignment horizontal="center"/>
    </xf>
    <xf numFmtId="17" fontId="36" fillId="5" borderId="1" xfId="0" applyNumberFormat="1" applyFont="1" applyFill="1" applyBorder="1" applyAlignment="1">
      <alignment horizontal="center"/>
    </xf>
    <xf numFmtId="0" fontId="36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9" fontId="38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left"/>
    </xf>
    <xf numFmtId="0" fontId="36" fillId="14" borderId="1" xfId="0" applyFont="1" applyFill="1" applyBorder="1" applyAlignment="1">
      <alignment horizontal="left"/>
    </xf>
    <xf numFmtId="17" fontId="36" fillId="5" borderId="1" xfId="0" applyNumberFormat="1" applyFont="1" applyFill="1" applyBorder="1" applyAlignment="1">
      <alignment horizontal="left"/>
    </xf>
    <xf numFmtId="0" fontId="36" fillId="5" borderId="1" xfId="0" applyFont="1" applyFill="1" applyBorder="1" applyAlignment="1">
      <alignment horizontal="center"/>
    </xf>
    <xf numFmtId="9" fontId="36" fillId="5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0" fillId="18" borderId="1" xfId="0" applyFont="1" applyFill="1" applyBorder="1" applyAlignment="1">
      <alignment horizontal="center" vertical="center" wrapText="1"/>
    </xf>
    <xf numFmtId="1" fontId="27" fillId="0" borderId="0" xfId="0" applyNumberFormat="1" applyFont="1"/>
    <xf numFmtId="1" fontId="34" fillId="0" borderId="1" xfId="0" applyNumberFormat="1" applyFont="1" applyBorder="1" applyAlignment="1" applyProtection="1">
      <alignment horizontal="center" vertical="center"/>
      <protection hidden="1"/>
    </xf>
    <xf numFmtId="0" fontId="36" fillId="19" borderId="1" xfId="0" applyFont="1" applyFill="1" applyBorder="1" applyAlignment="1">
      <alignment horizontal="center"/>
    </xf>
    <xf numFmtId="0" fontId="27" fillId="20" borderId="0" xfId="0" applyFont="1" applyFill="1"/>
    <xf numFmtId="17" fontId="37" fillId="7" borderId="1" xfId="0" applyNumberFormat="1" applyFont="1" applyFill="1" applyBorder="1" applyAlignment="1">
      <alignment horizontal="center"/>
    </xf>
    <xf numFmtId="0" fontId="36" fillId="7" borderId="1" xfId="0" applyFont="1" applyFill="1" applyBorder="1" applyAlignment="1">
      <alignment horizontal="left"/>
    </xf>
    <xf numFmtId="0" fontId="38" fillId="20" borderId="0" xfId="0" applyFont="1" applyFill="1" applyAlignment="1">
      <alignment horizontal="center"/>
    </xf>
    <xf numFmtId="0" fontId="38" fillId="0" borderId="0" xfId="0" applyFont="1" applyAlignment="1">
      <alignment horizontal="center"/>
    </xf>
    <xf numFmtId="0" fontId="39" fillId="0" borderId="1" xfId="0" applyFont="1" applyBorder="1" applyAlignment="1">
      <alignment horizontal="center"/>
    </xf>
    <xf numFmtId="1" fontId="37" fillId="5" borderId="1" xfId="0" applyNumberFormat="1" applyFont="1" applyFill="1" applyBorder="1" applyAlignment="1">
      <alignment horizontal="center"/>
    </xf>
    <xf numFmtId="1" fontId="36" fillId="5" borderId="1" xfId="0" applyNumberFormat="1" applyFont="1" applyFill="1" applyBorder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20" borderId="0" xfId="0" applyFont="1" applyFill="1"/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/>
    </xf>
    <xf numFmtId="1" fontId="26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38" fillId="0" borderId="1" xfId="0" applyFont="1" applyBorder="1"/>
    <xf numFmtId="9" fontId="38" fillId="0" borderId="1" xfId="0" applyNumberFormat="1" applyFont="1" applyBorder="1"/>
    <xf numFmtId="1" fontId="0" fillId="0" borderId="0" xfId="0" applyNumberFormat="1"/>
    <xf numFmtId="0" fontId="28" fillId="9" borderId="0" xfId="0" applyFont="1" applyFill="1" applyAlignment="1">
      <alignment horizontal="center"/>
    </xf>
    <xf numFmtId="165" fontId="28" fillId="2" borderId="0" xfId="0" applyNumberFormat="1" applyFont="1" applyFill="1" applyAlignment="1" applyProtection="1">
      <alignment horizontal="center" vertical="center"/>
      <protection hidden="1"/>
    </xf>
    <xf numFmtId="1" fontId="28" fillId="0" borderId="0" xfId="2" applyNumberFormat="1" applyFont="1" applyBorder="1" applyAlignment="1" applyProtection="1">
      <alignment horizontal="center"/>
      <protection hidden="1"/>
    </xf>
    <xf numFmtId="1" fontId="28" fillId="2" borderId="0" xfId="0" applyNumberFormat="1" applyFont="1" applyFill="1" applyAlignment="1" applyProtection="1">
      <alignment horizontal="center" vertical="center"/>
      <protection hidden="1"/>
    </xf>
    <xf numFmtId="0" fontId="30" fillId="18" borderId="0" xfId="0" applyFont="1" applyFill="1" applyAlignment="1">
      <alignment vertical="center"/>
    </xf>
    <xf numFmtId="1" fontId="33" fillId="5" borderId="1" xfId="0" applyNumberFormat="1" applyFont="1" applyFill="1" applyBorder="1" applyAlignment="1" applyProtection="1">
      <alignment horizontal="center" vertical="center"/>
      <protection hidden="1"/>
    </xf>
    <xf numFmtId="1" fontId="33" fillId="15" borderId="1" xfId="0" applyNumberFormat="1" applyFont="1" applyFill="1" applyBorder="1" applyAlignment="1" applyProtection="1">
      <alignment horizontal="center" vertical="center"/>
      <protection hidden="1"/>
    </xf>
    <xf numFmtId="1" fontId="33" fillId="5" borderId="1" xfId="0" applyNumberFormat="1" applyFont="1" applyFill="1" applyBorder="1" applyAlignment="1" applyProtection="1">
      <alignment vertical="center"/>
      <protection hidden="1"/>
    </xf>
    <xf numFmtId="1" fontId="33" fillId="5" borderId="51" xfId="0" applyNumberFormat="1" applyFont="1" applyFill="1" applyBorder="1" applyAlignment="1" applyProtection="1">
      <alignment horizontal="center" vertical="center"/>
      <protection hidden="1"/>
    </xf>
    <xf numFmtId="1" fontId="33" fillId="5" borderId="50" xfId="0" applyNumberFormat="1" applyFont="1" applyFill="1" applyBorder="1" applyAlignment="1" applyProtection="1">
      <alignment horizontal="center" vertical="center"/>
      <protection hidden="1"/>
    </xf>
    <xf numFmtId="1" fontId="33" fillId="0" borderId="1" xfId="0" applyNumberFormat="1" applyFont="1" applyBorder="1" applyAlignment="1" applyProtection="1">
      <alignment vertical="center"/>
      <protection hidden="1"/>
    </xf>
    <xf numFmtId="1" fontId="33" fillId="0" borderId="1" xfId="0" applyNumberFormat="1" applyFont="1" applyBorder="1" applyAlignment="1" applyProtection="1">
      <alignment horizontal="center" vertical="center"/>
      <protection hidden="1"/>
    </xf>
    <xf numFmtId="1" fontId="2" fillId="0" borderId="50" xfId="0" applyNumberFormat="1" applyFont="1" applyBorder="1" applyAlignment="1">
      <alignment horizontal="center"/>
    </xf>
    <xf numFmtId="1" fontId="33" fillId="0" borderId="1" xfId="0" applyNumberFormat="1" applyFont="1" applyBorder="1" applyAlignment="1">
      <alignment vertical="center"/>
    </xf>
    <xf numFmtId="1" fontId="33" fillId="0" borderId="1" xfId="0" applyNumberFormat="1" applyFont="1" applyBorder="1"/>
    <xf numFmtId="1" fontId="33" fillId="14" borderId="1" xfId="0" applyNumberFormat="1" applyFont="1" applyFill="1" applyBorder="1"/>
    <xf numFmtId="1" fontId="33" fillId="5" borderId="45" xfId="0" applyNumberFormat="1" applyFont="1" applyFill="1" applyBorder="1" applyAlignment="1" applyProtection="1">
      <alignment horizontal="center" vertical="center"/>
      <protection hidden="1"/>
    </xf>
    <xf numFmtId="168" fontId="33" fillId="5" borderId="1" xfId="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/>
    <xf numFmtId="0" fontId="26" fillId="19" borderId="1" xfId="0" applyFont="1" applyFill="1" applyBorder="1" applyAlignment="1" applyProtection="1">
      <alignment horizontal="center" vertical="center"/>
      <protection hidden="1"/>
    </xf>
    <xf numFmtId="0" fontId="26" fillId="0" borderId="14" xfId="0" applyFont="1" applyBorder="1" applyAlignment="1">
      <alignment horizontal="center" vertical="center"/>
    </xf>
    <xf numFmtId="17" fontId="26" fillId="0" borderId="14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27" fillId="0" borderId="23" xfId="0" applyFont="1" applyBorder="1" applyAlignment="1" applyProtection="1">
      <alignment vertical="center"/>
      <protection hidden="1"/>
    </xf>
    <xf numFmtId="17" fontId="26" fillId="2" borderId="1" xfId="0" applyNumberFormat="1" applyFont="1" applyFill="1" applyBorder="1" applyAlignment="1" applyProtection="1">
      <alignment horizontal="centerContinuous" vertical="center"/>
      <protection hidden="1"/>
    </xf>
    <xf numFmtId="0" fontId="26" fillId="2" borderId="1" xfId="0" applyFont="1" applyFill="1" applyBorder="1" applyAlignment="1" applyProtection="1">
      <alignment horizontal="center" vertical="center"/>
      <protection hidden="1"/>
    </xf>
    <xf numFmtId="0" fontId="26" fillId="2" borderId="1" xfId="0" applyFont="1" applyFill="1" applyBorder="1" applyAlignment="1" applyProtection="1">
      <alignment vertical="center"/>
      <protection hidden="1"/>
    </xf>
    <xf numFmtId="0" fontId="26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1" fontId="26" fillId="0" borderId="1" xfId="0" applyNumberFormat="1" applyFont="1" applyBorder="1" applyAlignment="1" applyProtection="1">
      <alignment vertical="center"/>
      <protection hidden="1"/>
    </xf>
    <xf numFmtId="0" fontId="27" fillId="21" borderId="0" xfId="0" applyFont="1" applyFill="1"/>
    <xf numFmtId="0" fontId="26" fillId="21" borderId="0" xfId="0" applyFont="1" applyFill="1"/>
    <xf numFmtId="0" fontId="42" fillId="21" borderId="1" xfId="0" applyFont="1" applyFill="1" applyBorder="1" applyAlignment="1">
      <alignment horizontal="centerContinuous"/>
    </xf>
    <xf numFmtId="0" fontId="43" fillId="21" borderId="0" xfId="0" applyFont="1" applyFill="1" applyAlignment="1">
      <alignment horizontal="centerContinuous"/>
    </xf>
    <xf numFmtId="0" fontId="43" fillId="21" borderId="0" xfId="0" applyFont="1" applyFill="1"/>
    <xf numFmtId="0" fontId="26" fillId="0" borderId="0" xfId="0" applyFont="1" applyAlignment="1" applyProtection="1">
      <alignment vertical="center"/>
      <protection hidden="1"/>
    </xf>
    <xf numFmtId="0" fontId="26" fillId="20" borderId="0" xfId="0" applyFont="1" applyFill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9" fontId="36" fillId="0" borderId="1" xfId="0" applyNumberFormat="1" applyFont="1" applyBorder="1" applyAlignment="1">
      <alignment horizontal="center"/>
    </xf>
    <xf numFmtId="17" fontId="26" fillId="0" borderId="1" xfId="0" applyNumberFormat="1" applyFont="1" applyBorder="1" applyAlignment="1">
      <alignment horizontal="center" vertical="center" wrapText="1"/>
    </xf>
    <xf numFmtId="1" fontId="27" fillId="0" borderId="1" xfId="0" applyNumberFormat="1" applyFont="1" applyBorder="1" applyAlignment="1" applyProtection="1">
      <alignment vertical="center"/>
      <protection hidden="1"/>
    </xf>
    <xf numFmtId="9" fontId="38" fillId="0" borderId="0" xfId="0" applyNumberFormat="1" applyFont="1" applyAlignment="1">
      <alignment horizontal="center"/>
    </xf>
    <xf numFmtId="0" fontId="4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6" fillId="0" borderId="0" xfId="0" applyFont="1" applyAlignment="1">
      <alignment horizontal="center"/>
    </xf>
    <xf numFmtId="9" fontId="36" fillId="0" borderId="0" xfId="0" applyNumberFormat="1" applyFont="1" applyAlignment="1">
      <alignment horizontal="center"/>
    </xf>
    <xf numFmtId="1" fontId="33" fillId="5" borderId="2" xfId="0" applyNumberFormat="1" applyFont="1" applyFill="1" applyBorder="1" applyAlignment="1" applyProtection="1">
      <alignment horizontal="center" vertical="center"/>
      <protection hidden="1"/>
    </xf>
    <xf numFmtId="1" fontId="33" fillId="0" borderId="2" xfId="0" applyNumberFormat="1" applyFont="1" applyBorder="1" applyAlignment="1" applyProtection="1">
      <alignment horizontal="center" vertical="center"/>
      <protection hidden="1"/>
    </xf>
    <xf numFmtId="1" fontId="33" fillId="5" borderId="3" xfId="0" applyNumberFormat="1" applyFont="1" applyFill="1" applyBorder="1" applyAlignment="1" applyProtection="1">
      <alignment horizontal="center" vertical="center"/>
      <protection hidden="1"/>
    </xf>
    <xf numFmtId="1" fontId="33" fillId="5" borderId="8" xfId="0" applyNumberFormat="1" applyFont="1" applyFill="1" applyBorder="1" applyAlignment="1" applyProtection="1">
      <alignment horizontal="center" vertical="center"/>
      <protection hidden="1"/>
    </xf>
    <xf numFmtId="1" fontId="34" fillId="0" borderId="3" xfId="0" applyNumberFormat="1" applyFont="1" applyBorder="1" applyAlignment="1" applyProtection="1">
      <alignment horizontal="center" vertical="center"/>
      <protection hidden="1"/>
    </xf>
    <xf numFmtId="0" fontId="43" fillId="21" borderId="1" xfId="0" applyFont="1" applyFill="1" applyBorder="1" applyAlignment="1">
      <alignment horizontal="centerContinuous"/>
    </xf>
    <xf numFmtId="168" fontId="27" fillId="0" borderId="0" xfId="0" applyNumberFormat="1" applyFont="1"/>
    <xf numFmtId="1" fontId="27" fillId="0" borderId="1" xfId="0" applyNumberFormat="1" applyFont="1" applyBorder="1" applyAlignment="1">
      <alignment horizontal="center"/>
    </xf>
    <xf numFmtId="1" fontId="26" fillId="0" borderId="8" xfId="0" applyNumberFormat="1" applyFont="1" applyBorder="1" applyAlignment="1">
      <alignment horizontal="center"/>
    </xf>
    <xf numFmtId="1" fontId="27" fillId="0" borderId="45" xfId="0" applyNumberFormat="1" applyFont="1" applyBorder="1" applyAlignment="1">
      <alignment horizontal="center"/>
    </xf>
    <xf numFmtId="0" fontId="30" fillId="0" borderId="1" xfId="0" applyFont="1" applyBorder="1" applyAlignment="1">
      <alignment vertical="center" wrapText="1"/>
    </xf>
    <xf numFmtId="166" fontId="26" fillId="0" borderId="2" xfId="0" applyNumberFormat="1" applyFont="1" applyBorder="1" applyAlignment="1">
      <alignment horizontal="center" vertical="center"/>
    </xf>
    <xf numFmtId="166" fontId="26" fillId="0" borderId="45" xfId="0" applyNumberFormat="1" applyFont="1" applyBorder="1" applyAlignment="1">
      <alignment horizontal="center" vertical="center"/>
    </xf>
    <xf numFmtId="17" fontId="26" fillId="0" borderId="2" xfId="0" applyNumberFormat="1" applyFont="1" applyBorder="1" applyAlignment="1">
      <alignment horizontal="center" vertical="center"/>
    </xf>
    <xf numFmtId="17" fontId="26" fillId="0" borderId="45" xfId="0" applyNumberFormat="1" applyFont="1" applyBorder="1" applyAlignment="1">
      <alignment horizontal="center" vertical="center"/>
    </xf>
    <xf numFmtId="17" fontId="26" fillId="17" borderId="1" xfId="0" applyNumberFormat="1" applyFont="1" applyFill="1" applyBorder="1" applyAlignment="1" applyProtection="1">
      <alignment horizontal="center" vertical="center"/>
      <protection hidden="1"/>
    </xf>
    <xf numFmtId="0" fontId="26" fillId="17" borderId="47" xfId="0" applyFont="1" applyFill="1" applyBorder="1" applyAlignment="1">
      <alignment horizontal="center" vertical="center"/>
    </xf>
    <xf numFmtId="0" fontId="26" fillId="17" borderId="48" xfId="0" applyFont="1" applyFill="1" applyBorder="1" applyAlignment="1">
      <alignment horizontal="center" vertical="center"/>
    </xf>
    <xf numFmtId="0" fontId="26" fillId="17" borderId="49" xfId="0" applyFont="1" applyFill="1" applyBorder="1" applyAlignment="1">
      <alignment horizontal="center" vertical="center"/>
    </xf>
    <xf numFmtId="17" fontId="26" fillId="17" borderId="2" xfId="0" applyNumberFormat="1" applyFont="1" applyFill="1" applyBorder="1" applyAlignment="1">
      <alignment horizontal="center" vertical="center"/>
    </xf>
    <xf numFmtId="17" fontId="26" fillId="17" borderId="22" xfId="0" applyNumberFormat="1" applyFont="1" applyFill="1" applyBorder="1" applyAlignment="1">
      <alignment horizontal="center" vertical="center"/>
    </xf>
    <xf numFmtId="17" fontId="26" fillId="17" borderId="45" xfId="0" applyNumberFormat="1" applyFont="1" applyFill="1" applyBorder="1" applyAlignment="1">
      <alignment horizontal="center" vertical="center"/>
    </xf>
    <xf numFmtId="17" fontId="26" fillId="17" borderId="2" xfId="0" applyNumberFormat="1" applyFont="1" applyFill="1" applyBorder="1" applyAlignment="1" applyProtection="1">
      <alignment horizontal="center" vertical="center"/>
      <protection hidden="1"/>
    </xf>
    <xf numFmtId="17" fontId="26" fillId="17" borderId="22" xfId="0" applyNumberFormat="1" applyFont="1" applyFill="1" applyBorder="1" applyAlignment="1" applyProtection="1">
      <alignment horizontal="center" vertical="center"/>
      <protection hidden="1"/>
    </xf>
    <xf numFmtId="17" fontId="26" fillId="17" borderId="45" xfId="0" applyNumberFormat="1" applyFont="1" applyFill="1" applyBorder="1" applyAlignment="1" applyProtection="1">
      <alignment horizontal="center" vertical="center"/>
      <protection hidden="1"/>
    </xf>
    <xf numFmtId="17" fontId="26" fillId="17" borderId="1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/>
    </xf>
    <xf numFmtId="0" fontId="28" fillId="9" borderId="22" xfId="0" applyFont="1" applyFill="1" applyBorder="1" applyAlignment="1">
      <alignment horizontal="center"/>
    </xf>
    <xf numFmtId="0" fontId="28" fillId="9" borderId="45" xfId="0" applyFont="1" applyFill="1" applyBorder="1" applyAlignment="1">
      <alignment horizontal="center"/>
    </xf>
    <xf numFmtId="0" fontId="28" fillId="9" borderId="2" xfId="0" applyFont="1" applyFill="1" applyBorder="1" applyAlignment="1">
      <alignment horizontal="center" vertical="center"/>
    </xf>
    <xf numFmtId="0" fontId="28" fillId="9" borderId="22" xfId="0" applyFont="1" applyFill="1" applyBorder="1" applyAlignment="1">
      <alignment horizontal="center" vertical="center"/>
    </xf>
    <xf numFmtId="0" fontId="28" fillId="9" borderId="45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/>
    </xf>
    <xf numFmtId="1" fontId="33" fillId="15" borderId="1" xfId="0" applyNumberFormat="1" applyFont="1" applyFill="1" applyBorder="1" applyAlignment="1" applyProtection="1">
      <alignment horizontal="center" vertical="center"/>
      <protection hidden="1"/>
    </xf>
    <xf numFmtId="1" fontId="33" fillId="15" borderId="2" xfId="0" applyNumberFormat="1" applyFont="1" applyFill="1" applyBorder="1" applyAlignment="1" applyProtection="1">
      <alignment horizontal="center" vertical="center"/>
      <protection hidden="1"/>
    </xf>
    <xf numFmtId="1" fontId="33" fillId="15" borderId="3" xfId="0" applyNumberFormat="1" applyFont="1" applyFill="1" applyBorder="1" applyAlignment="1" applyProtection="1">
      <alignment horizontal="center" vertical="center"/>
      <protection hidden="1"/>
    </xf>
    <xf numFmtId="1" fontId="33" fillId="15" borderId="8" xfId="0" applyNumberFormat="1" applyFont="1" applyFill="1" applyBorder="1" applyAlignment="1" applyProtection="1">
      <alignment horizontal="center" vertical="center"/>
      <protection hidden="1"/>
    </xf>
    <xf numFmtId="1" fontId="33" fillId="15" borderId="45" xfId="0" applyNumberFormat="1" applyFont="1" applyFill="1" applyBorder="1" applyAlignment="1" applyProtection="1">
      <alignment horizontal="center" vertical="center"/>
      <protection hidden="1"/>
    </xf>
    <xf numFmtId="168" fontId="33" fillId="5" borderId="1" xfId="0" applyNumberFormat="1" applyFont="1" applyFill="1" applyBorder="1" applyAlignment="1" applyProtection="1">
      <alignment horizontal="center" vertical="center"/>
      <protection hidden="1"/>
    </xf>
    <xf numFmtId="168" fontId="33" fillId="5" borderId="2" xfId="0" applyNumberFormat="1" applyFont="1" applyFill="1" applyBorder="1" applyAlignment="1" applyProtection="1">
      <alignment horizontal="center" vertical="center"/>
      <protection hidden="1"/>
    </xf>
    <xf numFmtId="168" fontId="33" fillId="5" borderId="5" xfId="0" applyNumberFormat="1" applyFont="1" applyFill="1" applyBorder="1" applyAlignment="1" applyProtection="1">
      <alignment horizontal="center" vertical="center"/>
      <protection hidden="1"/>
    </xf>
    <xf numFmtId="168" fontId="33" fillId="5" borderId="6" xfId="0" applyNumberFormat="1" applyFont="1" applyFill="1" applyBorder="1" applyAlignment="1" applyProtection="1">
      <alignment horizontal="center" vertical="center"/>
      <protection hidden="1"/>
    </xf>
    <xf numFmtId="168" fontId="33" fillId="5" borderId="7" xfId="0" applyNumberFormat="1" applyFont="1" applyFill="1" applyBorder="1" applyAlignment="1" applyProtection="1">
      <alignment horizontal="center" vertical="center"/>
      <protection hidden="1"/>
    </xf>
    <xf numFmtId="168" fontId="33" fillId="5" borderId="45" xfId="0" applyNumberFormat="1" applyFont="1" applyFill="1" applyBorder="1" applyAlignment="1" applyProtection="1">
      <alignment horizontal="center" vertical="center"/>
      <protection hidden="1"/>
    </xf>
    <xf numFmtId="17" fontId="37" fillId="7" borderId="1" xfId="0" applyNumberFormat="1" applyFont="1" applyFill="1" applyBorder="1" applyAlignment="1">
      <alignment horizontal="center"/>
    </xf>
    <xf numFmtId="17" fontId="37" fillId="7" borderId="2" xfId="0" applyNumberFormat="1" applyFont="1" applyFill="1" applyBorder="1" applyAlignment="1">
      <alignment horizontal="center"/>
    </xf>
    <xf numFmtId="17" fontId="37" fillId="7" borderId="45" xfId="0" applyNumberFormat="1" applyFont="1" applyFill="1" applyBorder="1" applyAlignment="1">
      <alignment horizontal="center"/>
    </xf>
    <xf numFmtId="17" fontId="37" fillId="7" borderId="22" xfId="0" applyNumberFormat="1" applyFont="1" applyFill="1" applyBorder="1" applyAlignment="1">
      <alignment horizontal="center"/>
    </xf>
    <xf numFmtId="166" fontId="2" fillId="3" borderId="2" xfId="0" applyNumberFormat="1" applyFont="1" applyFill="1" applyBorder="1" applyAlignment="1" applyProtection="1">
      <alignment horizontal="center" vertical="center"/>
      <protection hidden="1"/>
    </xf>
    <xf numFmtId="166" fontId="2" fillId="3" borderId="29" xfId="0" applyNumberFormat="1" applyFont="1" applyFill="1" applyBorder="1" applyAlignment="1" applyProtection="1">
      <alignment horizontal="center" vertical="center"/>
      <protection hidden="1"/>
    </xf>
    <xf numFmtId="166" fontId="2" fillId="3" borderId="30" xfId="0" applyNumberFormat="1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2" fillId="3" borderId="6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166" fontId="2" fillId="3" borderId="1" xfId="0" applyNumberFormat="1" applyFont="1" applyFill="1" applyBorder="1" applyAlignment="1" applyProtection="1">
      <alignment horizontal="center" vertical="center"/>
      <protection hidden="1"/>
    </xf>
    <xf numFmtId="166" fontId="2" fillId="3" borderId="27" xfId="0" applyNumberFormat="1" applyFont="1" applyFill="1" applyBorder="1" applyAlignment="1" applyProtection="1">
      <alignment horizontal="center" vertical="center"/>
      <protection hidden="1"/>
    </xf>
    <xf numFmtId="166" fontId="23" fillId="15" borderId="1" xfId="0" applyNumberFormat="1" applyFont="1" applyFill="1" applyBorder="1" applyAlignment="1" applyProtection="1">
      <alignment horizontal="center" vertical="center"/>
      <protection hidden="1"/>
    </xf>
    <xf numFmtId="17" fontId="23" fillId="5" borderId="1" xfId="0" applyNumberFormat="1" applyFont="1" applyFill="1" applyBorder="1" applyAlignment="1" applyProtection="1">
      <alignment horizontal="center" vertical="center"/>
      <protection hidden="1"/>
    </xf>
    <xf numFmtId="0" fontId="23" fillId="5" borderId="1" xfId="0" applyFont="1" applyFill="1" applyBorder="1" applyAlignment="1" applyProtection="1">
      <alignment horizontal="center" vertical="center"/>
      <protection hidden="1"/>
    </xf>
    <xf numFmtId="166" fontId="17" fillId="13" borderId="28" xfId="0" applyNumberFormat="1" applyFont="1" applyFill="1" applyBorder="1" applyAlignment="1">
      <alignment vertical="center"/>
    </xf>
    <xf numFmtId="166" fontId="17" fillId="13" borderId="29" xfId="0" applyNumberFormat="1" applyFont="1" applyFill="1" applyBorder="1" applyAlignment="1">
      <alignment vertical="center"/>
    </xf>
    <xf numFmtId="166" fontId="17" fillId="13" borderId="30" xfId="0" applyNumberFormat="1" applyFont="1" applyFill="1" applyBorder="1" applyAlignment="1">
      <alignment vertical="center"/>
    </xf>
    <xf numFmtId="166" fontId="17" fillId="13" borderId="35" xfId="0" applyNumberFormat="1" applyFont="1" applyFill="1" applyBorder="1" applyAlignment="1">
      <alignment horizontal="center" vertical="center"/>
    </xf>
    <xf numFmtId="166" fontId="17" fillId="13" borderId="36" xfId="0" applyNumberFormat="1" applyFont="1" applyFill="1" applyBorder="1" applyAlignment="1">
      <alignment horizontal="center" vertical="center"/>
    </xf>
    <xf numFmtId="166" fontId="17" fillId="13" borderId="44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/>
    </xf>
    <xf numFmtId="17" fontId="2" fillId="0" borderId="22" xfId="0" applyNumberFormat="1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25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</cellXfs>
  <cellStyles count="3">
    <cellStyle name="Comma" xfId="1" builtinId="3"/>
    <cellStyle name="Comma 2" xfId="2" xr:uid="{A398E50B-E52F-4A39-B9E6-7D8187235DF7}"/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Revenue LY v/s 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'YoY Growth'!$B$31</c:f>
              <c:strCache>
                <c:ptCount val="1"/>
                <c:pt idx="0">
                  <c:v>2022-23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'YoY Growth'!$A$32:$A$43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'YoY Growth'!$B$32:$B$43</c:f>
              <c:numCache>
                <c:formatCode>_(* #,##0_);_(* \(#,##0\);_(* "-"??_);_(@_)</c:formatCode>
                <c:ptCount val="12"/>
                <c:pt idx="0">
                  <c:v>26737575</c:v>
                </c:pt>
                <c:pt idx="1">
                  <c:v>30073321</c:v>
                </c:pt>
                <c:pt idx="2">
                  <c:v>27902548</c:v>
                </c:pt>
                <c:pt idx="3">
                  <c:v>25841927</c:v>
                </c:pt>
                <c:pt idx="4">
                  <c:v>27715457</c:v>
                </c:pt>
                <c:pt idx="5">
                  <c:v>30452676</c:v>
                </c:pt>
                <c:pt idx="6">
                  <c:v>25888139</c:v>
                </c:pt>
                <c:pt idx="7">
                  <c:v>28002876</c:v>
                </c:pt>
                <c:pt idx="8">
                  <c:v>30171189</c:v>
                </c:pt>
                <c:pt idx="9">
                  <c:v>27141744</c:v>
                </c:pt>
                <c:pt idx="10">
                  <c:v>26788824</c:v>
                </c:pt>
                <c:pt idx="11">
                  <c:v>33374974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A-41A9-9B38-DA79E9D99BFF}"/>
            </c:ext>
          </c:extLst>
        </c:ser>
        <c:ser>
          <c:idx val="1"/>
          <c:order val="1"/>
          <c:tx>
            <c:strRef>
              <c:f>'YoY Growth'!$C$31</c:f>
              <c:strCache>
                <c:ptCount val="1"/>
                <c:pt idx="0">
                  <c:v>2023-24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'YoY Growth'!$A$32:$A$43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'YoY Growth'!$C$32:$C$43</c:f>
              <c:numCache>
                <c:formatCode>_(* #,##0_);_(* \(#,##0\);_(* "-"??_);_(@_)</c:formatCode>
                <c:ptCount val="12"/>
                <c:pt idx="0">
                  <c:v>37226036</c:v>
                </c:pt>
                <c:pt idx="1">
                  <c:v>41746567</c:v>
                </c:pt>
                <c:pt idx="2">
                  <c:v>44645420</c:v>
                </c:pt>
                <c:pt idx="3">
                  <c:v>54191500</c:v>
                </c:pt>
                <c:pt idx="4">
                  <c:v>57186828</c:v>
                </c:pt>
                <c:pt idx="5">
                  <c:v>52646757</c:v>
                </c:pt>
                <c:pt idx="6">
                  <c:v>50871804</c:v>
                </c:pt>
                <c:pt idx="7">
                  <c:v>50057220</c:v>
                </c:pt>
                <c:pt idx="8">
                  <c:v>54519181</c:v>
                </c:pt>
                <c:pt idx="9">
                  <c:v>61645775</c:v>
                </c:pt>
                <c:pt idx="10">
                  <c:v>59635666</c:v>
                </c:pt>
                <c:pt idx="11">
                  <c:v>54462123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A-41A9-9B38-DA79E9D99B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1415136"/>
        <c:axId val="531416216"/>
      </c:barChart>
      <c:catAx>
        <c:axId val="53141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16216"/>
        <c:crosses val="autoZero"/>
        <c:auto val="1"/>
        <c:lblAlgn val="ctr"/>
        <c:lblOffset val="100"/>
        <c:noMultiLvlLbl val="1"/>
      </c:catAx>
      <c:valAx>
        <c:axId val="53141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1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350520</xdr:colOff>
      <xdr:row>34</xdr:row>
      <xdr:rowOff>152400</xdr:rowOff>
    </xdr:from>
    <xdr:to>
      <xdr:col>23</xdr:col>
      <xdr:colOff>129540</xdr:colOff>
      <xdr:row>54</xdr:row>
      <xdr:rowOff>76206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375C9-A586-8B4E-BA2F-BEC960B1A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7D43-0B5D-4C4E-8F2B-FDA18644936C}">
  <dimension ref="A1:BM47"/>
  <sheetViews>
    <sheetView topLeftCell="A24" workbookViewId="0">
      <selection activeCell="F23" sqref="F23"/>
    </sheetView>
  </sheetViews>
  <sheetFormatPr defaultRowHeight="12" x14ac:dyDescent="0.25"/>
  <cols>
    <col min="1" max="1" width="13.77734375" style="218" bestFit="1" customWidth="1"/>
    <col min="2" max="2" width="3.109375" style="174" bestFit="1" customWidth="1"/>
    <col min="3" max="3" width="7.21875" style="174" bestFit="1" customWidth="1"/>
    <col min="4" max="4" width="6" style="174" bestFit="1" customWidth="1"/>
    <col min="5" max="5" width="3.109375" style="174" bestFit="1" customWidth="1"/>
    <col min="6" max="6" width="7.21875" style="174" bestFit="1" customWidth="1"/>
    <col min="7" max="7" width="6" style="174" bestFit="1" customWidth="1"/>
    <col min="8" max="8" width="3.109375" style="174" bestFit="1" customWidth="1"/>
    <col min="9" max="9" width="7.21875" style="174" bestFit="1" customWidth="1"/>
    <col min="10" max="10" width="6" style="174" bestFit="1" customWidth="1"/>
    <col min="11" max="11" width="3.109375" style="174" bestFit="1" customWidth="1"/>
    <col min="12" max="12" width="7.21875" style="174" bestFit="1" customWidth="1"/>
    <col min="13" max="13" width="6" style="174" bestFit="1" customWidth="1"/>
    <col min="14" max="14" width="3.109375" style="174" bestFit="1" customWidth="1"/>
    <col min="15" max="15" width="7.21875" style="174" bestFit="1" customWidth="1"/>
    <col min="16" max="16" width="5.44140625" style="174" bestFit="1" customWidth="1"/>
    <col min="17" max="17" width="3.109375" style="174" bestFit="1" customWidth="1"/>
    <col min="18" max="18" width="7.21875" style="174" bestFit="1" customWidth="1"/>
    <col min="19" max="19" width="5.44140625" style="174" bestFit="1" customWidth="1"/>
    <col min="20" max="20" width="3.109375" style="174" bestFit="1" customWidth="1"/>
    <col min="21" max="21" width="7.21875" style="174" bestFit="1" customWidth="1"/>
    <col min="22" max="22" width="5.44140625" style="174" bestFit="1" customWidth="1"/>
    <col min="23" max="23" width="3.109375" style="174" bestFit="1" customWidth="1"/>
    <col min="24" max="24" width="7.21875" style="174" bestFit="1" customWidth="1"/>
    <col min="25" max="25" width="5.44140625" style="174" bestFit="1" customWidth="1"/>
    <col min="26" max="26" width="3.109375" style="174" bestFit="1" customWidth="1"/>
    <col min="27" max="27" width="7.21875" style="174" bestFit="1" customWidth="1"/>
    <col min="28" max="28" width="5.44140625" style="174" bestFit="1" customWidth="1"/>
    <col min="29" max="29" width="3.109375" style="174" bestFit="1" customWidth="1"/>
    <col min="30" max="30" width="7.21875" style="174" bestFit="1" customWidth="1"/>
    <col min="31" max="31" width="5.44140625" style="174" bestFit="1" customWidth="1"/>
    <col min="32" max="32" width="3.109375" style="174" bestFit="1" customWidth="1"/>
    <col min="33" max="33" width="7.21875" style="174" bestFit="1" customWidth="1"/>
    <col min="34" max="34" width="5.44140625" style="174" bestFit="1" customWidth="1"/>
    <col min="35" max="35" width="3.109375" style="183" bestFit="1" customWidth="1"/>
    <col min="36" max="36" width="7.21875" style="183" bestFit="1" customWidth="1"/>
    <col min="37" max="37" width="5.44140625" style="174" bestFit="1" customWidth="1"/>
    <col min="38" max="38" width="1" style="174" customWidth="1"/>
    <col min="39" max="39" width="13.77734375" style="174" bestFit="1" customWidth="1"/>
    <col min="40" max="40" width="3.5546875" style="174" bestFit="1" customWidth="1"/>
    <col min="41" max="41" width="7.21875" style="174" bestFit="1" customWidth="1"/>
    <col min="42" max="42" width="3.5546875" style="174" bestFit="1" customWidth="1"/>
    <col min="43" max="43" width="7.21875" style="174" bestFit="1" customWidth="1"/>
    <col min="44" max="44" width="3.5546875" style="174" bestFit="1" customWidth="1"/>
    <col min="45" max="45" width="7.21875" style="174" bestFit="1" customWidth="1"/>
    <col min="46" max="46" width="3.5546875" style="174" bestFit="1" customWidth="1"/>
    <col min="47" max="47" width="7.21875" style="174" bestFit="1" customWidth="1"/>
    <col min="48" max="48" width="3.109375" style="174" bestFit="1" customWidth="1"/>
    <col min="49" max="49" width="7.21875" style="174" bestFit="1" customWidth="1"/>
    <col min="50" max="50" width="3.109375" style="174" bestFit="1" customWidth="1"/>
    <col min="51" max="51" width="7.21875" style="174" bestFit="1" customWidth="1"/>
    <col min="52" max="52" width="3.109375" style="174" bestFit="1" customWidth="1"/>
    <col min="53" max="53" width="7.21875" style="174" bestFit="1" customWidth="1"/>
    <col min="54" max="54" width="3.109375" style="174" bestFit="1" customWidth="1"/>
    <col min="55" max="55" width="7.21875" style="174" bestFit="1" customWidth="1"/>
    <col min="56" max="56" width="3.109375" style="174" bestFit="1" customWidth="1"/>
    <col min="57" max="57" width="7.21875" style="174" bestFit="1" customWidth="1"/>
    <col min="58" max="58" width="3.109375" style="174" bestFit="1" customWidth="1"/>
    <col min="59" max="59" width="7.21875" style="174" bestFit="1" customWidth="1"/>
    <col min="60" max="60" width="3.109375" style="174" bestFit="1" customWidth="1"/>
    <col min="61" max="61" width="7.21875" style="174" bestFit="1" customWidth="1"/>
    <col min="62" max="62" width="3.109375" style="174" bestFit="1" customWidth="1"/>
    <col min="63" max="63" width="7.21875" style="174" bestFit="1" customWidth="1"/>
    <col min="64" max="64" width="3.88671875" style="174" bestFit="1" customWidth="1"/>
    <col min="65" max="65" width="7.77734375" style="174" bestFit="1" customWidth="1"/>
    <col min="66" max="16384" width="8.88671875" style="174"/>
  </cols>
  <sheetData>
    <row r="1" spans="1:65" x14ac:dyDescent="0.25">
      <c r="A1" s="228" t="s">
        <v>111</v>
      </c>
      <c r="B1" s="336">
        <v>45383</v>
      </c>
      <c r="C1" s="336"/>
      <c r="D1" s="336"/>
      <c r="E1" s="336">
        <v>45413</v>
      </c>
      <c r="F1" s="336"/>
      <c r="G1" s="336"/>
      <c r="H1" s="336">
        <v>45444</v>
      </c>
      <c r="I1" s="336"/>
      <c r="J1" s="336"/>
      <c r="K1" s="336">
        <v>45474</v>
      </c>
      <c r="L1" s="336"/>
      <c r="M1" s="336"/>
      <c r="N1" s="336">
        <v>45505</v>
      </c>
      <c r="O1" s="336"/>
      <c r="P1" s="336"/>
      <c r="Q1" s="336">
        <v>45536</v>
      </c>
      <c r="R1" s="336"/>
      <c r="S1" s="336"/>
      <c r="T1" s="336">
        <v>45566</v>
      </c>
      <c r="U1" s="336"/>
      <c r="V1" s="336"/>
      <c r="W1" s="336">
        <v>45597</v>
      </c>
      <c r="X1" s="336"/>
      <c r="Y1" s="336"/>
      <c r="Z1" s="336">
        <v>45627</v>
      </c>
      <c r="AA1" s="336"/>
      <c r="AB1" s="336"/>
      <c r="AC1" s="336">
        <v>45658</v>
      </c>
      <c r="AD1" s="336"/>
      <c r="AE1" s="336"/>
      <c r="AF1" s="336">
        <v>45689</v>
      </c>
      <c r="AG1" s="336"/>
      <c r="AH1" s="336"/>
      <c r="AI1" s="336">
        <v>45717</v>
      </c>
      <c r="AJ1" s="336"/>
      <c r="AK1" s="336"/>
      <c r="AM1" s="229" t="s">
        <v>110</v>
      </c>
      <c r="AN1" s="334">
        <v>45017</v>
      </c>
      <c r="AO1" s="335"/>
      <c r="AP1" s="334">
        <v>45047</v>
      </c>
      <c r="AQ1" s="335"/>
      <c r="AR1" s="334">
        <v>45078</v>
      </c>
      <c r="AS1" s="335"/>
      <c r="AT1" s="334">
        <v>45108</v>
      </c>
      <c r="AU1" s="335"/>
      <c r="AV1" s="334">
        <v>45139</v>
      </c>
      <c r="AW1" s="335"/>
      <c r="AX1" s="334">
        <v>45170</v>
      </c>
      <c r="AY1" s="335"/>
      <c r="AZ1" s="334">
        <v>45200</v>
      </c>
      <c r="BA1" s="335"/>
      <c r="BB1" s="334">
        <v>45231</v>
      </c>
      <c r="BC1" s="335"/>
      <c r="BD1" s="334">
        <v>45261</v>
      </c>
      <c r="BE1" s="335"/>
      <c r="BF1" s="334">
        <v>45292</v>
      </c>
      <c r="BG1" s="335"/>
      <c r="BH1" s="334">
        <v>45323</v>
      </c>
      <c r="BI1" s="335"/>
      <c r="BJ1" s="334">
        <v>45352</v>
      </c>
      <c r="BK1" s="335"/>
      <c r="BL1" s="332" t="s">
        <v>14</v>
      </c>
      <c r="BM1" s="333"/>
    </row>
    <row r="2" spans="1:65" x14ac:dyDescent="0.25">
      <c r="A2" s="171" t="s">
        <v>1</v>
      </c>
      <c r="B2" s="186" t="s">
        <v>15</v>
      </c>
      <c r="C2" s="186" t="s">
        <v>22</v>
      </c>
      <c r="D2" s="186" t="s">
        <v>107</v>
      </c>
      <c r="E2" s="186" t="s">
        <v>15</v>
      </c>
      <c r="F2" s="186" t="s">
        <v>22</v>
      </c>
      <c r="G2" s="186" t="s">
        <v>107</v>
      </c>
      <c r="H2" s="186" t="s">
        <v>15</v>
      </c>
      <c r="I2" s="186" t="s">
        <v>22</v>
      </c>
      <c r="J2" s="186" t="s">
        <v>107</v>
      </c>
      <c r="K2" s="186" t="s">
        <v>15</v>
      </c>
      <c r="L2" s="186" t="s">
        <v>22</v>
      </c>
      <c r="M2" s="186" t="s">
        <v>107</v>
      </c>
      <c r="N2" s="186" t="s">
        <v>15</v>
      </c>
      <c r="O2" s="186" t="s">
        <v>22</v>
      </c>
      <c r="P2" s="186" t="s">
        <v>107</v>
      </c>
      <c r="Q2" s="186" t="s">
        <v>15</v>
      </c>
      <c r="R2" s="186" t="s">
        <v>22</v>
      </c>
      <c r="S2" s="186" t="s">
        <v>107</v>
      </c>
      <c r="T2" s="186" t="s">
        <v>15</v>
      </c>
      <c r="U2" s="186" t="s">
        <v>22</v>
      </c>
      <c r="V2" s="186" t="s">
        <v>107</v>
      </c>
      <c r="W2" s="186" t="s">
        <v>15</v>
      </c>
      <c r="X2" s="186" t="s">
        <v>22</v>
      </c>
      <c r="Y2" s="186" t="s">
        <v>107</v>
      </c>
      <c r="Z2" s="186" t="s">
        <v>15</v>
      </c>
      <c r="AA2" s="186" t="s">
        <v>22</v>
      </c>
      <c r="AB2" s="186" t="s">
        <v>107</v>
      </c>
      <c r="AC2" s="186" t="s">
        <v>15</v>
      </c>
      <c r="AD2" s="186" t="s">
        <v>22</v>
      </c>
      <c r="AE2" s="186" t="s">
        <v>107</v>
      </c>
      <c r="AF2" s="186" t="s">
        <v>15</v>
      </c>
      <c r="AG2" s="186" t="s">
        <v>22</v>
      </c>
      <c r="AH2" s="186" t="s">
        <v>107</v>
      </c>
      <c r="AI2" s="186" t="s">
        <v>15</v>
      </c>
      <c r="AJ2" s="186" t="s">
        <v>22</v>
      </c>
      <c r="AK2" s="186" t="s">
        <v>107</v>
      </c>
      <c r="AM2" s="188" t="s">
        <v>1</v>
      </c>
      <c r="AN2" s="216" t="s">
        <v>15</v>
      </c>
      <c r="AO2" s="216" t="s">
        <v>22</v>
      </c>
      <c r="AP2" s="216" t="s">
        <v>15</v>
      </c>
      <c r="AQ2" s="216" t="s">
        <v>22</v>
      </c>
      <c r="AR2" s="216" t="s">
        <v>15</v>
      </c>
      <c r="AS2" s="216" t="s">
        <v>22</v>
      </c>
      <c r="AT2" s="216" t="s">
        <v>15</v>
      </c>
      <c r="AU2" s="216" t="s">
        <v>22</v>
      </c>
      <c r="AV2" s="216" t="s">
        <v>15</v>
      </c>
      <c r="AW2" s="216" t="s">
        <v>22</v>
      </c>
      <c r="AX2" s="216" t="s">
        <v>15</v>
      </c>
      <c r="AY2" s="216" t="s">
        <v>22</v>
      </c>
      <c r="AZ2" s="216" t="s">
        <v>15</v>
      </c>
      <c r="BA2" s="216" t="s">
        <v>22</v>
      </c>
      <c r="BB2" s="216" t="s">
        <v>15</v>
      </c>
      <c r="BC2" s="216" t="s">
        <v>22</v>
      </c>
      <c r="BD2" s="216" t="s">
        <v>15</v>
      </c>
      <c r="BE2" s="216" t="s">
        <v>22</v>
      </c>
      <c r="BF2" s="216" t="s">
        <v>15</v>
      </c>
      <c r="BG2" s="216" t="s">
        <v>22</v>
      </c>
      <c r="BH2" s="216" t="s">
        <v>15</v>
      </c>
      <c r="BI2" s="216" t="s">
        <v>22</v>
      </c>
      <c r="BJ2" s="216" t="s">
        <v>15</v>
      </c>
      <c r="BK2" s="216" t="s">
        <v>22</v>
      </c>
      <c r="BL2" s="216" t="s">
        <v>15</v>
      </c>
      <c r="BM2" s="216" t="s">
        <v>22</v>
      </c>
    </row>
    <row r="3" spans="1:65" x14ac:dyDescent="0.25">
      <c r="A3" s="188" t="s">
        <v>4</v>
      </c>
      <c r="B3" s="224">
        <v>37</v>
      </c>
      <c r="C3" s="224">
        <v>2301860</v>
      </c>
      <c r="D3" s="222">
        <f t="shared" ref="D3:D22" si="0">C3/B3</f>
        <v>62212.432432432433</v>
      </c>
      <c r="E3" s="224">
        <v>27</v>
      </c>
      <c r="F3" s="224">
        <v>2164650</v>
      </c>
      <c r="G3" s="222">
        <f t="shared" ref="G3:G22" si="1">F3/E3</f>
        <v>80172.222222222219</v>
      </c>
      <c r="H3" s="224">
        <v>43</v>
      </c>
      <c r="I3" s="224">
        <v>3445955</v>
      </c>
      <c r="J3" s="222">
        <f t="shared" ref="J3:J22" si="2">I3/H3</f>
        <v>80138.488372093023</v>
      </c>
      <c r="K3" s="224">
        <v>44</v>
      </c>
      <c r="L3" s="224">
        <v>2800285</v>
      </c>
      <c r="M3" s="222">
        <f t="shared" ref="M3:M22" si="3">L3/K3</f>
        <v>63642.840909090912</v>
      </c>
      <c r="N3" s="224">
        <v>29</v>
      </c>
      <c r="O3" s="224">
        <v>1553375</v>
      </c>
      <c r="P3" s="222">
        <f t="shared" ref="P3:P22" si="4">O3/N3</f>
        <v>53564.65517241379</v>
      </c>
      <c r="Q3" s="224">
        <v>31</v>
      </c>
      <c r="R3" s="224">
        <v>2824230</v>
      </c>
      <c r="S3" s="222">
        <f t="shared" ref="S3:S22" si="5">R3/Q3</f>
        <v>91104.193548387091</v>
      </c>
      <c r="T3" s="224">
        <v>25</v>
      </c>
      <c r="U3" s="224">
        <v>2949910</v>
      </c>
      <c r="V3" s="222">
        <f t="shared" ref="V3:V22" si="6">U3/T3</f>
        <v>117996.4</v>
      </c>
      <c r="W3" s="224">
        <v>29</v>
      </c>
      <c r="X3" s="224">
        <v>3668220</v>
      </c>
      <c r="Y3" s="222">
        <f t="shared" ref="Y3:Y22" si="7">X3/W3</f>
        <v>126490.3448275862</v>
      </c>
      <c r="Z3" s="224">
        <v>29</v>
      </c>
      <c r="AA3" s="224">
        <v>4927150</v>
      </c>
      <c r="AB3" s="222">
        <f t="shared" ref="AB3:AB22" si="8">AA3/Z3</f>
        <v>169901.72413793104</v>
      </c>
      <c r="AC3" s="224">
        <v>32</v>
      </c>
      <c r="AD3" s="224">
        <v>3707210</v>
      </c>
      <c r="AE3" s="222">
        <f t="shared" ref="AE3:AE22" si="9">AD3/AC3</f>
        <v>115850.3125</v>
      </c>
      <c r="AF3" s="224">
        <v>32</v>
      </c>
      <c r="AG3" s="224">
        <v>4119270</v>
      </c>
      <c r="AH3" s="222">
        <f t="shared" ref="AH3:AH22" si="10">AG3/AF3</f>
        <v>128727.1875</v>
      </c>
      <c r="AI3" s="223">
        <v>34</v>
      </c>
      <c r="AJ3" s="223">
        <v>4819740</v>
      </c>
      <c r="AK3" s="222">
        <f t="shared" ref="AK3:AK22" si="11">AJ3/AI3</f>
        <v>141757.0588235294</v>
      </c>
      <c r="AM3" s="178" t="s">
        <v>4</v>
      </c>
      <c r="AN3" s="226">
        <v>48</v>
      </c>
      <c r="AO3" s="226">
        <v>2498990</v>
      </c>
      <c r="AP3" s="226">
        <v>40</v>
      </c>
      <c r="AQ3" s="226">
        <v>1711200</v>
      </c>
      <c r="AR3" s="226">
        <v>45</v>
      </c>
      <c r="AS3" s="226">
        <v>2306350</v>
      </c>
      <c r="AT3" s="226">
        <v>46</v>
      </c>
      <c r="AU3" s="226">
        <v>2044890</v>
      </c>
      <c r="AV3" s="226">
        <v>27</v>
      </c>
      <c r="AW3" s="226">
        <v>1805390</v>
      </c>
      <c r="AX3" s="226">
        <v>31</v>
      </c>
      <c r="AY3" s="226">
        <v>1960010</v>
      </c>
      <c r="AZ3" s="226">
        <v>28</v>
      </c>
      <c r="BA3" s="226">
        <v>1418765</v>
      </c>
      <c r="BB3" s="226">
        <v>19</v>
      </c>
      <c r="BC3" s="226">
        <v>742540</v>
      </c>
      <c r="BD3" s="226">
        <v>45</v>
      </c>
      <c r="BE3" s="226">
        <v>1993870</v>
      </c>
      <c r="BF3" s="226">
        <v>53</v>
      </c>
      <c r="BG3" s="226">
        <v>4279800</v>
      </c>
      <c r="BH3" s="226">
        <v>40</v>
      </c>
      <c r="BI3" s="226">
        <v>2653840</v>
      </c>
      <c r="BJ3" s="226">
        <v>31</v>
      </c>
      <c r="BK3" s="226">
        <v>1958940</v>
      </c>
      <c r="BL3" s="225">
        <f t="shared" ref="BL3:BL17" si="12">AN3+AP3+AR3+AT3+AV3+AX3+AZ3+BB3+BD3+BF3+BH3+BJ3</f>
        <v>453</v>
      </c>
      <c r="BM3" s="225">
        <f t="shared" ref="BM3:BM17" si="13">AO3+AQ3+AS3+AU3+AW3+AY3+BA3+BC3+BE3+BG3+BI3+BK3</f>
        <v>25374585</v>
      </c>
    </row>
    <row r="4" spans="1:65" x14ac:dyDescent="0.25">
      <c r="A4" s="188" t="s">
        <v>8</v>
      </c>
      <c r="B4" s="224">
        <v>13</v>
      </c>
      <c r="C4" s="224">
        <v>397100</v>
      </c>
      <c r="D4" s="222">
        <f t="shared" si="0"/>
        <v>30546.153846153848</v>
      </c>
      <c r="E4" s="224">
        <v>13</v>
      </c>
      <c r="F4" s="224">
        <v>457285</v>
      </c>
      <c r="G4" s="222">
        <f t="shared" si="1"/>
        <v>35175.769230769234</v>
      </c>
      <c r="H4" s="224">
        <v>18</v>
      </c>
      <c r="I4" s="224">
        <v>662740</v>
      </c>
      <c r="J4" s="222">
        <f t="shared" si="2"/>
        <v>36818.888888888891</v>
      </c>
      <c r="K4" s="224">
        <v>16</v>
      </c>
      <c r="L4" s="224">
        <v>767690</v>
      </c>
      <c r="M4" s="222">
        <f t="shared" si="3"/>
        <v>47980.625</v>
      </c>
      <c r="N4" s="224">
        <v>16</v>
      </c>
      <c r="O4" s="224">
        <v>584345</v>
      </c>
      <c r="P4" s="222">
        <f t="shared" si="4"/>
        <v>36521.5625</v>
      </c>
      <c r="Q4" s="224">
        <v>12</v>
      </c>
      <c r="R4" s="224">
        <v>596230</v>
      </c>
      <c r="S4" s="222">
        <f t="shared" si="5"/>
        <v>49685.833333333336</v>
      </c>
      <c r="T4" s="224">
        <v>16</v>
      </c>
      <c r="U4" s="224">
        <v>1495520</v>
      </c>
      <c r="V4" s="222">
        <f t="shared" si="6"/>
        <v>93470</v>
      </c>
      <c r="W4" s="224">
        <v>13</v>
      </c>
      <c r="X4" s="224">
        <v>1193160</v>
      </c>
      <c r="Y4" s="222">
        <f t="shared" si="7"/>
        <v>91781.538461538468</v>
      </c>
      <c r="Z4" s="224">
        <v>9</v>
      </c>
      <c r="AA4" s="224">
        <v>787720</v>
      </c>
      <c r="AB4" s="222">
        <f t="shared" si="8"/>
        <v>87524.444444444438</v>
      </c>
      <c r="AC4" s="224">
        <v>8</v>
      </c>
      <c r="AD4" s="224">
        <v>631320</v>
      </c>
      <c r="AE4" s="222">
        <f t="shared" si="9"/>
        <v>78915</v>
      </c>
      <c r="AF4" s="224">
        <v>16</v>
      </c>
      <c r="AG4" s="224">
        <v>1025300</v>
      </c>
      <c r="AH4" s="222">
        <f t="shared" si="10"/>
        <v>64081.25</v>
      </c>
      <c r="AI4" s="223">
        <v>6</v>
      </c>
      <c r="AJ4" s="223">
        <v>942760</v>
      </c>
      <c r="AK4" s="222">
        <f t="shared" si="11"/>
        <v>157126.66666666666</v>
      </c>
      <c r="AM4" s="178" t="s">
        <v>8</v>
      </c>
      <c r="AN4" s="226">
        <v>17</v>
      </c>
      <c r="AO4" s="226">
        <v>698100</v>
      </c>
      <c r="AP4" s="226">
        <v>9</v>
      </c>
      <c r="AQ4" s="226">
        <v>210700</v>
      </c>
      <c r="AR4" s="226">
        <v>18</v>
      </c>
      <c r="AS4" s="226">
        <v>504850</v>
      </c>
      <c r="AT4" s="226">
        <v>15</v>
      </c>
      <c r="AU4" s="226">
        <v>575000</v>
      </c>
      <c r="AV4" s="226">
        <v>15</v>
      </c>
      <c r="AW4" s="226">
        <v>724100</v>
      </c>
      <c r="AX4" s="226">
        <v>18</v>
      </c>
      <c r="AY4" s="226">
        <v>474400</v>
      </c>
      <c r="AZ4" s="226">
        <v>15</v>
      </c>
      <c r="BA4" s="226">
        <v>384100</v>
      </c>
      <c r="BB4" s="226">
        <v>12</v>
      </c>
      <c r="BC4" s="226">
        <v>657100</v>
      </c>
      <c r="BD4" s="226">
        <v>21</v>
      </c>
      <c r="BE4" s="226">
        <v>963560</v>
      </c>
      <c r="BF4" s="226">
        <v>11</v>
      </c>
      <c r="BG4" s="226">
        <v>442100</v>
      </c>
      <c r="BH4" s="226">
        <v>17</v>
      </c>
      <c r="BI4" s="226">
        <v>644700</v>
      </c>
      <c r="BJ4" s="226">
        <v>14</v>
      </c>
      <c r="BK4" s="226">
        <v>634175</v>
      </c>
      <c r="BL4" s="225">
        <f t="shared" si="12"/>
        <v>182</v>
      </c>
      <c r="BM4" s="225">
        <f t="shared" si="13"/>
        <v>6912885</v>
      </c>
    </row>
    <row r="5" spans="1:65" x14ac:dyDescent="0.25">
      <c r="A5" s="188" t="s">
        <v>7</v>
      </c>
      <c r="B5" s="224">
        <v>17</v>
      </c>
      <c r="C5" s="224">
        <v>725660</v>
      </c>
      <c r="D5" s="222">
        <f t="shared" si="0"/>
        <v>42685.882352941175</v>
      </c>
      <c r="E5" s="224">
        <v>10</v>
      </c>
      <c r="F5" s="224">
        <v>378084</v>
      </c>
      <c r="G5" s="222">
        <f t="shared" si="1"/>
        <v>37808.400000000001</v>
      </c>
      <c r="H5" s="224">
        <v>18</v>
      </c>
      <c r="I5" s="224">
        <v>678175</v>
      </c>
      <c r="J5" s="222">
        <f t="shared" si="2"/>
        <v>37676.388888888891</v>
      </c>
      <c r="K5" s="224">
        <v>13</v>
      </c>
      <c r="L5" s="224">
        <v>422605</v>
      </c>
      <c r="M5" s="222">
        <f t="shared" si="3"/>
        <v>32508.076923076922</v>
      </c>
      <c r="N5" s="224">
        <v>9</v>
      </c>
      <c r="O5" s="224">
        <v>533190</v>
      </c>
      <c r="P5" s="222">
        <f t="shared" si="4"/>
        <v>59243.333333333336</v>
      </c>
      <c r="Q5" s="224">
        <v>16</v>
      </c>
      <c r="R5" s="224">
        <v>598260</v>
      </c>
      <c r="S5" s="222">
        <f t="shared" si="5"/>
        <v>37391.25</v>
      </c>
      <c r="T5" s="224">
        <v>8</v>
      </c>
      <c r="U5" s="224">
        <v>433900</v>
      </c>
      <c r="V5" s="222">
        <f t="shared" si="6"/>
        <v>54237.5</v>
      </c>
      <c r="W5" s="224">
        <v>7</v>
      </c>
      <c r="X5" s="224">
        <v>341280</v>
      </c>
      <c r="Y5" s="222">
        <f t="shared" si="7"/>
        <v>48754.285714285717</v>
      </c>
      <c r="Z5" s="224">
        <v>10</v>
      </c>
      <c r="AA5" s="224">
        <v>814000</v>
      </c>
      <c r="AB5" s="222">
        <f t="shared" si="8"/>
        <v>81400</v>
      </c>
      <c r="AC5" s="224">
        <v>7</v>
      </c>
      <c r="AD5" s="224">
        <v>495040</v>
      </c>
      <c r="AE5" s="222">
        <f t="shared" si="9"/>
        <v>70720</v>
      </c>
      <c r="AF5" s="224">
        <v>13</v>
      </c>
      <c r="AG5" s="224">
        <v>1111820</v>
      </c>
      <c r="AH5" s="222">
        <f t="shared" si="10"/>
        <v>85524.61538461539</v>
      </c>
      <c r="AI5" s="223">
        <v>12</v>
      </c>
      <c r="AJ5" s="223">
        <v>695660</v>
      </c>
      <c r="AK5" s="222">
        <f t="shared" si="11"/>
        <v>57971.666666666664</v>
      </c>
      <c r="AM5" s="178" t="s">
        <v>7</v>
      </c>
      <c r="AN5" s="226">
        <v>9</v>
      </c>
      <c r="AO5" s="226">
        <v>381300</v>
      </c>
      <c r="AP5" s="226">
        <v>20</v>
      </c>
      <c r="AQ5" s="226">
        <v>701150</v>
      </c>
      <c r="AR5" s="226">
        <v>18</v>
      </c>
      <c r="AS5" s="226">
        <v>912750</v>
      </c>
      <c r="AT5" s="226">
        <v>17</v>
      </c>
      <c r="AU5" s="226">
        <v>1205200</v>
      </c>
      <c r="AV5" s="226">
        <v>22</v>
      </c>
      <c r="AW5" s="226">
        <v>1398050</v>
      </c>
      <c r="AX5" s="226">
        <v>11</v>
      </c>
      <c r="AY5" s="226">
        <v>429300</v>
      </c>
      <c r="AZ5" s="226">
        <v>7</v>
      </c>
      <c r="BA5" s="226">
        <v>325900</v>
      </c>
      <c r="BB5" s="226">
        <v>5</v>
      </c>
      <c r="BC5" s="226">
        <v>286200</v>
      </c>
      <c r="BD5" s="226">
        <v>9</v>
      </c>
      <c r="BE5" s="226">
        <v>372100</v>
      </c>
      <c r="BF5" s="226">
        <v>15</v>
      </c>
      <c r="BG5" s="226">
        <v>603220</v>
      </c>
      <c r="BH5" s="226">
        <v>18</v>
      </c>
      <c r="BI5" s="226">
        <v>742385</v>
      </c>
      <c r="BJ5" s="226">
        <v>12</v>
      </c>
      <c r="BK5" s="226">
        <v>690300</v>
      </c>
      <c r="BL5" s="225">
        <f t="shared" si="12"/>
        <v>163</v>
      </c>
      <c r="BM5" s="225">
        <f t="shared" si="13"/>
        <v>8047855</v>
      </c>
    </row>
    <row r="6" spans="1:65" x14ac:dyDescent="0.25">
      <c r="A6" s="188" t="s">
        <v>13</v>
      </c>
      <c r="B6" s="224">
        <v>4</v>
      </c>
      <c r="C6" s="224">
        <v>103800</v>
      </c>
      <c r="D6" s="222">
        <f t="shared" si="0"/>
        <v>25950</v>
      </c>
      <c r="E6" s="224">
        <v>7</v>
      </c>
      <c r="F6" s="224">
        <v>736368</v>
      </c>
      <c r="G6" s="222">
        <f t="shared" si="1"/>
        <v>105195.42857142857</v>
      </c>
      <c r="H6" s="224">
        <v>7</v>
      </c>
      <c r="I6" s="224">
        <v>341840</v>
      </c>
      <c r="J6" s="222">
        <f t="shared" si="2"/>
        <v>48834.285714285717</v>
      </c>
      <c r="K6" s="224">
        <v>9</v>
      </c>
      <c r="L6" s="224">
        <v>358885</v>
      </c>
      <c r="M6" s="222">
        <f t="shared" si="3"/>
        <v>39876.111111111109</v>
      </c>
      <c r="N6" s="224">
        <v>8</v>
      </c>
      <c r="O6" s="224">
        <v>713700</v>
      </c>
      <c r="P6" s="222">
        <f t="shared" si="4"/>
        <v>89212.5</v>
      </c>
      <c r="Q6" s="224">
        <v>11</v>
      </c>
      <c r="R6" s="224">
        <v>798110</v>
      </c>
      <c r="S6" s="222">
        <f t="shared" si="5"/>
        <v>72555.454545454544</v>
      </c>
      <c r="T6" s="224">
        <v>9</v>
      </c>
      <c r="U6" s="224">
        <v>752840</v>
      </c>
      <c r="V6" s="222">
        <f t="shared" si="6"/>
        <v>83648.888888888891</v>
      </c>
      <c r="W6" s="224">
        <v>9</v>
      </c>
      <c r="X6" s="224">
        <v>1395380</v>
      </c>
      <c r="Y6" s="222">
        <f t="shared" si="7"/>
        <v>155042.22222222222</v>
      </c>
      <c r="Z6" s="224">
        <v>2</v>
      </c>
      <c r="AA6" s="224">
        <v>493000</v>
      </c>
      <c r="AB6" s="222">
        <f t="shared" si="8"/>
        <v>246500</v>
      </c>
      <c r="AC6" s="224">
        <v>9</v>
      </c>
      <c r="AD6" s="224">
        <v>502300</v>
      </c>
      <c r="AE6" s="222">
        <f t="shared" si="9"/>
        <v>55811.111111111109</v>
      </c>
      <c r="AF6" s="224">
        <v>6</v>
      </c>
      <c r="AG6" s="224">
        <v>392460</v>
      </c>
      <c r="AH6" s="222">
        <f t="shared" si="10"/>
        <v>65410</v>
      </c>
      <c r="AI6" s="223">
        <v>7</v>
      </c>
      <c r="AJ6" s="223">
        <v>647200</v>
      </c>
      <c r="AK6" s="222">
        <f t="shared" si="11"/>
        <v>92457.142857142855</v>
      </c>
      <c r="AM6" s="178" t="s">
        <v>13</v>
      </c>
      <c r="AN6" s="226">
        <v>1</v>
      </c>
      <c r="AO6" s="226">
        <v>13200</v>
      </c>
      <c r="AP6" s="226">
        <v>3</v>
      </c>
      <c r="AQ6" s="226">
        <v>52700</v>
      </c>
      <c r="AR6" s="226">
        <v>2</v>
      </c>
      <c r="AS6" s="226">
        <v>78700</v>
      </c>
      <c r="AT6" s="226">
        <v>3</v>
      </c>
      <c r="AU6" s="226">
        <v>164800</v>
      </c>
      <c r="AV6" s="226">
        <v>4</v>
      </c>
      <c r="AW6" s="226">
        <v>189400</v>
      </c>
      <c r="AX6" s="226">
        <v>4</v>
      </c>
      <c r="AY6" s="226">
        <v>114200</v>
      </c>
      <c r="AZ6" s="226">
        <v>5</v>
      </c>
      <c r="BA6" s="226">
        <v>211110</v>
      </c>
      <c r="BB6" s="226">
        <v>3</v>
      </c>
      <c r="BC6" s="226">
        <v>197400</v>
      </c>
      <c r="BD6" s="226">
        <v>4</v>
      </c>
      <c r="BE6" s="226">
        <v>160400</v>
      </c>
      <c r="BF6" s="226">
        <v>10</v>
      </c>
      <c r="BG6" s="226">
        <v>361300</v>
      </c>
      <c r="BH6" s="226">
        <v>5</v>
      </c>
      <c r="BI6" s="226">
        <v>262700</v>
      </c>
      <c r="BJ6" s="226">
        <v>7</v>
      </c>
      <c r="BK6" s="226">
        <v>197200</v>
      </c>
      <c r="BL6" s="225">
        <f t="shared" si="12"/>
        <v>51</v>
      </c>
      <c r="BM6" s="225">
        <f t="shared" si="13"/>
        <v>2003110</v>
      </c>
    </row>
    <row r="7" spans="1:65" x14ac:dyDescent="0.25">
      <c r="A7" s="178" t="s">
        <v>127</v>
      </c>
      <c r="B7" s="224">
        <v>21</v>
      </c>
      <c r="C7" s="224">
        <v>625400</v>
      </c>
      <c r="D7" s="222">
        <f t="shared" si="0"/>
        <v>29780.952380952382</v>
      </c>
      <c r="E7" s="224">
        <v>19</v>
      </c>
      <c r="F7" s="224">
        <v>1217005</v>
      </c>
      <c r="G7" s="222">
        <f t="shared" si="1"/>
        <v>64052.894736842107</v>
      </c>
      <c r="H7" s="224">
        <v>24</v>
      </c>
      <c r="I7" s="224">
        <v>1874015</v>
      </c>
      <c r="J7" s="222">
        <f t="shared" si="2"/>
        <v>78083.958333333328</v>
      </c>
      <c r="K7" s="224">
        <v>24</v>
      </c>
      <c r="L7" s="224">
        <v>1284210</v>
      </c>
      <c r="M7" s="222">
        <f t="shared" si="3"/>
        <v>53508.75</v>
      </c>
      <c r="N7" s="224">
        <v>23</v>
      </c>
      <c r="O7" s="224">
        <v>1031890</v>
      </c>
      <c r="P7" s="222">
        <f t="shared" si="4"/>
        <v>44864.782608695656</v>
      </c>
      <c r="Q7" s="224">
        <v>18</v>
      </c>
      <c r="R7" s="224">
        <v>981250</v>
      </c>
      <c r="S7" s="222">
        <f t="shared" si="5"/>
        <v>54513.888888888891</v>
      </c>
      <c r="T7" s="224">
        <v>14</v>
      </c>
      <c r="U7" s="224">
        <v>977660</v>
      </c>
      <c r="V7" s="222">
        <f t="shared" si="6"/>
        <v>69832.857142857145</v>
      </c>
      <c r="W7" s="224">
        <v>12</v>
      </c>
      <c r="X7" s="224">
        <v>580100</v>
      </c>
      <c r="Y7" s="222">
        <f t="shared" si="7"/>
        <v>48341.666666666664</v>
      </c>
      <c r="Z7" s="224">
        <v>18</v>
      </c>
      <c r="AA7" s="224">
        <v>1445570</v>
      </c>
      <c r="AB7" s="222">
        <f t="shared" si="8"/>
        <v>80309.444444444438</v>
      </c>
      <c r="AC7" s="224">
        <v>13</v>
      </c>
      <c r="AD7" s="224">
        <v>1003000</v>
      </c>
      <c r="AE7" s="222">
        <f t="shared" si="9"/>
        <v>77153.846153846156</v>
      </c>
      <c r="AF7" s="224">
        <v>21</v>
      </c>
      <c r="AG7" s="224">
        <v>1539660</v>
      </c>
      <c r="AH7" s="222">
        <f t="shared" si="10"/>
        <v>73317.142857142855</v>
      </c>
      <c r="AI7" s="223">
        <v>23</v>
      </c>
      <c r="AJ7" s="223">
        <v>2024880</v>
      </c>
      <c r="AK7" s="222">
        <f t="shared" si="11"/>
        <v>88038.260869565216</v>
      </c>
      <c r="AM7" s="178" t="s">
        <v>127</v>
      </c>
      <c r="AN7" s="226">
        <v>24</v>
      </c>
      <c r="AO7" s="226">
        <v>1196800</v>
      </c>
      <c r="AP7" s="226">
        <v>36</v>
      </c>
      <c r="AQ7" s="226">
        <v>1903600</v>
      </c>
      <c r="AR7" s="226">
        <v>26</v>
      </c>
      <c r="AS7" s="226">
        <v>1258900</v>
      </c>
      <c r="AT7" s="226">
        <v>27</v>
      </c>
      <c r="AU7" s="226">
        <v>1200050</v>
      </c>
      <c r="AV7" s="226">
        <v>29</v>
      </c>
      <c r="AW7" s="226">
        <v>2218350</v>
      </c>
      <c r="AX7" s="226">
        <v>11</v>
      </c>
      <c r="AY7" s="226">
        <v>684000</v>
      </c>
      <c r="AZ7" s="226">
        <v>18</v>
      </c>
      <c r="BA7" s="226">
        <v>913300</v>
      </c>
      <c r="BB7" s="226">
        <v>16</v>
      </c>
      <c r="BC7" s="226">
        <v>665000</v>
      </c>
      <c r="BD7" s="226">
        <v>18</v>
      </c>
      <c r="BE7" s="226">
        <v>997460</v>
      </c>
      <c r="BF7" s="226">
        <v>16</v>
      </c>
      <c r="BG7" s="226">
        <v>1269800</v>
      </c>
      <c r="BH7" s="226">
        <v>24</v>
      </c>
      <c r="BI7" s="226">
        <v>1857635</v>
      </c>
      <c r="BJ7" s="226">
        <v>17</v>
      </c>
      <c r="BK7" s="226">
        <v>1128270</v>
      </c>
      <c r="BL7" s="225">
        <f t="shared" si="12"/>
        <v>262</v>
      </c>
      <c r="BM7" s="225">
        <f t="shared" si="13"/>
        <v>15293165</v>
      </c>
    </row>
    <row r="8" spans="1:65" x14ac:dyDescent="0.25">
      <c r="A8" s="178" t="s">
        <v>3</v>
      </c>
      <c r="B8" s="224">
        <v>24</v>
      </c>
      <c r="C8" s="224">
        <v>1303010</v>
      </c>
      <c r="D8" s="222">
        <f t="shared" si="0"/>
        <v>54292.083333333336</v>
      </c>
      <c r="E8" s="224">
        <v>22</v>
      </c>
      <c r="F8" s="224">
        <v>1305979</v>
      </c>
      <c r="G8" s="222">
        <f t="shared" si="1"/>
        <v>59362.681818181816</v>
      </c>
      <c r="H8" s="224">
        <v>10</v>
      </c>
      <c r="I8" s="224">
        <v>897100</v>
      </c>
      <c r="J8" s="222">
        <f t="shared" si="2"/>
        <v>89710</v>
      </c>
      <c r="K8" s="224">
        <v>17</v>
      </c>
      <c r="L8" s="224">
        <v>436295</v>
      </c>
      <c r="M8" s="222">
        <f t="shared" si="3"/>
        <v>25664.411764705881</v>
      </c>
      <c r="N8" s="224">
        <v>19</v>
      </c>
      <c r="O8" s="224">
        <v>841635</v>
      </c>
      <c r="P8" s="222">
        <f t="shared" si="4"/>
        <v>44296.57894736842</v>
      </c>
      <c r="Q8" s="224">
        <v>15</v>
      </c>
      <c r="R8" s="224">
        <v>762250</v>
      </c>
      <c r="S8" s="222">
        <f t="shared" si="5"/>
        <v>50816.666666666664</v>
      </c>
      <c r="T8" s="224">
        <v>7</v>
      </c>
      <c r="U8" s="224">
        <v>1072113</v>
      </c>
      <c r="V8" s="222">
        <f t="shared" si="6"/>
        <v>153159</v>
      </c>
      <c r="W8" s="224">
        <v>12</v>
      </c>
      <c r="X8" s="224">
        <v>1073630</v>
      </c>
      <c r="Y8" s="222">
        <f t="shared" si="7"/>
        <v>89469.166666666672</v>
      </c>
      <c r="Z8" s="224">
        <v>11</v>
      </c>
      <c r="AA8" s="224">
        <v>1778960</v>
      </c>
      <c r="AB8" s="222">
        <f t="shared" si="8"/>
        <v>161723.63636363635</v>
      </c>
      <c r="AC8" s="224">
        <v>18</v>
      </c>
      <c r="AD8" s="224">
        <v>890690</v>
      </c>
      <c r="AE8" s="222">
        <f t="shared" si="9"/>
        <v>49482.777777777781</v>
      </c>
      <c r="AF8" s="224">
        <v>13</v>
      </c>
      <c r="AG8" s="224">
        <v>663760</v>
      </c>
      <c r="AH8" s="222">
        <f t="shared" si="10"/>
        <v>51058.461538461539</v>
      </c>
      <c r="AI8" s="223">
        <v>20</v>
      </c>
      <c r="AJ8" s="223">
        <v>1399620</v>
      </c>
      <c r="AK8" s="222">
        <f t="shared" si="11"/>
        <v>69981</v>
      </c>
      <c r="AM8" s="178" t="s">
        <v>128</v>
      </c>
      <c r="AN8" s="226">
        <v>29</v>
      </c>
      <c r="AO8" s="226">
        <v>1284400</v>
      </c>
      <c r="AP8" s="226">
        <v>52</v>
      </c>
      <c r="AQ8" s="226">
        <v>3032401</v>
      </c>
      <c r="AR8" s="226">
        <v>52</v>
      </c>
      <c r="AS8" s="226">
        <v>2646150</v>
      </c>
      <c r="AT8" s="226">
        <v>44</v>
      </c>
      <c r="AU8" s="226">
        <v>2210390</v>
      </c>
      <c r="AV8" s="226">
        <v>37</v>
      </c>
      <c r="AW8" s="226">
        <v>1785050</v>
      </c>
      <c r="AX8" s="226">
        <v>20</v>
      </c>
      <c r="AY8" s="226">
        <v>1335400</v>
      </c>
      <c r="AZ8" s="226">
        <v>21</v>
      </c>
      <c r="BA8" s="226">
        <v>1398847</v>
      </c>
      <c r="BB8" s="226">
        <v>29</v>
      </c>
      <c r="BC8" s="226">
        <v>1369500</v>
      </c>
      <c r="BD8" s="226">
        <v>23</v>
      </c>
      <c r="BE8" s="226">
        <v>1101100</v>
      </c>
      <c r="BF8" s="226">
        <v>23</v>
      </c>
      <c r="BG8" s="226">
        <v>1674240</v>
      </c>
      <c r="BH8" s="226">
        <v>25</v>
      </c>
      <c r="BI8" s="226">
        <v>1734826</v>
      </c>
      <c r="BJ8" s="226">
        <v>24</v>
      </c>
      <c r="BK8" s="226">
        <v>1390185</v>
      </c>
      <c r="BL8" s="225">
        <f t="shared" si="12"/>
        <v>379</v>
      </c>
      <c r="BM8" s="225">
        <f t="shared" si="13"/>
        <v>20962489</v>
      </c>
    </row>
    <row r="9" spans="1:65" x14ac:dyDescent="0.25">
      <c r="A9" s="178" t="s">
        <v>128</v>
      </c>
      <c r="B9" s="224">
        <v>39</v>
      </c>
      <c r="C9" s="224">
        <v>2203620</v>
      </c>
      <c r="D9" s="222">
        <f t="shared" si="0"/>
        <v>56503.076923076922</v>
      </c>
      <c r="E9" s="224">
        <v>12</v>
      </c>
      <c r="F9" s="224">
        <v>1488509</v>
      </c>
      <c r="G9" s="222">
        <f t="shared" si="1"/>
        <v>124042.41666666667</v>
      </c>
      <c r="H9" s="224">
        <v>19</v>
      </c>
      <c r="I9" s="224">
        <v>779635</v>
      </c>
      <c r="J9" s="222">
        <f t="shared" si="2"/>
        <v>41033.42105263158</v>
      </c>
      <c r="K9" s="224">
        <v>20</v>
      </c>
      <c r="L9" s="224">
        <v>2036345</v>
      </c>
      <c r="M9" s="222">
        <f t="shared" si="3"/>
        <v>101817.25</v>
      </c>
      <c r="N9" s="224">
        <v>36</v>
      </c>
      <c r="O9" s="224">
        <v>1983315</v>
      </c>
      <c r="P9" s="222">
        <f t="shared" si="4"/>
        <v>55092.083333333336</v>
      </c>
      <c r="Q9" s="224">
        <v>21</v>
      </c>
      <c r="R9" s="224">
        <v>981420</v>
      </c>
      <c r="S9" s="222">
        <f t="shared" si="5"/>
        <v>46734.285714285717</v>
      </c>
      <c r="T9" s="224">
        <v>22</v>
      </c>
      <c r="U9" s="224">
        <v>2170360</v>
      </c>
      <c r="V9" s="222">
        <f t="shared" si="6"/>
        <v>98652.727272727279</v>
      </c>
      <c r="W9" s="224">
        <v>12</v>
      </c>
      <c r="X9" s="224">
        <v>1634860</v>
      </c>
      <c r="Y9" s="222">
        <f t="shared" si="7"/>
        <v>136238.33333333334</v>
      </c>
      <c r="Z9" s="224">
        <v>15</v>
      </c>
      <c r="AA9" s="224">
        <v>2165100</v>
      </c>
      <c r="AB9" s="222">
        <f t="shared" si="8"/>
        <v>144340</v>
      </c>
      <c r="AC9" s="224">
        <v>21</v>
      </c>
      <c r="AD9" s="224">
        <v>1547200</v>
      </c>
      <c r="AE9" s="222">
        <f t="shared" si="9"/>
        <v>73676.190476190473</v>
      </c>
      <c r="AF9" s="224">
        <v>10</v>
      </c>
      <c r="AG9" s="224">
        <v>480560</v>
      </c>
      <c r="AH9" s="222">
        <f t="shared" si="10"/>
        <v>48056</v>
      </c>
      <c r="AI9" s="223">
        <v>35</v>
      </c>
      <c r="AJ9" s="223">
        <v>2462600</v>
      </c>
      <c r="AK9" s="222">
        <f t="shared" si="11"/>
        <v>70360</v>
      </c>
      <c r="AM9" s="178" t="s">
        <v>3</v>
      </c>
      <c r="AN9" s="226">
        <v>13</v>
      </c>
      <c r="AO9" s="226">
        <v>938000</v>
      </c>
      <c r="AP9" s="226">
        <v>25</v>
      </c>
      <c r="AQ9" s="226">
        <v>1318600</v>
      </c>
      <c r="AR9" s="226">
        <v>39</v>
      </c>
      <c r="AS9" s="226">
        <v>1852050</v>
      </c>
      <c r="AT9" s="226">
        <v>41</v>
      </c>
      <c r="AU9" s="226">
        <v>2416480</v>
      </c>
      <c r="AV9" s="226">
        <v>27</v>
      </c>
      <c r="AW9" s="226">
        <v>1480500</v>
      </c>
      <c r="AX9" s="226">
        <v>25</v>
      </c>
      <c r="AY9" s="226">
        <v>1050400</v>
      </c>
      <c r="AZ9" s="226">
        <v>32</v>
      </c>
      <c r="BA9" s="226">
        <v>1375845</v>
      </c>
      <c r="BB9" s="226">
        <v>22</v>
      </c>
      <c r="BC9" s="226">
        <v>863150</v>
      </c>
      <c r="BD9" s="226">
        <v>30</v>
      </c>
      <c r="BE9" s="226">
        <v>1717850</v>
      </c>
      <c r="BF9" s="226">
        <v>31</v>
      </c>
      <c r="BG9" s="226">
        <v>1191900</v>
      </c>
      <c r="BH9" s="226">
        <v>22</v>
      </c>
      <c r="BI9" s="226">
        <v>1460300</v>
      </c>
      <c r="BJ9" s="226">
        <v>23</v>
      </c>
      <c r="BK9" s="226">
        <v>923280</v>
      </c>
      <c r="BL9" s="225">
        <f t="shared" si="12"/>
        <v>330</v>
      </c>
      <c r="BM9" s="225">
        <f t="shared" si="13"/>
        <v>16588355</v>
      </c>
    </row>
    <row r="10" spans="1:65" x14ac:dyDescent="0.25">
      <c r="A10" s="188" t="s">
        <v>10</v>
      </c>
      <c r="B10" s="224">
        <v>8</v>
      </c>
      <c r="C10" s="224">
        <v>506160</v>
      </c>
      <c r="D10" s="222">
        <f t="shared" si="0"/>
        <v>63270</v>
      </c>
      <c r="E10" s="224">
        <v>10</v>
      </c>
      <c r="F10" s="224">
        <v>408900</v>
      </c>
      <c r="G10" s="222">
        <f t="shared" si="1"/>
        <v>40890</v>
      </c>
      <c r="H10" s="224">
        <v>15</v>
      </c>
      <c r="I10" s="224">
        <v>818825</v>
      </c>
      <c r="J10" s="222">
        <f t="shared" si="2"/>
        <v>54588.333333333336</v>
      </c>
      <c r="K10" s="224">
        <v>11</v>
      </c>
      <c r="L10" s="224">
        <v>665330</v>
      </c>
      <c r="M10" s="222">
        <f t="shared" si="3"/>
        <v>60484.545454545456</v>
      </c>
      <c r="N10" s="224">
        <v>20</v>
      </c>
      <c r="O10" s="224">
        <v>626265</v>
      </c>
      <c r="P10" s="222">
        <f t="shared" si="4"/>
        <v>31313.25</v>
      </c>
      <c r="Q10" s="224">
        <v>12</v>
      </c>
      <c r="R10" s="224">
        <v>326440</v>
      </c>
      <c r="S10" s="222">
        <f t="shared" si="5"/>
        <v>27203.333333333332</v>
      </c>
      <c r="T10" s="224">
        <v>7</v>
      </c>
      <c r="U10" s="224">
        <v>748480</v>
      </c>
      <c r="V10" s="222">
        <f t="shared" si="6"/>
        <v>106925.71428571429</v>
      </c>
      <c r="W10" s="224">
        <v>7</v>
      </c>
      <c r="X10" s="224">
        <v>451700</v>
      </c>
      <c r="Y10" s="222">
        <f t="shared" si="7"/>
        <v>64528.571428571428</v>
      </c>
      <c r="Z10" s="224">
        <v>9</v>
      </c>
      <c r="AA10" s="224">
        <v>839920</v>
      </c>
      <c r="AB10" s="222">
        <f t="shared" si="8"/>
        <v>93324.444444444438</v>
      </c>
      <c r="AC10" s="224">
        <v>14</v>
      </c>
      <c r="AD10" s="224">
        <v>773360</v>
      </c>
      <c r="AE10" s="222">
        <f t="shared" si="9"/>
        <v>55240</v>
      </c>
      <c r="AF10" s="224">
        <v>13</v>
      </c>
      <c r="AG10" s="224">
        <v>701160</v>
      </c>
      <c r="AH10" s="222">
        <f t="shared" si="10"/>
        <v>53935.384615384617</v>
      </c>
      <c r="AI10" s="223">
        <v>13</v>
      </c>
      <c r="AJ10" s="223">
        <v>755600</v>
      </c>
      <c r="AK10" s="222">
        <f t="shared" si="11"/>
        <v>58123.076923076922</v>
      </c>
      <c r="AM10" s="178" t="s">
        <v>10</v>
      </c>
      <c r="AN10" s="226">
        <v>9</v>
      </c>
      <c r="AO10" s="226">
        <v>699500</v>
      </c>
      <c r="AP10" s="226">
        <v>8</v>
      </c>
      <c r="AQ10" s="226">
        <v>263400</v>
      </c>
      <c r="AR10" s="226">
        <v>8</v>
      </c>
      <c r="AS10" s="226">
        <v>339950</v>
      </c>
      <c r="AT10" s="226">
        <v>4</v>
      </c>
      <c r="AU10" s="226">
        <v>158750</v>
      </c>
      <c r="AV10" s="226">
        <v>11</v>
      </c>
      <c r="AW10" s="226">
        <v>622600</v>
      </c>
      <c r="AX10" s="226">
        <v>6</v>
      </c>
      <c r="AY10" s="226">
        <v>260400</v>
      </c>
      <c r="AZ10" s="226">
        <v>6</v>
      </c>
      <c r="BA10" s="226">
        <v>239910</v>
      </c>
      <c r="BB10" s="226">
        <v>6</v>
      </c>
      <c r="BC10" s="226">
        <v>92200</v>
      </c>
      <c r="BD10" s="226">
        <v>9</v>
      </c>
      <c r="BE10" s="226">
        <v>535200</v>
      </c>
      <c r="BF10" s="226">
        <v>16</v>
      </c>
      <c r="BG10" s="226">
        <v>753260</v>
      </c>
      <c r="BH10" s="226">
        <v>18</v>
      </c>
      <c r="BI10" s="226">
        <v>544100</v>
      </c>
      <c r="BJ10" s="226">
        <v>9</v>
      </c>
      <c r="BK10" s="226">
        <v>352600</v>
      </c>
      <c r="BL10" s="225">
        <f t="shared" si="12"/>
        <v>110</v>
      </c>
      <c r="BM10" s="225">
        <f t="shared" si="13"/>
        <v>4861870</v>
      </c>
    </row>
    <row r="11" spans="1:65" x14ac:dyDescent="0.25">
      <c r="A11" s="188" t="s">
        <v>11</v>
      </c>
      <c r="B11" s="224">
        <v>27</v>
      </c>
      <c r="C11" s="224">
        <v>1150600</v>
      </c>
      <c r="D11" s="222">
        <f t="shared" si="0"/>
        <v>42614.814814814818</v>
      </c>
      <c r="E11" s="224">
        <v>19</v>
      </c>
      <c r="F11" s="224">
        <v>1557418</v>
      </c>
      <c r="G11" s="222">
        <f t="shared" si="1"/>
        <v>81969.368421052626</v>
      </c>
      <c r="H11" s="224">
        <v>14</v>
      </c>
      <c r="I11" s="224">
        <v>1165845</v>
      </c>
      <c r="J11" s="222">
        <f t="shared" si="2"/>
        <v>83274.642857142855</v>
      </c>
      <c r="K11" s="224">
        <v>9</v>
      </c>
      <c r="L11" s="224">
        <v>516200</v>
      </c>
      <c r="M11" s="222">
        <f t="shared" si="3"/>
        <v>57355.555555555555</v>
      </c>
      <c r="N11" s="224">
        <v>15</v>
      </c>
      <c r="O11" s="224">
        <v>798035</v>
      </c>
      <c r="P11" s="222">
        <f t="shared" si="4"/>
        <v>53202.333333333336</v>
      </c>
      <c r="Q11" s="224">
        <v>9</v>
      </c>
      <c r="R11" s="224">
        <v>469500</v>
      </c>
      <c r="S11" s="222">
        <f t="shared" si="5"/>
        <v>52166.666666666664</v>
      </c>
      <c r="T11" s="224">
        <v>16</v>
      </c>
      <c r="U11" s="224">
        <v>1002744</v>
      </c>
      <c r="V11" s="222">
        <f t="shared" si="6"/>
        <v>62671.5</v>
      </c>
      <c r="W11" s="224">
        <v>7</v>
      </c>
      <c r="X11" s="224">
        <v>912700</v>
      </c>
      <c r="Y11" s="222">
        <f t="shared" si="7"/>
        <v>130385.71428571429</v>
      </c>
      <c r="Z11" s="224">
        <v>14</v>
      </c>
      <c r="AA11" s="224">
        <v>1294540</v>
      </c>
      <c r="AB11" s="222">
        <f t="shared" si="8"/>
        <v>92467.142857142855</v>
      </c>
      <c r="AC11" s="224">
        <v>10</v>
      </c>
      <c r="AD11" s="224">
        <v>1447340</v>
      </c>
      <c r="AE11" s="222">
        <f t="shared" si="9"/>
        <v>144734</v>
      </c>
      <c r="AF11" s="224">
        <v>14</v>
      </c>
      <c r="AG11" s="224">
        <v>1039820</v>
      </c>
      <c r="AH11" s="222">
        <f t="shared" si="10"/>
        <v>74272.857142857145</v>
      </c>
      <c r="AI11" s="223">
        <v>11</v>
      </c>
      <c r="AJ11" s="223">
        <v>683900</v>
      </c>
      <c r="AK11" s="222">
        <f t="shared" si="11"/>
        <v>62172.727272727272</v>
      </c>
      <c r="AM11" s="178" t="s">
        <v>11</v>
      </c>
      <c r="AN11" s="226">
        <v>9</v>
      </c>
      <c r="AO11" s="226">
        <v>240900</v>
      </c>
      <c r="AP11" s="226">
        <v>12</v>
      </c>
      <c r="AQ11" s="226">
        <v>560900</v>
      </c>
      <c r="AR11" s="226">
        <v>30</v>
      </c>
      <c r="AS11" s="226">
        <v>1128100</v>
      </c>
      <c r="AT11" s="226">
        <v>11</v>
      </c>
      <c r="AU11" s="226">
        <v>620100</v>
      </c>
      <c r="AV11" s="226">
        <v>23</v>
      </c>
      <c r="AW11" s="226">
        <v>1209700</v>
      </c>
      <c r="AX11" s="226">
        <v>14</v>
      </c>
      <c r="AY11" s="226">
        <v>513100</v>
      </c>
      <c r="AZ11" s="226">
        <v>13</v>
      </c>
      <c r="BA11" s="226">
        <v>679800</v>
      </c>
      <c r="BB11" s="226">
        <v>13</v>
      </c>
      <c r="BC11" s="226">
        <v>339700</v>
      </c>
      <c r="BD11" s="226">
        <v>9</v>
      </c>
      <c r="BE11" s="226">
        <v>840500</v>
      </c>
      <c r="BF11" s="226">
        <v>23</v>
      </c>
      <c r="BG11" s="226">
        <v>1128200</v>
      </c>
      <c r="BH11" s="226">
        <v>23</v>
      </c>
      <c r="BI11" s="226">
        <v>851950</v>
      </c>
      <c r="BJ11" s="226">
        <v>24</v>
      </c>
      <c r="BK11" s="226">
        <v>1264100</v>
      </c>
      <c r="BL11" s="225">
        <f t="shared" si="12"/>
        <v>204</v>
      </c>
      <c r="BM11" s="225">
        <f t="shared" si="13"/>
        <v>9377050</v>
      </c>
    </row>
    <row r="12" spans="1:65" x14ac:dyDescent="0.25">
      <c r="A12" s="188" t="s">
        <v>5</v>
      </c>
      <c r="B12" s="224">
        <v>20</v>
      </c>
      <c r="C12" s="224">
        <v>1034960</v>
      </c>
      <c r="D12" s="222">
        <f t="shared" si="0"/>
        <v>51748</v>
      </c>
      <c r="E12" s="224">
        <v>17</v>
      </c>
      <c r="F12" s="224">
        <v>563334</v>
      </c>
      <c r="G12" s="222">
        <f t="shared" si="1"/>
        <v>33137.294117647056</v>
      </c>
      <c r="H12" s="224">
        <v>21</v>
      </c>
      <c r="I12" s="224">
        <v>1220890</v>
      </c>
      <c r="J12" s="222">
        <f t="shared" si="2"/>
        <v>58137.619047619046</v>
      </c>
      <c r="K12" s="224">
        <v>23</v>
      </c>
      <c r="L12" s="224">
        <v>909690</v>
      </c>
      <c r="M12" s="222">
        <f t="shared" si="3"/>
        <v>39551.739130434784</v>
      </c>
      <c r="N12" s="224">
        <v>22</v>
      </c>
      <c r="O12" s="224">
        <v>1199798</v>
      </c>
      <c r="P12" s="222">
        <f t="shared" si="4"/>
        <v>54536.272727272728</v>
      </c>
      <c r="Q12" s="224">
        <v>17</v>
      </c>
      <c r="R12" s="224">
        <v>877150</v>
      </c>
      <c r="S12" s="222">
        <f t="shared" si="5"/>
        <v>51597.058823529413</v>
      </c>
      <c r="T12" s="224">
        <v>17</v>
      </c>
      <c r="U12" s="224">
        <v>1904964</v>
      </c>
      <c r="V12" s="222">
        <f t="shared" si="6"/>
        <v>112056.70588235294</v>
      </c>
      <c r="W12" s="224">
        <v>16</v>
      </c>
      <c r="X12" s="224">
        <v>1205700</v>
      </c>
      <c r="Y12" s="222">
        <f t="shared" si="7"/>
        <v>75356.25</v>
      </c>
      <c r="Z12" s="224">
        <v>14</v>
      </c>
      <c r="AA12" s="224">
        <v>1313971</v>
      </c>
      <c r="AB12" s="222">
        <f t="shared" si="8"/>
        <v>93855.071428571435</v>
      </c>
      <c r="AC12" s="224">
        <v>21</v>
      </c>
      <c r="AD12" s="224">
        <v>1476564</v>
      </c>
      <c r="AE12" s="222">
        <f t="shared" si="9"/>
        <v>70312.571428571435</v>
      </c>
      <c r="AF12" s="224">
        <v>20</v>
      </c>
      <c r="AG12" s="224">
        <v>1438000</v>
      </c>
      <c r="AH12" s="222">
        <f t="shared" si="10"/>
        <v>71900</v>
      </c>
      <c r="AI12" s="223">
        <v>24</v>
      </c>
      <c r="AJ12" s="223">
        <v>1408600</v>
      </c>
      <c r="AK12" s="222">
        <f t="shared" si="11"/>
        <v>58691.666666666664</v>
      </c>
      <c r="AM12" s="178" t="s">
        <v>5</v>
      </c>
      <c r="AN12" s="226">
        <v>4</v>
      </c>
      <c r="AO12" s="226">
        <v>728950</v>
      </c>
      <c r="AP12" s="226">
        <v>21</v>
      </c>
      <c r="AQ12" s="226">
        <v>1671820</v>
      </c>
      <c r="AR12" s="226">
        <v>16</v>
      </c>
      <c r="AS12" s="226">
        <v>863200</v>
      </c>
      <c r="AT12" s="226">
        <v>18</v>
      </c>
      <c r="AU12" s="226">
        <v>1616050</v>
      </c>
      <c r="AV12" s="226">
        <v>14</v>
      </c>
      <c r="AW12" s="226">
        <v>1828780</v>
      </c>
      <c r="AX12" s="226">
        <v>16</v>
      </c>
      <c r="AY12" s="226">
        <v>888557</v>
      </c>
      <c r="AZ12" s="226">
        <v>9</v>
      </c>
      <c r="BA12" s="226">
        <v>1158940</v>
      </c>
      <c r="BB12" s="226">
        <v>10</v>
      </c>
      <c r="BC12" s="226">
        <v>748300</v>
      </c>
      <c r="BD12" s="226">
        <v>13</v>
      </c>
      <c r="BE12" s="226">
        <v>758100</v>
      </c>
      <c r="BF12" s="226">
        <v>26</v>
      </c>
      <c r="BG12" s="226">
        <v>1024230</v>
      </c>
      <c r="BH12" s="226">
        <v>14</v>
      </c>
      <c r="BI12" s="226">
        <v>686590</v>
      </c>
      <c r="BJ12" s="226">
        <v>21</v>
      </c>
      <c r="BK12" s="226">
        <v>753270</v>
      </c>
      <c r="BL12" s="225">
        <f t="shared" si="12"/>
        <v>182</v>
      </c>
      <c r="BM12" s="225">
        <f t="shared" si="13"/>
        <v>12726787</v>
      </c>
    </row>
    <row r="13" spans="1:65" x14ac:dyDescent="0.25">
      <c r="A13" s="188" t="s">
        <v>23</v>
      </c>
      <c r="B13" s="224">
        <v>19</v>
      </c>
      <c r="C13" s="224">
        <v>827800</v>
      </c>
      <c r="D13" s="222">
        <f t="shared" si="0"/>
        <v>43568.42105263158</v>
      </c>
      <c r="E13" s="224">
        <v>30</v>
      </c>
      <c r="F13" s="224">
        <v>1052020</v>
      </c>
      <c r="G13" s="222">
        <f t="shared" si="1"/>
        <v>35067.333333333336</v>
      </c>
      <c r="H13" s="224">
        <v>16</v>
      </c>
      <c r="I13" s="224">
        <v>491410</v>
      </c>
      <c r="J13" s="222">
        <f t="shared" si="2"/>
        <v>30713.125</v>
      </c>
      <c r="K13" s="224">
        <v>16</v>
      </c>
      <c r="L13" s="224">
        <v>508595</v>
      </c>
      <c r="M13" s="222">
        <f t="shared" si="3"/>
        <v>31787.1875</v>
      </c>
      <c r="N13" s="224">
        <v>26</v>
      </c>
      <c r="O13" s="224">
        <v>1365230</v>
      </c>
      <c r="P13" s="222">
        <f t="shared" si="4"/>
        <v>52508.846153846156</v>
      </c>
      <c r="Q13" s="224">
        <v>26</v>
      </c>
      <c r="R13" s="224">
        <v>1167680</v>
      </c>
      <c r="S13" s="222">
        <f t="shared" si="5"/>
        <v>44910.769230769234</v>
      </c>
      <c r="T13" s="224">
        <v>14</v>
      </c>
      <c r="U13" s="224">
        <v>1060390</v>
      </c>
      <c r="V13" s="222">
        <f t="shared" si="6"/>
        <v>75742.142857142855</v>
      </c>
      <c r="W13" s="224">
        <v>12</v>
      </c>
      <c r="X13" s="224">
        <v>780250</v>
      </c>
      <c r="Y13" s="222">
        <f t="shared" si="7"/>
        <v>65020.833333333336</v>
      </c>
      <c r="Z13" s="224">
        <v>28</v>
      </c>
      <c r="AA13" s="224">
        <v>1583200</v>
      </c>
      <c r="AB13" s="222">
        <f t="shared" si="8"/>
        <v>56542.857142857145</v>
      </c>
      <c r="AC13" s="224">
        <v>20</v>
      </c>
      <c r="AD13" s="224">
        <v>869100</v>
      </c>
      <c r="AE13" s="222">
        <f t="shared" si="9"/>
        <v>43455</v>
      </c>
      <c r="AF13" s="224">
        <v>37</v>
      </c>
      <c r="AG13" s="224">
        <v>1516600</v>
      </c>
      <c r="AH13" s="222">
        <f t="shared" si="10"/>
        <v>40989.189189189186</v>
      </c>
      <c r="AI13" s="223">
        <v>26</v>
      </c>
      <c r="AJ13" s="223">
        <v>1463700</v>
      </c>
      <c r="AK13" s="222">
        <f t="shared" si="11"/>
        <v>56296.153846153844</v>
      </c>
      <c r="AM13" s="178" t="s">
        <v>6</v>
      </c>
      <c r="AN13" s="226">
        <v>45</v>
      </c>
      <c r="AO13" s="226">
        <v>1711400</v>
      </c>
      <c r="AP13" s="226">
        <v>39</v>
      </c>
      <c r="AQ13" s="226">
        <v>1911400</v>
      </c>
      <c r="AR13" s="226">
        <v>22</v>
      </c>
      <c r="AS13" s="226">
        <v>1150125</v>
      </c>
      <c r="AT13" s="226">
        <v>52</v>
      </c>
      <c r="AU13" s="226">
        <v>2855300</v>
      </c>
      <c r="AV13" s="226">
        <v>29</v>
      </c>
      <c r="AW13" s="226">
        <v>1488300</v>
      </c>
      <c r="AX13" s="226">
        <v>38</v>
      </c>
      <c r="AY13" s="226">
        <v>1807700</v>
      </c>
      <c r="AZ13" s="226">
        <v>35</v>
      </c>
      <c r="BA13" s="226">
        <v>1279120</v>
      </c>
      <c r="BB13" s="226">
        <v>23</v>
      </c>
      <c r="BC13" s="226">
        <v>1748740</v>
      </c>
      <c r="BD13" s="226">
        <v>38</v>
      </c>
      <c r="BE13" s="226">
        <v>2018380</v>
      </c>
      <c r="BF13" s="226">
        <v>38</v>
      </c>
      <c r="BG13" s="226">
        <v>1543950</v>
      </c>
      <c r="BH13" s="226">
        <v>44</v>
      </c>
      <c r="BI13" s="226">
        <v>1845525</v>
      </c>
      <c r="BJ13" s="226">
        <v>37</v>
      </c>
      <c r="BK13" s="226">
        <v>1745870</v>
      </c>
      <c r="BL13" s="225">
        <f t="shared" si="12"/>
        <v>440</v>
      </c>
      <c r="BM13" s="225">
        <f t="shared" si="13"/>
        <v>21105810</v>
      </c>
    </row>
    <row r="14" spans="1:65" x14ac:dyDescent="0.25">
      <c r="A14" s="188" t="s">
        <v>129</v>
      </c>
      <c r="B14" s="224">
        <v>30</v>
      </c>
      <c r="C14" s="224">
        <v>1405140</v>
      </c>
      <c r="D14" s="222">
        <f t="shared" si="0"/>
        <v>46838</v>
      </c>
      <c r="E14" s="224">
        <v>24</v>
      </c>
      <c r="F14" s="224">
        <v>1699970</v>
      </c>
      <c r="G14" s="222">
        <f t="shared" si="1"/>
        <v>70832.083333333328</v>
      </c>
      <c r="H14" s="224">
        <v>12</v>
      </c>
      <c r="I14" s="224">
        <v>1416870</v>
      </c>
      <c r="J14" s="222">
        <f t="shared" si="2"/>
        <v>118072.5</v>
      </c>
      <c r="K14" s="224">
        <v>8</v>
      </c>
      <c r="L14" s="224">
        <v>577910</v>
      </c>
      <c r="M14" s="222">
        <f t="shared" si="3"/>
        <v>72238.75</v>
      </c>
      <c r="N14" s="224">
        <v>18</v>
      </c>
      <c r="O14" s="224">
        <v>1100925</v>
      </c>
      <c r="P14" s="222">
        <f t="shared" si="4"/>
        <v>61162.5</v>
      </c>
      <c r="Q14" s="224">
        <v>10</v>
      </c>
      <c r="R14" s="224">
        <v>494720</v>
      </c>
      <c r="S14" s="222">
        <f t="shared" si="5"/>
        <v>49472</v>
      </c>
      <c r="T14" s="224">
        <v>7</v>
      </c>
      <c r="U14" s="224">
        <v>444500</v>
      </c>
      <c r="V14" s="222">
        <f t="shared" si="6"/>
        <v>63500</v>
      </c>
      <c r="W14" s="224">
        <v>8</v>
      </c>
      <c r="X14" s="224">
        <v>1027200</v>
      </c>
      <c r="Y14" s="222">
        <f t="shared" si="7"/>
        <v>128400</v>
      </c>
      <c r="Z14" s="224">
        <v>8</v>
      </c>
      <c r="AA14" s="224">
        <v>810680</v>
      </c>
      <c r="AB14" s="222">
        <f t="shared" si="8"/>
        <v>101335</v>
      </c>
      <c r="AC14" s="224">
        <v>18</v>
      </c>
      <c r="AD14" s="224">
        <v>1651830</v>
      </c>
      <c r="AE14" s="222">
        <f t="shared" si="9"/>
        <v>91768.333333333328</v>
      </c>
      <c r="AF14" s="224">
        <v>11</v>
      </c>
      <c r="AG14" s="224">
        <v>818620</v>
      </c>
      <c r="AH14" s="222">
        <f t="shared" si="10"/>
        <v>74420</v>
      </c>
      <c r="AI14" s="223">
        <v>14</v>
      </c>
      <c r="AJ14" s="223">
        <v>907720</v>
      </c>
      <c r="AK14" s="222">
        <f t="shared" si="11"/>
        <v>64837.142857142855</v>
      </c>
      <c r="AM14" s="178" t="s">
        <v>9</v>
      </c>
      <c r="AN14" s="226">
        <v>11</v>
      </c>
      <c r="AO14" s="226">
        <v>231500</v>
      </c>
      <c r="AP14" s="226">
        <v>10</v>
      </c>
      <c r="AQ14" s="226">
        <v>606900</v>
      </c>
      <c r="AR14" s="226">
        <v>14</v>
      </c>
      <c r="AS14" s="226">
        <v>454250</v>
      </c>
      <c r="AT14" s="226">
        <v>19</v>
      </c>
      <c r="AU14" s="226">
        <v>692060</v>
      </c>
      <c r="AV14" s="226">
        <v>8</v>
      </c>
      <c r="AW14" s="226">
        <v>409040</v>
      </c>
      <c r="AX14" s="226">
        <v>10</v>
      </c>
      <c r="AY14" s="226">
        <v>416610</v>
      </c>
      <c r="AZ14" s="226">
        <v>5</v>
      </c>
      <c r="BA14" s="226">
        <v>242250</v>
      </c>
      <c r="BB14" s="226">
        <v>7</v>
      </c>
      <c r="BC14" s="226">
        <v>195700</v>
      </c>
      <c r="BD14" s="226">
        <v>6</v>
      </c>
      <c r="BE14" s="226">
        <v>88600</v>
      </c>
      <c r="BF14" s="226">
        <v>7</v>
      </c>
      <c r="BG14" s="226">
        <v>216500</v>
      </c>
      <c r="BH14" s="226">
        <v>17</v>
      </c>
      <c r="BI14" s="226">
        <v>522450</v>
      </c>
      <c r="BJ14" s="226">
        <v>16</v>
      </c>
      <c r="BK14" s="226">
        <v>387700</v>
      </c>
      <c r="BL14" s="225">
        <f t="shared" si="12"/>
        <v>130</v>
      </c>
      <c r="BM14" s="225">
        <f t="shared" si="13"/>
        <v>4463560</v>
      </c>
    </row>
    <row r="15" spans="1:65" x14ac:dyDescent="0.25">
      <c r="A15" s="188" t="s">
        <v>9</v>
      </c>
      <c r="B15" s="224">
        <v>9</v>
      </c>
      <c r="C15" s="224">
        <v>166000</v>
      </c>
      <c r="D15" s="222">
        <f t="shared" si="0"/>
        <v>18444.444444444445</v>
      </c>
      <c r="E15" s="224">
        <v>8</v>
      </c>
      <c r="F15" s="224">
        <v>689298</v>
      </c>
      <c r="G15" s="222">
        <f t="shared" si="1"/>
        <v>86162.25</v>
      </c>
      <c r="H15" s="224">
        <v>6</v>
      </c>
      <c r="I15" s="224">
        <v>367295</v>
      </c>
      <c r="J15" s="222">
        <f t="shared" si="2"/>
        <v>61215.833333333336</v>
      </c>
      <c r="K15" s="224">
        <v>5</v>
      </c>
      <c r="L15" s="224">
        <v>236655</v>
      </c>
      <c r="M15" s="222">
        <f t="shared" si="3"/>
        <v>47331</v>
      </c>
      <c r="N15" s="224">
        <v>6</v>
      </c>
      <c r="O15" s="224">
        <v>153195</v>
      </c>
      <c r="P15" s="222">
        <f t="shared" si="4"/>
        <v>25532.5</v>
      </c>
      <c r="Q15" s="224">
        <v>9</v>
      </c>
      <c r="R15" s="224">
        <v>441820</v>
      </c>
      <c r="S15" s="222">
        <f t="shared" si="5"/>
        <v>49091.111111111109</v>
      </c>
      <c r="T15" s="224">
        <v>5</v>
      </c>
      <c r="U15" s="224">
        <v>264412</v>
      </c>
      <c r="V15" s="222">
        <f t="shared" si="6"/>
        <v>52882.400000000001</v>
      </c>
      <c r="W15" s="224">
        <v>9</v>
      </c>
      <c r="X15" s="224">
        <v>341800</v>
      </c>
      <c r="Y15" s="222">
        <f t="shared" si="7"/>
        <v>37977.777777777781</v>
      </c>
      <c r="Z15" s="224">
        <v>8</v>
      </c>
      <c r="AA15" s="224">
        <v>453000</v>
      </c>
      <c r="AB15" s="222">
        <f t="shared" si="8"/>
        <v>56625</v>
      </c>
      <c r="AC15" s="224">
        <v>12</v>
      </c>
      <c r="AD15" s="224">
        <v>461090</v>
      </c>
      <c r="AE15" s="222">
        <f t="shared" si="9"/>
        <v>38424.166666666664</v>
      </c>
      <c r="AF15" s="224">
        <v>12</v>
      </c>
      <c r="AG15" s="224">
        <v>435100</v>
      </c>
      <c r="AH15" s="222">
        <f t="shared" si="10"/>
        <v>36258.333333333336</v>
      </c>
      <c r="AI15" s="223">
        <v>12</v>
      </c>
      <c r="AJ15" s="223">
        <v>597890</v>
      </c>
      <c r="AK15" s="222">
        <f t="shared" si="11"/>
        <v>49824.166666666664</v>
      </c>
      <c r="AM15" s="178" t="s">
        <v>12</v>
      </c>
      <c r="AN15" s="226">
        <v>4</v>
      </c>
      <c r="AO15" s="226">
        <v>197400</v>
      </c>
      <c r="AP15" s="226">
        <v>10</v>
      </c>
      <c r="AQ15" s="226">
        <v>328100</v>
      </c>
      <c r="AR15" s="226">
        <v>10</v>
      </c>
      <c r="AS15" s="226">
        <v>327100</v>
      </c>
      <c r="AT15" s="226">
        <v>7</v>
      </c>
      <c r="AU15" s="226">
        <v>236000</v>
      </c>
      <c r="AV15" s="226">
        <v>11</v>
      </c>
      <c r="AW15" s="226">
        <v>624000</v>
      </c>
      <c r="AX15" s="226">
        <v>7</v>
      </c>
      <c r="AY15" s="226">
        <v>421400</v>
      </c>
      <c r="AZ15" s="226">
        <v>10</v>
      </c>
      <c r="BA15" s="226">
        <v>417300</v>
      </c>
      <c r="BB15" s="226">
        <v>6</v>
      </c>
      <c r="BC15" s="226">
        <v>145600</v>
      </c>
      <c r="BD15" s="226">
        <v>10</v>
      </c>
      <c r="BE15" s="226">
        <v>269300</v>
      </c>
      <c r="BF15" s="226">
        <v>12</v>
      </c>
      <c r="BG15" s="226">
        <v>658980</v>
      </c>
      <c r="BH15" s="226">
        <v>18</v>
      </c>
      <c r="BI15" s="226">
        <v>420700</v>
      </c>
      <c r="BJ15" s="226">
        <v>14</v>
      </c>
      <c r="BK15" s="226">
        <v>468295</v>
      </c>
      <c r="BL15" s="225">
        <f t="shared" si="12"/>
        <v>119</v>
      </c>
      <c r="BM15" s="225">
        <f t="shared" si="13"/>
        <v>4514175</v>
      </c>
    </row>
    <row r="16" spans="1:65" x14ac:dyDescent="0.25">
      <c r="A16" s="188" t="s">
        <v>12</v>
      </c>
      <c r="B16" s="224">
        <v>12</v>
      </c>
      <c r="C16" s="224">
        <v>310400</v>
      </c>
      <c r="D16" s="222">
        <f t="shared" si="0"/>
        <v>25866.666666666668</v>
      </c>
      <c r="E16" s="224">
        <v>13</v>
      </c>
      <c r="F16" s="224">
        <v>645050</v>
      </c>
      <c r="G16" s="222">
        <f t="shared" si="1"/>
        <v>49619.230769230766</v>
      </c>
      <c r="H16" s="224">
        <v>6</v>
      </c>
      <c r="I16" s="224">
        <v>192895</v>
      </c>
      <c r="J16" s="222">
        <f t="shared" si="2"/>
        <v>32149.166666666668</v>
      </c>
      <c r="K16" s="224">
        <v>14</v>
      </c>
      <c r="L16" s="224">
        <v>544370</v>
      </c>
      <c r="M16" s="222">
        <f t="shared" si="3"/>
        <v>38883.571428571428</v>
      </c>
      <c r="N16" s="224">
        <v>9</v>
      </c>
      <c r="O16" s="224">
        <v>554875</v>
      </c>
      <c r="P16" s="222">
        <f t="shared" si="4"/>
        <v>61652.777777777781</v>
      </c>
      <c r="Q16" s="224">
        <v>10</v>
      </c>
      <c r="R16" s="224">
        <v>485760</v>
      </c>
      <c r="S16" s="222">
        <f t="shared" si="5"/>
        <v>48576</v>
      </c>
      <c r="T16" s="224">
        <v>10</v>
      </c>
      <c r="U16" s="224">
        <v>688200</v>
      </c>
      <c r="V16" s="222">
        <f t="shared" si="6"/>
        <v>68820</v>
      </c>
      <c r="W16" s="224">
        <v>8</v>
      </c>
      <c r="X16" s="224">
        <v>417560</v>
      </c>
      <c r="Y16" s="222">
        <f t="shared" si="7"/>
        <v>52195</v>
      </c>
      <c r="Z16" s="224">
        <v>8</v>
      </c>
      <c r="AA16" s="224">
        <v>325300</v>
      </c>
      <c r="AB16" s="222">
        <f t="shared" si="8"/>
        <v>40662.5</v>
      </c>
      <c r="AC16" s="224">
        <v>12</v>
      </c>
      <c r="AD16" s="224">
        <v>941050</v>
      </c>
      <c r="AE16" s="222">
        <f t="shared" si="9"/>
        <v>78420.833333333328</v>
      </c>
      <c r="AF16" s="224">
        <v>5</v>
      </c>
      <c r="AG16" s="224">
        <v>222800</v>
      </c>
      <c r="AH16" s="222">
        <f t="shared" si="10"/>
        <v>44560</v>
      </c>
      <c r="AI16" s="223">
        <v>13</v>
      </c>
      <c r="AJ16" s="223">
        <v>766900</v>
      </c>
      <c r="AK16" s="222">
        <f t="shared" si="11"/>
        <v>58992.307692307695</v>
      </c>
      <c r="AM16" s="178" t="s">
        <v>23</v>
      </c>
      <c r="AN16" s="227">
        <v>0</v>
      </c>
      <c r="AO16" s="227">
        <v>0</v>
      </c>
      <c r="AP16" s="227">
        <v>0</v>
      </c>
      <c r="AQ16" s="227">
        <v>0</v>
      </c>
      <c r="AR16" s="227">
        <v>0</v>
      </c>
      <c r="AS16" s="227">
        <v>0</v>
      </c>
      <c r="AT16" s="227">
        <v>0</v>
      </c>
      <c r="AU16" s="226">
        <v>0</v>
      </c>
      <c r="AV16" s="226">
        <v>9</v>
      </c>
      <c r="AW16" s="226">
        <v>398400</v>
      </c>
      <c r="AX16" s="226">
        <v>13</v>
      </c>
      <c r="AY16" s="226">
        <v>263100</v>
      </c>
      <c r="AZ16" s="226">
        <v>16</v>
      </c>
      <c r="BA16" s="226">
        <v>664600</v>
      </c>
      <c r="BB16" s="226">
        <v>11</v>
      </c>
      <c r="BC16" s="226">
        <v>453900</v>
      </c>
      <c r="BD16" s="226">
        <v>18</v>
      </c>
      <c r="BE16" s="226">
        <v>687080</v>
      </c>
      <c r="BF16" s="226">
        <v>17</v>
      </c>
      <c r="BG16" s="226">
        <v>808120</v>
      </c>
      <c r="BH16" s="226">
        <v>33</v>
      </c>
      <c r="BI16" s="226">
        <v>1072150</v>
      </c>
      <c r="BJ16" s="226">
        <v>16</v>
      </c>
      <c r="BK16" s="226">
        <v>767395</v>
      </c>
      <c r="BL16" s="225">
        <f t="shared" si="12"/>
        <v>133</v>
      </c>
      <c r="BM16" s="225">
        <f t="shared" si="13"/>
        <v>5114745</v>
      </c>
    </row>
    <row r="17" spans="1:65" x14ac:dyDescent="0.25">
      <c r="A17" s="188" t="s">
        <v>103</v>
      </c>
      <c r="B17" s="224">
        <v>24</v>
      </c>
      <c r="C17" s="224">
        <v>106200</v>
      </c>
      <c r="D17" s="222">
        <f t="shared" si="0"/>
        <v>4425</v>
      </c>
      <c r="E17" s="224">
        <v>36</v>
      </c>
      <c r="F17" s="224">
        <v>4800</v>
      </c>
      <c r="G17" s="222">
        <f t="shared" si="1"/>
        <v>133.33333333333334</v>
      </c>
      <c r="H17" s="224">
        <v>35</v>
      </c>
      <c r="I17" s="224">
        <v>0</v>
      </c>
      <c r="J17" s="222">
        <f t="shared" si="2"/>
        <v>0</v>
      </c>
      <c r="K17" s="224">
        <v>29</v>
      </c>
      <c r="L17" s="224">
        <v>0</v>
      </c>
      <c r="M17" s="222">
        <f t="shared" si="3"/>
        <v>0</v>
      </c>
      <c r="N17" s="224">
        <v>19</v>
      </c>
      <c r="O17" s="224">
        <v>0</v>
      </c>
      <c r="P17" s="222">
        <f t="shared" si="4"/>
        <v>0</v>
      </c>
      <c r="Q17" s="224">
        <v>13</v>
      </c>
      <c r="R17" s="224">
        <v>0</v>
      </c>
      <c r="S17" s="222">
        <f t="shared" si="5"/>
        <v>0</v>
      </c>
      <c r="T17" s="224">
        <v>17</v>
      </c>
      <c r="U17" s="224">
        <v>0</v>
      </c>
      <c r="V17" s="222">
        <f t="shared" si="6"/>
        <v>0</v>
      </c>
      <c r="W17" s="224">
        <v>11</v>
      </c>
      <c r="X17" s="224">
        <v>0</v>
      </c>
      <c r="Y17" s="222">
        <f t="shared" si="7"/>
        <v>0</v>
      </c>
      <c r="Z17" s="224">
        <v>24</v>
      </c>
      <c r="AA17" s="224">
        <v>0</v>
      </c>
      <c r="AB17" s="222">
        <f t="shared" si="8"/>
        <v>0</v>
      </c>
      <c r="AC17" s="224">
        <v>17</v>
      </c>
      <c r="AD17" s="224">
        <v>0</v>
      </c>
      <c r="AE17" s="222">
        <f t="shared" si="9"/>
        <v>0</v>
      </c>
      <c r="AF17" s="224">
        <v>15</v>
      </c>
      <c r="AG17" s="224">
        <v>0</v>
      </c>
      <c r="AH17" s="222">
        <f t="shared" si="10"/>
        <v>0</v>
      </c>
      <c r="AI17" s="223">
        <v>31</v>
      </c>
      <c r="AJ17" s="223">
        <v>1735380</v>
      </c>
      <c r="AK17" s="222">
        <f t="shared" si="11"/>
        <v>55980</v>
      </c>
      <c r="AM17" s="178" t="s">
        <v>103</v>
      </c>
      <c r="AN17" s="226">
        <v>53</v>
      </c>
      <c r="AO17" s="226">
        <v>387200</v>
      </c>
      <c r="AP17" s="226">
        <v>57</v>
      </c>
      <c r="AQ17" s="226">
        <v>789000</v>
      </c>
      <c r="AR17" s="226">
        <v>56</v>
      </c>
      <c r="AS17" s="226">
        <v>730950</v>
      </c>
      <c r="AT17" s="226">
        <v>58</v>
      </c>
      <c r="AU17" s="226">
        <v>592650</v>
      </c>
      <c r="AV17" s="226">
        <v>46</v>
      </c>
      <c r="AW17" s="226">
        <v>311900</v>
      </c>
      <c r="AX17" s="226">
        <v>29</v>
      </c>
      <c r="AY17" s="226">
        <v>418040</v>
      </c>
      <c r="AZ17" s="226">
        <v>26</v>
      </c>
      <c r="BA17" s="179">
        <v>162421</v>
      </c>
      <c r="BB17" s="226">
        <v>21</v>
      </c>
      <c r="BC17" s="226">
        <v>91800</v>
      </c>
      <c r="BD17" s="226">
        <v>44</v>
      </c>
      <c r="BE17" s="226">
        <v>122700</v>
      </c>
      <c r="BF17" s="226">
        <v>38</v>
      </c>
      <c r="BG17" s="226">
        <v>148400</v>
      </c>
      <c r="BH17" s="226">
        <v>28</v>
      </c>
      <c r="BI17" s="226">
        <v>120100</v>
      </c>
      <c r="BJ17" s="226">
        <v>18</v>
      </c>
      <c r="BK17" s="226">
        <v>75600</v>
      </c>
      <c r="BL17" s="225">
        <f t="shared" si="12"/>
        <v>474</v>
      </c>
      <c r="BM17" s="225">
        <f t="shared" si="13"/>
        <v>3950761</v>
      </c>
    </row>
    <row r="18" spans="1:65" x14ac:dyDescent="0.25">
      <c r="A18" s="193" t="s">
        <v>86</v>
      </c>
      <c r="B18" s="224">
        <v>0</v>
      </c>
      <c r="C18" s="224">
        <v>0</v>
      </c>
      <c r="D18" s="222" t="e">
        <f t="shared" si="0"/>
        <v>#DIV/0!</v>
      </c>
      <c r="E18" s="224">
        <v>18</v>
      </c>
      <c r="F18" s="224">
        <v>1403194</v>
      </c>
      <c r="G18" s="222">
        <f t="shared" si="1"/>
        <v>77955.222222222219</v>
      </c>
      <c r="H18" s="224">
        <v>29</v>
      </c>
      <c r="I18" s="224">
        <v>883780</v>
      </c>
      <c r="J18" s="222">
        <f t="shared" si="2"/>
        <v>30475.172413793105</v>
      </c>
      <c r="K18" s="224">
        <v>34</v>
      </c>
      <c r="L18" s="224">
        <v>1055645</v>
      </c>
      <c r="M18" s="222">
        <f t="shared" si="3"/>
        <v>31048.382352941175</v>
      </c>
      <c r="N18" s="224">
        <v>27</v>
      </c>
      <c r="O18" s="224">
        <v>836985</v>
      </c>
      <c r="P18" s="222">
        <f t="shared" si="4"/>
        <v>30999.444444444445</v>
      </c>
      <c r="Q18" s="224">
        <v>14</v>
      </c>
      <c r="R18" s="224">
        <v>770510</v>
      </c>
      <c r="S18" s="222">
        <f t="shared" si="5"/>
        <v>55036.428571428572</v>
      </c>
      <c r="T18" s="224">
        <v>9</v>
      </c>
      <c r="U18" s="224">
        <v>599580</v>
      </c>
      <c r="V18" s="222">
        <f t="shared" si="6"/>
        <v>66620</v>
      </c>
      <c r="W18" s="224">
        <v>11</v>
      </c>
      <c r="X18" s="224">
        <v>373000</v>
      </c>
      <c r="Y18" s="222">
        <f t="shared" si="7"/>
        <v>33909.090909090912</v>
      </c>
      <c r="Z18" s="224">
        <v>13</v>
      </c>
      <c r="AA18" s="224">
        <v>628500</v>
      </c>
      <c r="AB18" s="222">
        <f t="shared" si="8"/>
        <v>48346.153846153844</v>
      </c>
      <c r="AC18" s="224">
        <v>10</v>
      </c>
      <c r="AD18" s="224">
        <v>477774</v>
      </c>
      <c r="AE18" s="222">
        <f t="shared" si="9"/>
        <v>47777.4</v>
      </c>
      <c r="AF18" s="224">
        <v>18</v>
      </c>
      <c r="AG18" s="224">
        <v>740200</v>
      </c>
      <c r="AH18" s="222">
        <f t="shared" si="10"/>
        <v>41122.222222222219</v>
      </c>
      <c r="AI18" s="223">
        <v>17</v>
      </c>
      <c r="AJ18" s="223">
        <v>1073900</v>
      </c>
      <c r="AK18" s="222">
        <f t="shared" si="11"/>
        <v>63170.588235294119</v>
      </c>
      <c r="AM18" s="178" t="s">
        <v>14</v>
      </c>
      <c r="AN18" s="225">
        <v>276</v>
      </c>
      <c r="AO18" s="225">
        <f>SUM(AO3:AO17)</f>
        <v>11207640</v>
      </c>
      <c r="AP18" s="225">
        <v>342</v>
      </c>
      <c r="AQ18" s="225">
        <f>SUM(AQ3:AQ17)</f>
        <v>15061871</v>
      </c>
      <c r="AR18" s="225">
        <v>356</v>
      </c>
      <c r="AS18" s="225">
        <f>SUM(AS3:AS17)</f>
        <v>14553425</v>
      </c>
      <c r="AT18" s="225">
        <v>362</v>
      </c>
      <c r="AU18" s="225">
        <f t="shared" ref="AU18:BM18" si="14">SUM(AU3:AU17)</f>
        <v>16587720</v>
      </c>
      <c r="AV18" s="225">
        <f t="shared" si="14"/>
        <v>312</v>
      </c>
      <c r="AW18" s="225">
        <f t="shared" si="14"/>
        <v>16493560</v>
      </c>
      <c r="AX18" s="225">
        <f t="shared" si="14"/>
        <v>253</v>
      </c>
      <c r="AY18" s="225">
        <f t="shared" si="14"/>
        <v>11036617</v>
      </c>
      <c r="AZ18" s="225">
        <f t="shared" si="14"/>
        <v>246</v>
      </c>
      <c r="BA18" s="180">
        <f t="shared" si="14"/>
        <v>10872208</v>
      </c>
      <c r="BB18" s="225">
        <f t="shared" si="14"/>
        <v>203</v>
      </c>
      <c r="BC18" s="225">
        <f t="shared" si="14"/>
        <v>8596830</v>
      </c>
      <c r="BD18" s="225">
        <f t="shared" si="14"/>
        <v>297</v>
      </c>
      <c r="BE18" s="225">
        <f t="shared" si="14"/>
        <v>12626200</v>
      </c>
      <c r="BF18" s="225">
        <f t="shared" si="14"/>
        <v>336</v>
      </c>
      <c r="BG18" s="225">
        <f t="shared" si="14"/>
        <v>16104000</v>
      </c>
      <c r="BH18" s="225">
        <f t="shared" si="14"/>
        <v>346</v>
      </c>
      <c r="BI18" s="225">
        <f t="shared" si="14"/>
        <v>15419951</v>
      </c>
      <c r="BJ18" s="225">
        <f t="shared" si="14"/>
        <v>283</v>
      </c>
      <c r="BK18" s="225">
        <f t="shared" si="14"/>
        <v>12737180</v>
      </c>
      <c r="BL18" s="225">
        <f t="shared" si="14"/>
        <v>3612</v>
      </c>
      <c r="BM18" s="225">
        <f t="shared" si="14"/>
        <v>161297202</v>
      </c>
    </row>
    <row r="19" spans="1:65" ht="12.6" thickBot="1" x14ac:dyDescent="0.3">
      <c r="A19" s="193" t="s">
        <v>130</v>
      </c>
      <c r="B19" s="224">
        <v>0</v>
      </c>
      <c r="C19" s="224">
        <v>0</v>
      </c>
      <c r="D19" s="222" t="e">
        <f t="shared" si="0"/>
        <v>#DIV/0!</v>
      </c>
      <c r="E19" s="224">
        <v>0</v>
      </c>
      <c r="F19" s="224">
        <v>0</v>
      </c>
      <c r="G19" s="222" t="e">
        <f t="shared" si="1"/>
        <v>#DIV/0!</v>
      </c>
      <c r="H19" s="224">
        <v>15</v>
      </c>
      <c r="I19" s="224">
        <v>970430</v>
      </c>
      <c r="J19" s="222">
        <f t="shared" si="2"/>
        <v>64695.333333333336</v>
      </c>
      <c r="K19" s="224">
        <v>17</v>
      </c>
      <c r="L19" s="224">
        <v>657420</v>
      </c>
      <c r="M19" s="222">
        <f t="shared" si="3"/>
        <v>38671.76470588235</v>
      </c>
      <c r="N19" s="224">
        <v>14</v>
      </c>
      <c r="O19" s="224">
        <v>721950</v>
      </c>
      <c r="P19" s="222">
        <f t="shared" si="4"/>
        <v>51567.857142857145</v>
      </c>
      <c r="Q19" s="224">
        <v>10</v>
      </c>
      <c r="R19" s="224">
        <v>424860</v>
      </c>
      <c r="S19" s="222">
        <f t="shared" si="5"/>
        <v>42486</v>
      </c>
      <c r="T19" s="224">
        <v>10</v>
      </c>
      <c r="U19" s="224">
        <v>727202</v>
      </c>
      <c r="V19" s="222">
        <f t="shared" si="6"/>
        <v>72720.2</v>
      </c>
      <c r="W19" s="224">
        <v>19</v>
      </c>
      <c r="X19" s="224">
        <v>968900</v>
      </c>
      <c r="Y19" s="222">
        <f t="shared" si="7"/>
        <v>50994.73684210526</v>
      </c>
      <c r="Z19" s="224">
        <v>13</v>
      </c>
      <c r="AA19" s="224">
        <v>1711780</v>
      </c>
      <c r="AB19" s="222">
        <f t="shared" si="8"/>
        <v>131675.38461538462</v>
      </c>
      <c r="AC19" s="224">
        <v>16</v>
      </c>
      <c r="AD19" s="224">
        <v>1227620</v>
      </c>
      <c r="AE19" s="222">
        <f t="shared" si="9"/>
        <v>76726.25</v>
      </c>
      <c r="AF19" s="224">
        <v>15</v>
      </c>
      <c r="AG19" s="224">
        <v>694460</v>
      </c>
      <c r="AH19" s="222">
        <f t="shared" si="10"/>
        <v>46297.333333333336</v>
      </c>
      <c r="AI19" s="223">
        <v>16</v>
      </c>
      <c r="AJ19" s="223">
        <v>1326840</v>
      </c>
      <c r="AK19" s="222">
        <f t="shared" si="11"/>
        <v>82927.5</v>
      </c>
      <c r="AM19" s="234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/>
      <c r="AZ19" s="232"/>
      <c r="BA19" s="233"/>
      <c r="BB19" s="232"/>
      <c r="BC19" s="232"/>
      <c r="BD19" s="232"/>
      <c r="BE19" s="232"/>
      <c r="BF19" s="232"/>
      <c r="BG19" s="232"/>
      <c r="BH19" s="232"/>
      <c r="BI19" s="232"/>
      <c r="BJ19" s="232"/>
      <c r="BK19" s="232"/>
      <c r="BL19" s="232"/>
      <c r="BM19" s="232"/>
    </row>
    <row r="20" spans="1:65" x14ac:dyDescent="0.25">
      <c r="A20" s="193" t="s">
        <v>87</v>
      </c>
      <c r="B20" s="224">
        <v>0</v>
      </c>
      <c r="C20" s="224">
        <v>0</v>
      </c>
      <c r="D20" s="222" t="e">
        <f t="shared" si="0"/>
        <v>#DIV/0!</v>
      </c>
      <c r="E20" s="224">
        <v>0</v>
      </c>
      <c r="F20" s="224">
        <v>0</v>
      </c>
      <c r="G20" s="222" t="e">
        <f t="shared" si="1"/>
        <v>#DIV/0!</v>
      </c>
      <c r="H20" s="224">
        <v>4</v>
      </c>
      <c r="I20" s="224">
        <v>327470</v>
      </c>
      <c r="J20" s="222">
        <f t="shared" si="2"/>
        <v>81867.5</v>
      </c>
      <c r="K20" s="224">
        <v>3</v>
      </c>
      <c r="L20" s="224">
        <v>111895</v>
      </c>
      <c r="M20" s="222">
        <f t="shared" si="3"/>
        <v>37298.333333333336</v>
      </c>
      <c r="N20" s="224">
        <v>9</v>
      </c>
      <c r="O20" s="224">
        <v>386465</v>
      </c>
      <c r="P20" s="222">
        <f t="shared" si="4"/>
        <v>42940.555555555555</v>
      </c>
      <c r="Q20" s="224">
        <v>6</v>
      </c>
      <c r="R20" s="224">
        <v>336360</v>
      </c>
      <c r="S20" s="222">
        <f t="shared" si="5"/>
        <v>56060</v>
      </c>
      <c r="T20" s="224">
        <v>3</v>
      </c>
      <c r="U20" s="224">
        <v>561400</v>
      </c>
      <c r="V20" s="222">
        <f t="shared" si="6"/>
        <v>187133.33333333334</v>
      </c>
      <c r="W20" s="224">
        <v>4</v>
      </c>
      <c r="X20" s="224">
        <v>360200</v>
      </c>
      <c r="Y20" s="222">
        <f t="shared" si="7"/>
        <v>90050</v>
      </c>
      <c r="Z20" s="224">
        <v>6</v>
      </c>
      <c r="AA20" s="224">
        <v>641000</v>
      </c>
      <c r="AB20" s="222">
        <f t="shared" si="8"/>
        <v>106833.33333333333</v>
      </c>
      <c r="AC20" s="224">
        <v>4</v>
      </c>
      <c r="AD20" s="224">
        <v>316700</v>
      </c>
      <c r="AE20" s="222">
        <f t="shared" si="9"/>
        <v>79175</v>
      </c>
      <c r="AF20" s="224">
        <v>9</v>
      </c>
      <c r="AG20" s="224">
        <v>902500</v>
      </c>
      <c r="AH20" s="222">
        <f t="shared" si="10"/>
        <v>100277.77777777778</v>
      </c>
      <c r="AI20" s="223">
        <v>9</v>
      </c>
      <c r="AJ20" s="223">
        <v>572900</v>
      </c>
      <c r="AK20" s="222">
        <f t="shared" si="11"/>
        <v>63655.555555555555</v>
      </c>
      <c r="AM20" s="231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0"/>
      <c r="BK20" s="230"/>
      <c r="BL20" s="230"/>
      <c r="BM20" s="230"/>
    </row>
    <row r="21" spans="1:65" x14ac:dyDescent="0.25">
      <c r="A21" s="193" t="s">
        <v>95</v>
      </c>
      <c r="B21" s="224">
        <v>0</v>
      </c>
      <c r="C21" s="224">
        <v>0</v>
      </c>
      <c r="D21" s="222" t="e">
        <f t="shared" si="0"/>
        <v>#DIV/0!</v>
      </c>
      <c r="E21" s="224">
        <v>0</v>
      </c>
      <c r="F21" s="224">
        <v>0</v>
      </c>
      <c r="G21" s="222" t="e">
        <f t="shared" si="1"/>
        <v>#DIV/0!</v>
      </c>
      <c r="H21" s="224">
        <v>0</v>
      </c>
      <c r="I21" s="224">
        <v>0</v>
      </c>
      <c r="J21" s="222" t="e">
        <f t="shared" si="2"/>
        <v>#DIV/0!</v>
      </c>
      <c r="K21" s="224">
        <v>0</v>
      </c>
      <c r="L21" s="224">
        <v>0</v>
      </c>
      <c r="M21" s="222" t="e">
        <f t="shared" si="3"/>
        <v>#DIV/0!</v>
      </c>
      <c r="N21" s="224">
        <v>30</v>
      </c>
      <c r="O21" s="224">
        <v>1176470</v>
      </c>
      <c r="P21" s="222">
        <f t="shared" si="4"/>
        <v>39215.666666666664</v>
      </c>
      <c r="Q21" s="224">
        <v>11</v>
      </c>
      <c r="R21" s="224">
        <v>913760</v>
      </c>
      <c r="S21" s="222">
        <f t="shared" si="5"/>
        <v>83069.090909090912</v>
      </c>
      <c r="T21" s="224">
        <v>7</v>
      </c>
      <c r="U21" s="224">
        <v>604200</v>
      </c>
      <c r="V21" s="222">
        <f t="shared" si="6"/>
        <v>86314.28571428571</v>
      </c>
      <c r="W21" s="224">
        <v>7</v>
      </c>
      <c r="X21" s="224">
        <v>391500</v>
      </c>
      <c r="Y21" s="222">
        <f t="shared" si="7"/>
        <v>55928.571428571428</v>
      </c>
      <c r="Z21" s="224">
        <v>7</v>
      </c>
      <c r="AA21" s="224">
        <v>250430</v>
      </c>
      <c r="AB21" s="222">
        <f t="shared" si="8"/>
        <v>35775.714285714283</v>
      </c>
      <c r="AC21" s="224">
        <v>10</v>
      </c>
      <c r="AD21" s="224">
        <v>360400</v>
      </c>
      <c r="AE21" s="222">
        <f t="shared" si="9"/>
        <v>36040</v>
      </c>
      <c r="AF21" s="224">
        <v>9</v>
      </c>
      <c r="AG21" s="224">
        <v>331200</v>
      </c>
      <c r="AH21" s="222">
        <f t="shared" si="10"/>
        <v>36800</v>
      </c>
      <c r="AI21" s="223">
        <v>11</v>
      </c>
      <c r="AJ21" s="223">
        <v>601100</v>
      </c>
      <c r="AK21" s="222">
        <f t="shared" si="11"/>
        <v>54645.454545454544</v>
      </c>
      <c r="AM21" s="229" t="s">
        <v>109</v>
      </c>
      <c r="AN21" s="334">
        <v>45017</v>
      </c>
      <c r="AO21" s="335"/>
      <c r="AP21" s="334">
        <v>45047</v>
      </c>
      <c r="AQ21" s="335"/>
      <c r="AR21" s="334">
        <v>45078</v>
      </c>
      <c r="AS21" s="335"/>
      <c r="AT21" s="334">
        <v>45108</v>
      </c>
      <c r="AU21" s="335"/>
      <c r="AV21" s="334">
        <v>45139</v>
      </c>
      <c r="AW21" s="335"/>
      <c r="AX21" s="334">
        <v>45170</v>
      </c>
      <c r="AY21" s="335"/>
      <c r="AZ21" s="334">
        <v>45200</v>
      </c>
      <c r="BA21" s="335"/>
      <c r="BB21" s="334">
        <v>45231</v>
      </c>
      <c r="BC21" s="335"/>
      <c r="BD21" s="334">
        <v>45261</v>
      </c>
      <c r="BE21" s="335"/>
      <c r="BF21" s="334">
        <v>45292</v>
      </c>
      <c r="BG21" s="335"/>
      <c r="BH21" s="334">
        <v>45323</v>
      </c>
      <c r="BI21" s="335"/>
      <c r="BJ21" s="334">
        <v>45352</v>
      </c>
      <c r="BK21" s="335"/>
      <c r="BL21" s="332" t="s">
        <v>14</v>
      </c>
      <c r="BM21" s="333"/>
    </row>
    <row r="22" spans="1:65" s="183" customFormat="1" x14ac:dyDescent="0.25">
      <c r="A22" s="171" t="s">
        <v>14</v>
      </c>
      <c r="B22" s="186">
        <f>SUM(B3:B21)</f>
        <v>304</v>
      </c>
      <c r="C22" s="186">
        <f>SUM(C3:C21)</f>
        <v>13167710</v>
      </c>
      <c r="D22" s="221">
        <f t="shared" si="0"/>
        <v>43314.835526315786</v>
      </c>
      <c r="E22" s="186">
        <f>SUM(E3:E21)</f>
        <v>285</v>
      </c>
      <c r="F22" s="186">
        <f>SUM(F3:F21)</f>
        <v>15771864</v>
      </c>
      <c r="G22" s="221">
        <f t="shared" si="1"/>
        <v>55339.873684210528</v>
      </c>
      <c r="H22" s="186">
        <f>SUM(H3:H21)</f>
        <v>312</v>
      </c>
      <c r="I22" s="186">
        <f>SUM(I3:I21)</f>
        <v>16535170</v>
      </c>
      <c r="J22" s="221">
        <f t="shared" si="2"/>
        <v>52997.339743589742</v>
      </c>
      <c r="K22" s="186">
        <f>SUM(K3:K21)</f>
        <v>312</v>
      </c>
      <c r="L22" s="186">
        <f>SUM(L3:L21)</f>
        <v>13890025</v>
      </c>
      <c r="M22" s="221">
        <f t="shared" si="3"/>
        <v>44519.310897435898</v>
      </c>
      <c r="N22" s="186">
        <f>SUM(N3:N21)</f>
        <v>355</v>
      </c>
      <c r="O22" s="186">
        <f>SUM(O3:O21)</f>
        <v>16161643</v>
      </c>
      <c r="P22" s="221">
        <f t="shared" si="4"/>
        <v>45525.754929577466</v>
      </c>
      <c r="Q22" s="186">
        <f>SUM(Q3:Q21)</f>
        <v>271</v>
      </c>
      <c r="R22" s="186">
        <f>SUM(R3:R21)</f>
        <v>14250310</v>
      </c>
      <c r="S22" s="221">
        <f t="shared" si="5"/>
        <v>52584.16974169742</v>
      </c>
      <c r="T22" s="186">
        <f>SUM(T3:T21)</f>
        <v>223</v>
      </c>
      <c r="U22" s="186">
        <f>SUM(U3:U21)</f>
        <v>18458375</v>
      </c>
      <c r="V22" s="221">
        <f t="shared" si="6"/>
        <v>82772.982062780269</v>
      </c>
      <c r="W22" s="186">
        <f>SUM(W3:W21)</f>
        <v>213</v>
      </c>
      <c r="X22" s="186">
        <f>SUM(X3:X21)</f>
        <v>17117140</v>
      </c>
      <c r="Y22" s="221">
        <f t="shared" si="7"/>
        <v>80362.159624413151</v>
      </c>
      <c r="Z22" s="186">
        <f>SUM(Z3:Z21)</f>
        <v>246</v>
      </c>
      <c r="AA22" s="186">
        <f>SUM(AA3:AA21)</f>
        <v>22263821</v>
      </c>
      <c r="AB22" s="221">
        <f t="shared" si="8"/>
        <v>90503.337398373988</v>
      </c>
      <c r="AC22" s="186">
        <f>SUM(AC3:AC21)</f>
        <v>272</v>
      </c>
      <c r="AD22" s="186">
        <f>SUM(AD3:AD21)</f>
        <v>18779588</v>
      </c>
      <c r="AE22" s="221">
        <f t="shared" si="9"/>
        <v>69042.602941176476</v>
      </c>
      <c r="AF22" s="186">
        <f>SUM(AF3:AF21)</f>
        <v>289</v>
      </c>
      <c r="AG22" s="186">
        <f>SUM(AG3:AG21)</f>
        <v>18173290</v>
      </c>
      <c r="AH22" s="221">
        <f t="shared" si="10"/>
        <v>62883.356401384081</v>
      </c>
      <c r="AI22" s="186">
        <f>SUM(AI3:AI21)</f>
        <v>334</v>
      </c>
      <c r="AJ22" s="186">
        <f>SUM(AJ3:AJ21)</f>
        <v>24886890</v>
      </c>
      <c r="AK22" s="221">
        <f t="shared" si="11"/>
        <v>74511.64670658682</v>
      </c>
      <c r="AM22" s="188" t="s">
        <v>1</v>
      </c>
      <c r="AN22" s="216" t="s">
        <v>15</v>
      </c>
      <c r="AO22" s="216" t="s">
        <v>22</v>
      </c>
      <c r="AP22" s="216" t="s">
        <v>15</v>
      </c>
      <c r="AQ22" s="216" t="s">
        <v>22</v>
      </c>
      <c r="AR22" s="216" t="s">
        <v>15</v>
      </c>
      <c r="AS22" s="216" t="s">
        <v>22</v>
      </c>
      <c r="AT22" s="216" t="s">
        <v>15</v>
      </c>
      <c r="AU22" s="216" t="s">
        <v>22</v>
      </c>
      <c r="AV22" s="216" t="s">
        <v>15</v>
      </c>
      <c r="AW22" s="216" t="s">
        <v>22</v>
      </c>
      <c r="AX22" s="216" t="s">
        <v>15</v>
      </c>
      <c r="AY22" s="216" t="s">
        <v>22</v>
      </c>
      <c r="AZ22" s="216" t="s">
        <v>15</v>
      </c>
      <c r="BA22" s="216" t="s">
        <v>22</v>
      </c>
      <c r="BB22" s="216" t="s">
        <v>15</v>
      </c>
      <c r="BC22" s="216" t="s">
        <v>22</v>
      </c>
      <c r="BD22" s="216" t="s">
        <v>15</v>
      </c>
      <c r="BE22" s="216" t="s">
        <v>22</v>
      </c>
      <c r="BF22" s="216" t="s">
        <v>15</v>
      </c>
      <c r="BG22" s="216" t="s">
        <v>22</v>
      </c>
      <c r="BH22" s="216" t="s">
        <v>15</v>
      </c>
      <c r="BI22" s="216" t="s">
        <v>22</v>
      </c>
      <c r="BJ22" s="216" t="s">
        <v>15</v>
      </c>
      <c r="BK22" s="216" t="s">
        <v>22</v>
      </c>
      <c r="BL22" s="216" t="s">
        <v>15</v>
      </c>
      <c r="BM22" s="216" t="s">
        <v>22</v>
      </c>
    </row>
    <row r="23" spans="1:65" x14ac:dyDescent="0.25">
      <c r="AM23" s="178" t="s">
        <v>4</v>
      </c>
      <c r="AN23" s="226">
        <v>43</v>
      </c>
      <c r="AO23" s="226">
        <v>3094800</v>
      </c>
      <c r="AP23" s="226">
        <v>59</v>
      </c>
      <c r="AQ23" s="226">
        <f>4369390-43600</f>
        <v>4325790</v>
      </c>
      <c r="AR23" s="226">
        <v>71</v>
      </c>
      <c r="AS23" s="226">
        <v>4857650</v>
      </c>
      <c r="AT23" s="226">
        <v>84</v>
      </c>
      <c r="AU23" s="226">
        <v>6109285</v>
      </c>
      <c r="AV23" s="226">
        <v>76</v>
      </c>
      <c r="AW23" s="226">
        <v>5144240</v>
      </c>
      <c r="AX23" s="226">
        <v>79</v>
      </c>
      <c r="AY23" s="226">
        <v>5387880</v>
      </c>
      <c r="AZ23" s="226">
        <v>75</v>
      </c>
      <c r="BA23" s="179">
        <v>5812391</v>
      </c>
      <c r="BB23" s="226">
        <v>67</v>
      </c>
      <c r="BC23" s="226">
        <v>5192251</v>
      </c>
      <c r="BD23" s="226">
        <v>80</v>
      </c>
      <c r="BE23" s="226">
        <v>5767860</v>
      </c>
      <c r="BF23" s="226">
        <v>87</v>
      </c>
      <c r="BG23" s="226">
        <v>7349795</v>
      </c>
      <c r="BH23" s="226">
        <v>90</v>
      </c>
      <c r="BI23" s="226">
        <v>7798410</v>
      </c>
      <c r="BJ23" s="226">
        <v>92</v>
      </c>
      <c r="BK23" s="226">
        <v>6208995</v>
      </c>
      <c r="BL23" s="225">
        <f t="shared" ref="BL23:BL37" si="15">AN23+AP23+AR23+AT23+AV23+AX23+AZ23+BB23+BD23+BF23+BH23+BJ23</f>
        <v>903</v>
      </c>
      <c r="BM23" s="225">
        <f t="shared" ref="BM23:BM37" si="16">AO23+AQ23+AS23+AU23+AW23+AY23+BA23+BC23+BE23+BG23+BI23+BK23</f>
        <v>67049347</v>
      </c>
    </row>
    <row r="24" spans="1:65" x14ac:dyDescent="0.25">
      <c r="A24" s="228" t="s">
        <v>108</v>
      </c>
      <c r="B24" s="336">
        <v>45383</v>
      </c>
      <c r="C24" s="336"/>
      <c r="D24" s="336"/>
      <c r="E24" s="336">
        <v>45413</v>
      </c>
      <c r="F24" s="336"/>
      <c r="G24" s="336"/>
      <c r="H24" s="336">
        <v>45444</v>
      </c>
      <c r="I24" s="336"/>
      <c r="J24" s="336"/>
      <c r="K24" s="336">
        <v>45474</v>
      </c>
      <c r="L24" s="336"/>
      <c r="M24" s="336"/>
      <c r="N24" s="336">
        <v>45505</v>
      </c>
      <c r="O24" s="336"/>
      <c r="P24" s="336"/>
      <c r="Q24" s="336">
        <v>45536</v>
      </c>
      <c r="R24" s="336"/>
      <c r="S24" s="336"/>
      <c r="T24" s="336">
        <v>45566</v>
      </c>
      <c r="U24" s="336"/>
      <c r="V24" s="336"/>
      <c r="W24" s="336">
        <v>45597</v>
      </c>
      <c r="X24" s="336"/>
      <c r="Y24" s="336"/>
      <c r="Z24" s="336">
        <v>45627</v>
      </c>
      <c r="AA24" s="336"/>
      <c r="AB24" s="336"/>
      <c r="AC24" s="336">
        <v>45658</v>
      </c>
      <c r="AD24" s="336"/>
      <c r="AE24" s="336"/>
      <c r="AF24" s="336">
        <v>45689</v>
      </c>
      <c r="AG24" s="336"/>
      <c r="AH24" s="336"/>
      <c r="AI24" s="336">
        <v>45717</v>
      </c>
      <c r="AJ24" s="336"/>
      <c r="AK24" s="336"/>
      <c r="AM24" s="178" t="s">
        <v>8</v>
      </c>
      <c r="AN24" s="226">
        <v>26</v>
      </c>
      <c r="AO24" s="226">
        <v>1362900</v>
      </c>
      <c r="AP24" s="226">
        <v>30</v>
      </c>
      <c r="AQ24" s="226">
        <v>1513200</v>
      </c>
      <c r="AR24" s="226">
        <v>28</v>
      </c>
      <c r="AS24" s="226">
        <v>1286800</v>
      </c>
      <c r="AT24" s="226">
        <v>33</v>
      </c>
      <c r="AU24" s="226">
        <v>1874000</v>
      </c>
      <c r="AV24" s="226">
        <v>35</v>
      </c>
      <c r="AW24" s="226">
        <v>1965250</v>
      </c>
      <c r="AX24" s="226">
        <v>37</v>
      </c>
      <c r="AY24" s="226">
        <v>1748800</v>
      </c>
      <c r="AZ24" s="226">
        <v>37</v>
      </c>
      <c r="BA24" s="179">
        <v>1400400</v>
      </c>
      <c r="BB24" s="226">
        <v>32</v>
      </c>
      <c r="BC24" s="226">
        <v>1457500</v>
      </c>
      <c r="BD24" s="226">
        <v>29</v>
      </c>
      <c r="BE24" s="226">
        <v>1869490</v>
      </c>
      <c r="BF24" s="226">
        <v>27</v>
      </c>
      <c r="BG24" s="226">
        <v>1726620</v>
      </c>
      <c r="BH24" s="226">
        <v>29</v>
      </c>
      <c r="BI24" s="226">
        <v>1773458</v>
      </c>
      <c r="BJ24" s="226">
        <v>21</v>
      </c>
      <c r="BK24" s="226">
        <v>1956735</v>
      </c>
      <c r="BL24" s="225">
        <f t="shared" si="15"/>
        <v>364</v>
      </c>
      <c r="BM24" s="225">
        <f t="shared" si="16"/>
        <v>19935153</v>
      </c>
    </row>
    <row r="25" spans="1:65" x14ac:dyDescent="0.25">
      <c r="A25" s="171" t="s">
        <v>1</v>
      </c>
      <c r="B25" s="186" t="s">
        <v>15</v>
      </c>
      <c r="C25" s="186" t="s">
        <v>22</v>
      </c>
      <c r="D25" s="186" t="s">
        <v>107</v>
      </c>
      <c r="E25" s="186" t="s">
        <v>15</v>
      </c>
      <c r="F25" s="186" t="s">
        <v>22</v>
      </c>
      <c r="G25" s="186" t="s">
        <v>107</v>
      </c>
      <c r="H25" s="186" t="s">
        <v>15</v>
      </c>
      <c r="I25" s="186" t="s">
        <v>22</v>
      </c>
      <c r="J25" s="186" t="s">
        <v>107</v>
      </c>
      <c r="K25" s="186" t="s">
        <v>15</v>
      </c>
      <c r="L25" s="186" t="s">
        <v>22</v>
      </c>
      <c r="M25" s="186" t="s">
        <v>107</v>
      </c>
      <c r="N25" s="186" t="s">
        <v>15</v>
      </c>
      <c r="O25" s="186" t="s">
        <v>22</v>
      </c>
      <c r="P25" s="186" t="s">
        <v>107</v>
      </c>
      <c r="Q25" s="186" t="s">
        <v>15</v>
      </c>
      <c r="R25" s="186" t="s">
        <v>22</v>
      </c>
      <c r="S25" s="186" t="s">
        <v>107</v>
      </c>
      <c r="T25" s="186" t="s">
        <v>15</v>
      </c>
      <c r="U25" s="186" t="s">
        <v>22</v>
      </c>
      <c r="V25" s="186" t="s">
        <v>107</v>
      </c>
      <c r="W25" s="186" t="s">
        <v>15</v>
      </c>
      <c r="X25" s="186" t="s">
        <v>22</v>
      </c>
      <c r="Y25" s="186" t="s">
        <v>107</v>
      </c>
      <c r="Z25" s="186" t="s">
        <v>15</v>
      </c>
      <c r="AA25" s="186" t="s">
        <v>22</v>
      </c>
      <c r="AB25" s="186" t="s">
        <v>107</v>
      </c>
      <c r="AC25" s="186" t="s">
        <v>15</v>
      </c>
      <c r="AD25" s="186" t="s">
        <v>22</v>
      </c>
      <c r="AE25" s="186" t="s">
        <v>107</v>
      </c>
      <c r="AF25" s="186" t="s">
        <v>15</v>
      </c>
      <c r="AG25" s="186" t="s">
        <v>22</v>
      </c>
      <c r="AH25" s="186" t="s">
        <v>107</v>
      </c>
      <c r="AI25" s="186" t="s">
        <v>15</v>
      </c>
      <c r="AJ25" s="186" t="s">
        <v>22</v>
      </c>
      <c r="AK25" s="186" t="s">
        <v>107</v>
      </c>
      <c r="AM25" s="178" t="s">
        <v>7</v>
      </c>
      <c r="AN25" s="226">
        <v>22</v>
      </c>
      <c r="AO25" s="226">
        <v>1164800</v>
      </c>
      <c r="AP25" s="226">
        <v>17</v>
      </c>
      <c r="AQ25" s="226">
        <v>883270</v>
      </c>
      <c r="AR25" s="226">
        <v>24</v>
      </c>
      <c r="AS25" s="226">
        <v>1115910</v>
      </c>
      <c r="AT25" s="226">
        <v>27</v>
      </c>
      <c r="AU25" s="226">
        <v>1358960</v>
      </c>
      <c r="AV25" s="226">
        <v>33</v>
      </c>
      <c r="AW25" s="226">
        <v>2387900</v>
      </c>
      <c r="AX25" s="226">
        <v>38</v>
      </c>
      <c r="AY25" s="226">
        <v>2930500</v>
      </c>
      <c r="AZ25" s="226">
        <v>34</v>
      </c>
      <c r="BA25" s="179">
        <v>2525100</v>
      </c>
      <c r="BB25" s="226">
        <v>28</v>
      </c>
      <c r="BC25" s="226">
        <v>2152950</v>
      </c>
      <c r="BD25" s="226">
        <v>25</v>
      </c>
      <c r="BE25" s="226">
        <v>2307480</v>
      </c>
      <c r="BF25" s="226">
        <v>28</v>
      </c>
      <c r="BG25" s="226">
        <v>3208010</v>
      </c>
      <c r="BH25" s="226">
        <v>31</v>
      </c>
      <c r="BI25" s="226">
        <v>2045600</v>
      </c>
      <c r="BJ25" s="226">
        <v>31</v>
      </c>
      <c r="BK25" s="226">
        <v>2579050</v>
      </c>
      <c r="BL25" s="225">
        <f t="shared" si="15"/>
        <v>338</v>
      </c>
      <c r="BM25" s="225">
        <f t="shared" si="16"/>
        <v>24659530</v>
      </c>
    </row>
    <row r="26" spans="1:65" x14ac:dyDescent="0.25">
      <c r="A26" s="188" t="s">
        <v>4</v>
      </c>
      <c r="B26" s="224">
        <v>75</v>
      </c>
      <c r="C26" s="224">
        <v>5010040</v>
      </c>
      <c r="D26" s="222">
        <f t="shared" ref="D26:D45" si="17">C26/B26</f>
        <v>66800.53333333334</v>
      </c>
      <c r="E26" s="224">
        <v>69</v>
      </c>
      <c r="F26" s="224">
        <v>6259710</v>
      </c>
      <c r="G26" s="222">
        <f t="shared" ref="G26:G45" si="18">F26/E26</f>
        <v>90720.434782608689</v>
      </c>
      <c r="H26" s="224">
        <v>82</v>
      </c>
      <c r="I26" s="224">
        <v>6376790</v>
      </c>
      <c r="J26" s="222">
        <f t="shared" ref="J26:J45" si="19">I26/H26</f>
        <v>77765.731707317071</v>
      </c>
      <c r="K26" s="224">
        <v>77</v>
      </c>
      <c r="L26" s="224">
        <v>7461485</v>
      </c>
      <c r="M26" s="222">
        <f t="shared" ref="M26:M45" si="20">L26/K26</f>
        <v>96902.402597402601</v>
      </c>
      <c r="N26" s="224">
        <v>81</v>
      </c>
      <c r="O26" s="224">
        <v>7572983</v>
      </c>
      <c r="P26" s="222">
        <f t="shared" ref="P26:P45" si="21">O26/N26</f>
        <v>93493.617283950618</v>
      </c>
      <c r="Q26" s="224">
        <v>71</v>
      </c>
      <c r="R26" s="224">
        <v>6944475</v>
      </c>
      <c r="S26" s="222">
        <f t="shared" ref="S26:S45" si="22">R26/Q26</f>
        <v>97809.507042253521</v>
      </c>
      <c r="T26" s="224">
        <v>67</v>
      </c>
      <c r="U26" s="224">
        <v>6250860</v>
      </c>
      <c r="V26" s="222">
        <f t="shared" ref="V26:V45" si="23">U26/T26</f>
        <v>93296.417910447766</v>
      </c>
      <c r="W26" s="224">
        <v>62</v>
      </c>
      <c r="X26" s="224">
        <v>6530480</v>
      </c>
      <c r="Y26" s="222">
        <f t="shared" ref="Y26:Y45" si="24">X26/W26</f>
        <v>105330.32258064517</v>
      </c>
      <c r="Z26" s="224">
        <v>54</v>
      </c>
      <c r="AA26" s="224">
        <v>6381180</v>
      </c>
      <c r="AB26" s="222">
        <f t="shared" ref="AB26:AB45" si="25">AA26/Z26</f>
        <v>118170</v>
      </c>
      <c r="AC26" s="224">
        <v>59</v>
      </c>
      <c r="AD26" s="224">
        <v>7971170</v>
      </c>
      <c r="AE26" s="222">
        <f t="shared" ref="AE26:AE45" si="26">AD26/AC26</f>
        <v>135104.57627118644</v>
      </c>
      <c r="AF26" s="224">
        <v>58</v>
      </c>
      <c r="AG26" s="224">
        <v>7119210</v>
      </c>
      <c r="AH26" s="222">
        <f t="shared" ref="AH26:AH45" si="27">AG26/AF26</f>
        <v>122745</v>
      </c>
      <c r="AI26" s="223">
        <v>56</v>
      </c>
      <c r="AJ26" s="223">
        <v>6528640</v>
      </c>
      <c r="AK26" s="222">
        <f t="shared" ref="AK26:AK45" si="28">AJ26/AI26</f>
        <v>116582.85714285714</v>
      </c>
      <c r="AM26" s="178" t="s">
        <v>13</v>
      </c>
      <c r="AN26" s="226">
        <v>17</v>
      </c>
      <c r="AO26" s="226">
        <v>1129788</v>
      </c>
      <c r="AP26" s="226">
        <v>11</v>
      </c>
      <c r="AQ26" s="226">
        <v>835187</v>
      </c>
      <c r="AR26" s="226">
        <v>11</v>
      </c>
      <c r="AS26" s="226">
        <v>825800</v>
      </c>
      <c r="AT26" s="226">
        <v>13</v>
      </c>
      <c r="AU26" s="226">
        <v>740250</v>
      </c>
      <c r="AV26" s="226">
        <v>10</v>
      </c>
      <c r="AW26" s="226">
        <v>523800</v>
      </c>
      <c r="AX26" s="226">
        <v>8</v>
      </c>
      <c r="AY26" s="226">
        <v>615890</v>
      </c>
      <c r="AZ26" s="226">
        <v>7</v>
      </c>
      <c r="BA26" s="179">
        <v>493500</v>
      </c>
      <c r="BB26" s="226">
        <v>10</v>
      </c>
      <c r="BC26" s="226">
        <v>745250</v>
      </c>
      <c r="BD26" s="226">
        <v>12</v>
      </c>
      <c r="BE26" s="226">
        <v>840780</v>
      </c>
      <c r="BF26" s="226">
        <v>10</v>
      </c>
      <c r="BG26" s="226">
        <v>290000</v>
      </c>
      <c r="BH26" s="226">
        <v>16</v>
      </c>
      <c r="BI26" s="226">
        <v>807420</v>
      </c>
      <c r="BJ26" s="226">
        <v>17</v>
      </c>
      <c r="BK26" s="226">
        <v>1126140</v>
      </c>
      <c r="BL26" s="225">
        <f t="shared" si="15"/>
        <v>142</v>
      </c>
      <c r="BM26" s="225">
        <f t="shared" si="16"/>
        <v>8973805</v>
      </c>
    </row>
    <row r="27" spans="1:65" x14ac:dyDescent="0.25">
      <c r="A27" s="188" t="s">
        <v>8</v>
      </c>
      <c r="B27" s="224">
        <v>21</v>
      </c>
      <c r="C27" s="224">
        <v>860420</v>
      </c>
      <c r="D27" s="222">
        <f t="shared" si="17"/>
        <v>40972.380952380954</v>
      </c>
      <c r="E27" s="224">
        <v>26</v>
      </c>
      <c r="F27" s="224">
        <v>1451505</v>
      </c>
      <c r="G27" s="222">
        <f t="shared" si="18"/>
        <v>55827.115384615383</v>
      </c>
      <c r="H27" s="224">
        <v>28</v>
      </c>
      <c r="I27" s="224">
        <v>917065</v>
      </c>
      <c r="J27" s="222">
        <f t="shared" si="19"/>
        <v>32752.321428571428</v>
      </c>
      <c r="K27" s="224">
        <v>22</v>
      </c>
      <c r="L27" s="224">
        <v>1302500</v>
      </c>
      <c r="M27" s="222">
        <f t="shared" si="20"/>
        <v>59204.545454545456</v>
      </c>
      <c r="N27" s="224">
        <v>28</v>
      </c>
      <c r="O27" s="224">
        <v>2122888</v>
      </c>
      <c r="P27" s="222">
        <f t="shared" si="21"/>
        <v>75817.428571428565</v>
      </c>
      <c r="Q27" s="224">
        <v>29</v>
      </c>
      <c r="R27" s="224">
        <v>2354495</v>
      </c>
      <c r="S27" s="222">
        <f t="shared" si="22"/>
        <v>81189.482758620696</v>
      </c>
      <c r="T27" s="224">
        <v>23</v>
      </c>
      <c r="U27" s="224">
        <v>1610830</v>
      </c>
      <c r="V27" s="222">
        <f t="shared" si="23"/>
        <v>70036.086956521744</v>
      </c>
      <c r="W27" s="224">
        <v>24</v>
      </c>
      <c r="X27" s="224">
        <v>2484179</v>
      </c>
      <c r="Y27" s="222">
        <f t="shared" si="24"/>
        <v>103507.45833333333</v>
      </c>
      <c r="Z27" s="224">
        <v>22</v>
      </c>
      <c r="AA27" s="224">
        <v>1811741</v>
      </c>
      <c r="AB27" s="222">
        <f t="shared" si="25"/>
        <v>82351.863636363632</v>
      </c>
      <c r="AC27" s="224">
        <v>25</v>
      </c>
      <c r="AD27" s="224">
        <v>2146060</v>
      </c>
      <c r="AE27" s="222">
        <f t="shared" si="26"/>
        <v>85842.4</v>
      </c>
      <c r="AF27" s="224">
        <v>18</v>
      </c>
      <c r="AG27" s="224">
        <v>2178220</v>
      </c>
      <c r="AH27" s="222">
        <f t="shared" si="27"/>
        <v>121012.22222222222</v>
      </c>
      <c r="AI27" s="223">
        <v>17</v>
      </c>
      <c r="AJ27" s="223">
        <v>1524000</v>
      </c>
      <c r="AK27" s="222">
        <f t="shared" si="28"/>
        <v>89647.058823529413</v>
      </c>
      <c r="AM27" s="178" t="s">
        <v>127</v>
      </c>
      <c r="AN27" s="226">
        <v>33</v>
      </c>
      <c r="AO27" s="226">
        <v>1898900</v>
      </c>
      <c r="AP27" s="226">
        <v>42</v>
      </c>
      <c r="AQ27" s="226">
        <v>2468710</v>
      </c>
      <c r="AR27" s="226">
        <v>46</v>
      </c>
      <c r="AS27" s="226">
        <v>2447860</v>
      </c>
      <c r="AT27" s="226">
        <v>67</v>
      </c>
      <c r="AU27" s="226">
        <v>3923620</v>
      </c>
      <c r="AV27" s="226">
        <v>60</v>
      </c>
      <c r="AW27" s="226">
        <v>3630190</v>
      </c>
      <c r="AX27" s="226">
        <v>65</v>
      </c>
      <c r="AY27" s="226">
        <v>4862200</v>
      </c>
      <c r="AZ27" s="226">
        <v>52</v>
      </c>
      <c r="BA27" s="179">
        <v>4099870</v>
      </c>
      <c r="BB27" s="226">
        <v>78</v>
      </c>
      <c r="BC27" s="226">
        <v>5158990</v>
      </c>
      <c r="BD27" s="226">
        <v>56</v>
      </c>
      <c r="BE27" s="226">
        <v>4602560</v>
      </c>
      <c r="BF27" s="226">
        <v>57</v>
      </c>
      <c r="BG27" s="226">
        <v>4965790</v>
      </c>
      <c r="BH27" s="226">
        <v>50</v>
      </c>
      <c r="BI27" s="226">
        <v>4159205</v>
      </c>
      <c r="BJ27" s="226">
        <v>44</v>
      </c>
      <c r="BK27" s="226">
        <v>2134315</v>
      </c>
      <c r="BL27" s="225">
        <f t="shared" si="15"/>
        <v>650</v>
      </c>
      <c r="BM27" s="225">
        <f t="shared" si="16"/>
        <v>44352210</v>
      </c>
    </row>
    <row r="28" spans="1:65" x14ac:dyDescent="0.25">
      <c r="A28" s="188" t="s">
        <v>7</v>
      </c>
      <c r="B28" s="224">
        <v>30</v>
      </c>
      <c r="C28" s="224">
        <v>1399640</v>
      </c>
      <c r="D28" s="222">
        <f t="shared" si="17"/>
        <v>46654.666666666664</v>
      </c>
      <c r="E28" s="224">
        <v>36</v>
      </c>
      <c r="F28" s="224">
        <v>2051180</v>
      </c>
      <c r="G28" s="222">
        <f t="shared" si="18"/>
        <v>56977.222222222219</v>
      </c>
      <c r="H28" s="224">
        <v>34</v>
      </c>
      <c r="I28" s="224">
        <v>1903260</v>
      </c>
      <c r="J28" s="222">
        <f t="shared" si="19"/>
        <v>55978.23529411765</v>
      </c>
      <c r="K28" s="224">
        <v>33</v>
      </c>
      <c r="L28" s="224">
        <v>1806160</v>
      </c>
      <c r="M28" s="222">
        <f t="shared" si="20"/>
        <v>54732.121212121216</v>
      </c>
      <c r="N28" s="224">
        <v>19</v>
      </c>
      <c r="O28" s="224">
        <v>1584445</v>
      </c>
      <c r="P28" s="222">
        <f t="shared" si="21"/>
        <v>83391.84210526316</v>
      </c>
      <c r="Q28" s="224">
        <v>27</v>
      </c>
      <c r="R28" s="224">
        <v>2403560</v>
      </c>
      <c r="S28" s="222">
        <f t="shared" si="22"/>
        <v>89020.740740740745</v>
      </c>
      <c r="T28" s="224">
        <v>36</v>
      </c>
      <c r="U28" s="224">
        <v>1824044</v>
      </c>
      <c r="V28" s="222">
        <f t="shared" si="23"/>
        <v>50667.888888888891</v>
      </c>
      <c r="W28" s="224">
        <v>28</v>
      </c>
      <c r="X28" s="224">
        <v>1758640</v>
      </c>
      <c r="Y28" s="222">
        <f t="shared" si="24"/>
        <v>62808.571428571428</v>
      </c>
      <c r="Z28" s="224">
        <v>26</v>
      </c>
      <c r="AA28" s="224">
        <v>1632320</v>
      </c>
      <c r="AB28" s="222">
        <f t="shared" si="25"/>
        <v>62781.538461538461</v>
      </c>
      <c r="AC28" s="224">
        <v>25</v>
      </c>
      <c r="AD28" s="224">
        <v>2106530</v>
      </c>
      <c r="AE28" s="222">
        <f t="shared" si="26"/>
        <v>84261.2</v>
      </c>
      <c r="AF28" s="224">
        <v>20</v>
      </c>
      <c r="AG28" s="224">
        <v>1724680</v>
      </c>
      <c r="AH28" s="222">
        <f t="shared" si="27"/>
        <v>86234</v>
      </c>
      <c r="AI28" s="223">
        <v>25</v>
      </c>
      <c r="AJ28" s="223">
        <v>2710470</v>
      </c>
      <c r="AK28" s="222">
        <f t="shared" si="28"/>
        <v>108418.8</v>
      </c>
      <c r="AM28" s="178" t="s">
        <v>128</v>
      </c>
      <c r="AN28" s="226">
        <v>57</v>
      </c>
      <c r="AO28" s="226">
        <v>4328220</v>
      </c>
      <c r="AP28" s="226">
        <v>53</v>
      </c>
      <c r="AQ28" s="226">
        <v>4381405</v>
      </c>
      <c r="AR28" s="226">
        <v>70</v>
      </c>
      <c r="AS28" s="226">
        <v>5250675</v>
      </c>
      <c r="AT28" s="226">
        <v>85</v>
      </c>
      <c r="AU28" s="226">
        <v>6116770</v>
      </c>
      <c r="AV28" s="226">
        <v>88</v>
      </c>
      <c r="AW28" s="226">
        <v>7226269</v>
      </c>
      <c r="AX28" s="226">
        <v>87</v>
      </c>
      <c r="AY28" s="226">
        <v>6063880</v>
      </c>
      <c r="AZ28" s="226">
        <v>80</v>
      </c>
      <c r="BA28" s="179">
        <v>6253570</v>
      </c>
      <c r="BB28" s="226">
        <v>111</v>
      </c>
      <c r="BC28" s="226">
        <v>6326130</v>
      </c>
      <c r="BD28" s="226">
        <v>72</v>
      </c>
      <c r="BE28" s="226">
        <v>5643833</v>
      </c>
      <c r="BF28" s="226">
        <v>72</v>
      </c>
      <c r="BG28" s="226">
        <v>6533595</v>
      </c>
      <c r="BH28" s="226">
        <v>70</v>
      </c>
      <c r="BI28" s="226">
        <v>5473785</v>
      </c>
      <c r="BJ28" s="226">
        <v>71</v>
      </c>
      <c r="BK28" s="226">
        <v>7173623</v>
      </c>
      <c r="BL28" s="225">
        <f t="shared" si="15"/>
        <v>916</v>
      </c>
      <c r="BM28" s="225">
        <f t="shared" si="16"/>
        <v>70771755</v>
      </c>
    </row>
    <row r="29" spans="1:65" x14ac:dyDescent="0.25">
      <c r="A29" s="188" t="s">
        <v>13</v>
      </c>
      <c r="B29" s="224">
        <v>17</v>
      </c>
      <c r="C29" s="224">
        <v>1154140</v>
      </c>
      <c r="D29" s="222">
        <f t="shared" si="17"/>
        <v>67890.588235294112</v>
      </c>
      <c r="E29" s="224">
        <v>13</v>
      </c>
      <c r="F29" s="224">
        <v>919950</v>
      </c>
      <c r="G29" s="222">
        <f t="shared" si="18"/>
        <v>70765.38461538461</v>
      </c>
      <c r="H29" s="224">
        <v>12</v>
      </c>
      <c r="I29" s="224">
        <v>1080045</v>
      </c>
      <c r="J29" s="222">
        <f t="shared" si="19"/>
        <v>90003.75</v>
      </c>
      <c r="K29" s="224">
        <v>16</v>
      </c>
      <c r="L29" s="224">
        <v>1567769</v>
      </c>
      <c r="M29" s="222">
        <f t="shared" si="20"/>
        <v>97985.5625</v>
      </c>
      <c r="N29" s="224">
        <v>14</v>
      </c>
      <c r="O29" s="224">
        <v>1222380</v>
      </c>
      <c r="P29" s="222">
        <f t="shared" si="21"/>
        <v>87312.857142857145</v>
      </c>
      <c r="Q29" s="224">
        <v>17</v>
      </c>
      <c r="R29" s="224">
        <v>1145460</v>
      </c>
      <c r="S29" s="222">
        <f t="shared" si="22"/>
        <v>67380</v>
      </c>
      <c r="T29" s="224">
        <v>11</v>
      </c>
      <c r="U29" s="224">
        <v>633110</v>
      </c>
      <c r="V29" s="222">
        <f t="shared" si="23"/>
        <v>57555.454545454544</v>
      </c>
      <c r="W29" s="224">
        <v>13</v>
      </c>
      <c r="X29" s="224">
        <v>905820</v>
      </c>
      <c r="Y29" s="222">
        <f t="shared" si="24"/>
        <v>69678.461538461532</v>
      </c>
      <c r="Z29" s="224">
        <v>12</v>
      </c>
      <c r="AA29" s="224">
        <v>859850</v>
      </c>
      <c r="AB29" s="222">
        <f t="shared" si="25"/>
        <v>71654.166666666672</v>
      </c>
      <c r="AC29" s="224">
        <v>18</v>
      </c>
      <c r="AD29" s="224">
        <v>2198120</v>
      </c>
      <c r="AE29" s="222">
        <f t="shared" si="26"/>
        <v>122117.77777777778</v>
      </c>
      <c r="AF29" s="224">
        <v>15</v>
      </c>
      <c r="AG29" s="224">
        <v>1188620</v>
      </c>
      <c r="AH29" s="222">
        <f t="shared" si="27"/>
        <v>79241.333333333328</v>
      </c>
      <c r="AI29" s="223">
        <v>18</v>
      </c>
      <c r="AJ29" s="223">
        <v>2183940</v>
      </c>
      <c r="AK29" s="222">
        <f t="shared" si="28"/>
        <v>121330</v>
      </c>
      <c r="AM29" s="178" t="s">
        <v>3</v>
      </c>
      <c r="AN29" s="226">
        <v>39</v>
      </c>
      <c r="AO29" s="226">
        <v>2535828</v>
      </c>
      <c r="AP29" s="226">
        <v>41</v>
      </c>
      <c r="AQ29" s="226">
        <v>2388865</v>
      </c>
      <c r="AR29" s="226">
        <v>52</v>
      </c>
      <c r="AS29" s="226">
        <v>3271350</v>
      </c>
      <c r="AT29" s="226">
        <v>70</v>
      </c>
      <c r="AU29" s="226">
        <v>4602515</v>
      </c>
      <c r="AV29" s="226">
        <v>75</v>
      </c>
      <c r="AW29" s="226">
        <v>4677270</v>
      </c>
      <c r="AX29" s="226">
        <v>64</v>
      </c>
      <c r="AY29" s="226">
        <v>4806790</v>
      </c>
      <c r="AZ29" s="226">
        <v>68</v>
      </c>
      <c r="BA29" s="179">
        <v>5457720</v>
      </c>
      <c r="BB29" s="226">
        <v>101</v>
      </c>
      <c r="BC29" s="226">
        <v>5146510</v>
      </c>
      <c r="BD29" s="226">
        <v>83</v>
      </c>
      <c r="BE29" s="226">
        <v>5356730</v>
      </c>
      <c r="BF29" s="226">
        <v>84</v>
      </c>
      <c r="BG29" s="226">
        <v>6366025</v>
      </c>
      <c r="BH29" s="226">
        <v>81</v>
      </c>
      <c r="BI29" s="226">
        <v>6270630</v>
      </c>
      <c r="BJ29" s="226">
        <v>70</v>
      </c>
      <c r="BK29" s="226">
        <v>4902135</v>
      </c>
      <c r="BL29" s="225">
        <f t="shared" si="15"/>
        <v>828</v>
      </c>
      <c r="BM29" s="225">
        <f t="shared" si="16"/>
        <v>55782368</v>
      </c>
    </row>
    <row r="30" spans="1:65" x14ac:dyDescent="0.25">
      <c r="A30" s="178" t="s">
        <v>127</v>
      </c>
      <c r="B30" s="224">
        <v>38</v>
      </c>
      <c r="C30" s="224">
        <v>2355680</v>
      </c>
      <c r="D30" s="222">
        <f t="shared" si="17"/>
        <v>61991.57894736842</v>
      </c>
      <c r="E30" s="224">
        <v>45</v>
      </c>
      <c r="F30" s="224">
        <v>3810419</v>
      </c>
      <c r="G30" s="222">
        <f t="shared" si="18"/>
        <v>84675.977777777778</v>
      </c>
      <c r="H30" s="224">
        <v>42</v>
      </c>
      <c r="I30" s="224">
        <v>2042280</v>
      </c>
      <c r="J30" s="222">
        <f t="shared" si="19"/>
        <v>48625.714285714283</v>
      </c>
      <c r="K30" s="224">
        <v>45</v>
      </c>
      <c r="L30" s="224">
        <v>2994725</v>
      </c>
      <c r="M30" s="222">
        <f t="shared" si="20"/>
        <v>66549.444444444438</v>
      </c>
      <c r="N30" s="224">
        <v>42</v>
      </c>
      <c r="O30" s="224">
        <v>3225830</v>
      </c>
      <c r="P30" s="222">
        <f t="shared" si="21"/>
        <v>76805.476190476184</v>
      </c>
      <c r="Q30" s="224">
        <v>49</v>
      </c>
      <c r="R30" s="224">
        <v>3294500</v>
      </c>
      <c r="S30" s="222">
        <f t="shared" si="22"/>
        <v>67234.693877551021</v>
      </c>
      <c r="T30" s="224">
        <v>43</v>
      </c>
      <c r="U30" s="224">
        <v>3144920</v>
      </c>
      <c r="V30" s="222">
        <f t="shared" si="23"/>
        <v>73137.674418604656</v>
      </c>
      <c r="W30" s="224">
        <v>41</v>
      </c>
      <c r="X30" s="224">
        <v>3514642</v>
      </c>
      <c r="Y30" s="222">
        <f t="shared" si="24"/>
        <v>85722.975609756104</v>
      </c>
      <c r="Z30" s="224">
        <v>31</v>
      </c>
      <c r="AA30" s="224">
        <v>2941648</v>
      </c>
      <c r="AB30" s="222">
        <f t="shared" si="25"/>
        <v>94891.870967741939</v>
      </c>
      <c r="AC30" s="224">
        <v>35</v>
      </c>
      <c r="AD30" s="224">
        <v>2949711</v>
      </c>
      <c r="AE30" s="222">
        <f t="shared" si="26"/>
        <v>84277.457142857136</v>
      </c>
      <c r="AF30" s="224">
        <v>32</v>
      </c>
      <c r="AG30" s="224">
        <v>1999320</v>
      </c>
      <c r="AH30" s="222">
        <f t="shared" si="27"/>
        <v>62478.75</v>
      </c>
      <c r="AI30" s="223">
        <v>37</v>
      </c>
      <c r="AJ30" s="223">
        <v>2878220</v>
      </c>
      <c r="AK30" s="222">
        <f t="shared" si="28"/>
        <v>77789.729729729734</v>
      </c>
      <c r="AM30" s="178" t="s">
        <v>10</v>
      </c>
      <c r="AN30" s="226">
        <v>17</v>
      </c>
      <c r="AO30" s="226">
        <v>1242850</v>
      </c>
      <c r="AP30" s="226">
        <v>20</v>
      </c>
      <c r="AQ30" s="226">
        <v>1423000</v>
      </c>
      <c r="AR30" s="226">
        <v>21</v>
      </c>
      <c r="AS30" s="226">
        <v>1574510</v>
      </c>
      <c r="AT30" s="226">
        <v>22</v>
      </c>
      <c r="AU30" s="226">
        <v>1195680</v>
      </c>
      <c r="AV30" s="226">
        <v>25</v>
      </c>
      <c r="AW30" s="226">
        <v>1894000</v>
      </c>
      <c r="AX30" s="226">
        <v>22</v>
      </c>
      <c r="AY30" s="226">
        <v>1007620</v>
      </c>
      <c r="AZ30" s="226">
        <v>18</v>
      </c>
      <c r="BA30" s="179">
        <v>922700</v>
      </c>
      <c r="BB30" s="226">
        <v>15</v>
      </c>
      <c r="BC30" s="226">
        <v>633490</v>
      </c>
      <c r="BD30" s="226">
        <v>14</v>
      </c>
      <c r="BE30" s="226">
        <v>708760</v>
      </c>
      <c r="BF30" s="226">
        <v>12</v>
      </c>
      <c r="BG30" s="226">
        <v>832620</v>
      </c>
      <c r="BH30" s="226">
        <v>22</v>
      </c>
      <c r="BI30" s="226">
        <v>916000</v>
      </c>
      <c r="BJ30" s="226">
        <v>19</v>
      </c>
      <c r="BK30" s="226">
        <v>1014920</v>
      </c>
      <c r="BL30" s="225">
        <f t="shared" si="15"/>
        <v>227</v>
      </c>
      <c r="BM30" s="225">
        <f t="shared" si="16"/>
        <v>13366150</v>
      </c>
    </row>
    <row r="31" spans="1:65" x14ac:dyDescent="0.25">
      <c r="A31" s="178" t="s">
        <v>3</v>
      </c>
      <c r="B31" s="224">
        <v>62</v>
      </c>
      <c r="C31" s="224">
        <v>3635853</v>
      </c>
      <c r="D31" s="222">
        <f t="shared" si="17"/>
        <v>58642.790322580644</v>
      </c>
      <c r="E31" s="224">
        <v>73</v>
      </c>
      <c r="F31" s="224">
        <v>5207221</v>
      </c>
      <c r="G31" s="222">
        <f t="shared" si="18"/>
        <v>71331.794520547948</v>
      </c>
      <c r="H31" s="224">
        <v>69</v>
      </c>
      <c r="I31" s="224">
        <v>5136288</v>
      </c>
      <c r="J31" s="222">
        <f t="shared" si="19"/>
        <v>74438.956521739135</v>
      </c>
      <c r="K31" s="224">
        <v>63</v>
      </c>
      <c r="L31" s="224">
        <v>4476282</v>
      </c>
      <c r="M31" s="222">
        <f t="shared" si="20"/>
        <v>71052.095238095237</v>
      </c>
      <c r="N31" s="224">
        <v>59</v>
      </c>
      <c r="O31" s="224">
        <v>6014843</v>
      </c>
      <c r="P31" s="222">
        <f t="shared" si="21"/>
        <v>101946.49152542373</v>
      </c>
      <c r="Q31" s="224">
        <v>61</v>
      </c>
      <c r="R31" s="224">
        <v>4049045</v>
      </c>
      <c r="S31" s="222">
        <f t="shared" si="22"/>
        <v>66377.786885245907</v>
      </c>
      <c r="T31" s="224">
        <v>54</v>
      </c>
      <c r="U31" s="224">
        <v>3388530</v>
      </c>
      <c r="V31" s="222">
        <f t="shared" si="23"/>
        <v>62750.555555555555</v>
      </c>
      <c r="W31" s="224">
        <v>47</v>
      </c>
      <c r="X31" s="224">
        <v>4010050</v>
      </c>
      <c r="Y31" s="222">
        <f t="shared" si="24"/>
        <v>85320.212765957447</v>
      </c>
      <c r="Z31" s="224">
        <v>38</v>
      </c>
      <c r="AA31" s="224">
        <v>4294747</v>
      </c>
      <c r="AB31" s="222">
        <f t="shared" si="25"/>
        <v>113019.65789473684</v>
      </c>
      <c r="AC31" s="224">
        <v>43</v>
      </c>
      <c r="AD31" s="224">
        <v>3693600</v>
      </c>
      <c r="AE31" s="222">
        <f t="shared" si="26"/>
        <v>85897.674418604656</v>
      </c>
      <c r="AF31" s="224">
        <v>41</v>
      </c>
      <c r="AG31" s="224">
        <v>3208310</v>
      </c>
      <c r="AH31" s="222">
        <f t="shared" si="27"/>
        <v>78251.463414634141</v>
      </c>
      <c r="AI31" s="223">
        <v>34</v>
      </c>
      <c r="AJ31" s="223">
        <v>2619880</v>
      </c>
      <c r="AK31" s="222">
        <f t="shared" si="28"/>
        <v>77055.294117647063</v>
      </c>
      <c r="AM31" s="178" t="s">
        <v>11</v>
      </c>
      <c r="AN31" s="226">
        <v>25</v>
      </c>
      <c r="AO31" s="226">
        <v>1436050</v>
      </c>
      <c r="AP31" s="226">
        <v>36</v>
      </c>
      <c r="AQ31" s="226">
        <v>1283299</v>
      </c>
      <c r="AR31" s="226">
        <v>38</v>
      </c>
      <c r="AS31" s="226">
        <v>1165699</v>
      </c>
      <c r="AT31" s="226">
        <v>44</v>
      </c>
      <c r="AU31" s="226">
        <v>1974050</v>
      </c>
      <c r="AV31" s="226">
        <v>49</v>
      </c>
      <c r="AW31" s="226">
        <v>2025450</v>
      </c>
      <c r="AX31" s="226">
        <v>43</v>
      </c>
      <c r="AY31" s="226">
        <v>2573650</v>
      </c>
      <c r="AZ31" s="226">
        <v>47</v>
      </c>
      <c r="BA31" s="179">
        <v>2560450</v>
      </c>
      <c r="BB31" s="226">
        <v>53</v>
      </c>
      <c r="BC31" s="226">
        <v>3244350</v>
      </c>
      <c r="BD31" s="226">
        <v>52</v>
      </c>
      <c r="BE31" s="226">
        <v>3538050</v>
      </c>
      <c r="BF31" s="226">
        <v>45</v>
      </c>
      <c r="BG31" s="226">
        <v>2873120</v>
      </c>
      <c r="BH31" s="226">
        <v>55</v>
      </c>
      <c r="BI31" s="226">
        <v>3165545</v>
      </c>
      <c r="BJ31" s="226">
        <v>43</v>
      </c>
      <c r="BK31" s="226">
        <v>3089240</v>
      </c>
      <c r="BL31" s="225">
        <f t="shared" si="15"/>
        <v>530</v>
      </c>
      <c r="BM31" s="225">
        <f t="shared" si="16"/>
        <v>28928953</v>
      </c>
    </row>
    <row r="32" spans="1:65" x14ac:dyDescent="0.25">
      <c r="A32" s="178" t="s">
        <v>128</v>
      </c>
      <c r="B32" s="224">
        <v>60</v>
      </c>
      <c r="C32" s="224">
        <v>3496140</v>
      </c>
      <c r="D32" s="222">
        <f t="shared" si="17"/>
        <v>58269</v>
      </c>
      <c r="E32" s="224">
        <v>63</v>
      </c>
      <c r="F32" s="224">
        <v>5208850</v>
      </c>
      <c r="G32" s="222">
        <f t="shared" si="18"/>
        <v>82680.158730158728</v>
      </c>
      <c r="H32" s="224">
        <v>50</v>
      </c>
      <c r="I32" s="224">
        <v>3891868</v>
      </c>
      <c r="J32" s="222">
        <f t="shared" si="19"/>
        <v>77837.36</v>
      </c>
      <c r="K32" s="224">
        <v>57</v>
      </c>
      <c r="L32" s="224">
        <v>4263310</v>
      </c>
      <c r="M32" s="222">
        <f t="shared" si="20"/>
        <v>74794.912280701756</v>
      </c>
      <c r="N32" s="224">
        <v>48</v>
      </c>
      <c r="O32" s="224">
        <v>4726528</v>
      </c>
      <c r="P32" s="222">
        <f t="shared" si="21"/>
        <v>98469.333333333328</v>
      </c>
      <c r="Q32" s="224">
        <v>55</v>
      </c>
      <c r="R32" s="224">
        <v>4867763</v>
      </c>
      <c r="S32" s="222">
        <f t="shared" si="22"/>
        <v>88504.781818181815</v>
      </c>
      <c r="T32" s="224">
        <v>47</v>
      </c>
      <c r="U32" s="224">
        <v>3473405</v>
      </c>
      <c r="V32" s="222">
        <f t="shared" si="23"/>
        <v>73902.234042553187</v>
      </c>
      <c r="W32" s="224">
        <v>48</v>
      </c>
      <c r="X32" s="224">
        <v>4047705</v>
      </c>
      <c r="Y32" s="222">
        <f t="shared" si="24"/>
        <v>84327.1875</v>
      </c>
      <c r="Z32" s="224">
        <v>50</v>
      </c>
      <c r="AA32" s="224">
        <v>4964045</v>
      </c>
      <c r="AB32" s="222">
        <f t="shared" si="25"/>
        <v>99280.9</v>
      </c>
      <c r="AC32" s="224">
        <v>43</v>
      </c>
      <c r="AD32" s="224">
        <v>5458761</v>
      </c>
      <c r="AE32" s="222">
        <f t="shared" si="26"/>
        <v>126947.93023255814</v>
      </c>
      <c r="AF32" s="224">
        <v>24</v>
      </c>
      <c r="AG32" s="224">
        <v>2778370</v>
      </c>
      <c r="AH32" s="222">
        <f t="shared" si="27"/>
        <v>115765.41666666667</v>
      </c>
      <c r="AI32" s="223">
        <v>27</v>
      </c>
      <c r="AJ32" s="223">
        <v>4768720</v>
      </c>
      <c r="AK32" s="222">
        <f t="shared" si="28"/>
        <v>176619.25925925927</v>
      </c>
      <c r="AM32" s="178" t="s">
        <v>5</v>
      </c>
      <c r="AN32" s="226">
        <v>30</v>
      </c>
      <c r="AO32" s="226">
        <v>1603600</v>
      </c>
      <c r="AP32" s="226">
        <v>26</v>
      </c>
      <c r="AQ32" s="226">
        <v>1397320</v>
      </c>
      <c r="AR32" s="226">
        <v>31</v>
      </c>
      <c r="AS32" s="226">
        <v>1614640</v>
      </c>
      <c r="AT32" s="226">
        <v>41</v>
      </c>
      <c r="AU32" s="226">
        <v>2193445</v>
      </c>
      <c r="AV32" s="226">
        <v>35</v>
      </c>
      <c r="AW32" s="226">
        <v>1844099</v>
      </c>
      <c r="AX32" s="226">
        <v>46</v>
      </c>
      <c r="AY32" s="226">
        <v>2423120</v>
      </c>
      <c r="AZ32" s="226">
        <v>39</v>
      </c>
      <c r="BA32" s="179">
        <v>1848290</v>
      </c>
      <c r="BB32" s="226">
        <v>34</v>
      </c>
      <c r="BC32" s="226">
        <v>2148860</v>
      </c>
      <c r="BD32" s="226">
        <v>39</v>
      </c>
      <c r="BE32" s="226">
        <v>2140038</v>
      </c>
      <c r="BF32" s="226">
        <v>61</v>
      </c>
      <c r="BG32" s="226">
        <v>2985130</v>
      </c>
      <c r="BH32" s="226">
        <v>61</v>
      </c>
      <c r="BI32" s="226">
        <v>2774595</v>
      </c>
      <c r="BJ32" s="226">
        <v>62</v>
      </c>
      <c r="BK32" s="226">
        <v>2675545</v>
      </c>
      <c r="BL32" s="225">
        <f t="shared" si="15"/>
        <v>505</v>
      </c>
      <c r="BM32" s="225">
        <f t="shared" si="16"/>
        <v>25648682</v>
      </c>
    </row>
    <row r="33" spans="1:65" x14ac:dyDescent="0.25">
      <c r="A33" s="188" t="s">
        <v>10</v>
      </c>
      <c r="B33" s="224">
        <v>11</v>
      </c>
      <c r="C33" s="224">
        <v>648370</v>
      </c>
      <c r="D33" s="222">
        <f t="shared" si="17"/>
        <v>58942.727272727272</v>
      </c>
      <c r="E33" s="224">
        <v>13</v>
      </c>
      <c r="F33" s="224">
        <v>851175</v>
      </c>
      <c r="G33" s="222">
        <f t="shared" si="18"/>
        <v>65475</v>
      </c>
      <c r="H33" s="224">
        <v>11</v>
      </c>
      <c r="I33" s="224">
        <v>587490</v>
      </c>
      <c r="J33" s="222">
        <f t="shared" si="19"/>
        <v>53408.181818181816</v>
      </c>
      <c r="K33" s="224">
        <v>18</v>
      </c>
      <c r="L33" s="224">
        <v>1064675</v>
      </c>
      <c r="M33" s="222">
        <f t="shared" si="20"/>
        <v>59148.611111111109</v>
      </c>
      <c r="N33" s="224">
        <v>26</v>
      </c>
      <c r="O33" s="224">
        <v>1394885</v>
      </c>
      <c r="P33" s="222">
        <f t="shared" si="21"/>
        <v>53649.423076923078</v>
      </c>
      <c r="Q33" s="224">
        <v>25</v>
      </c>
      <c r="R33" s="224">
        <v>860640</v>
      </c>
      <c r="S33" s="222">
        <f t="shared" si="22"/>
        <v>34425.599999999999</v>
      </c>
      <c r="T33" s="224">
        <v>20</v>
      </c>
      <c r="U33" s="224">
        <v>786600</v>
      </c>
      <c r="V33" s="222">
        <f t="shared" si="23"/>
        <v>39330</v>
      </c>
      <c r="W33" s="224">
        <v>25</v>
      </c>
      <c r="X33" s="224">
        <v>1958240</v>
      </c>
      <c r="Y33" s="222">
        <f t="shared" si="24"/>
        <v>78329.600000000006</v>
      </c>
      <c r="Z33" s="224">
        <v>13</v>
      </c>
      <c r="AA33" s="224">
        <v>1248740</v>
      </c>
      <c r="AB33" s="222">
        <f t="shared" si="25"/>
        <v>96056.923076923078</v>
      </c>
      <c r="AC33" s="224">
        <v>16</v>
      </c>
      <c r="AD33" s="224">
        <v>1632760</v>
      </c>
      <c r="AE33" s="222">
        <f t="shared" si="26"/>
        <v>102047.5</v>
      </c>
      <c r="AF33" s="224">
        <v>21</v>
      </c>
      <c r="AG33" s="224">
        <v>1743760</v>
      </c>
      <c r="AH33" s="222">
        <f t="shared" si="27"/>
        <v>83036.190476190473</v>
      </c>
      <c r="AI33" s="223">
        <v>18</v>
      </c>
      <c r="AJ33" s="223">
        <v>1648040</v>
      </c>
      <c r="AK33" s="222">
        <f t="shared" si="28"/>
        <v>91557.777777777781</v>
      </c>
      <c r="AM33" s="178" t="s">
        <v>6</v>
      </c>
      <c r="AN33" s="226">
        <v>54</v>
      </c>
      <c r="AO33" s="226">
        <v>2890160</v>
      </c>
      <c r="AP33" s="226">
        <v>67</v>
      </c>
      <c r="AQ33" s="226">
        <f>3207600-13800</f>
        <v>3193800</v>
      </c>
      <c r="AR33" s="226">
        <v>80</v>
      </c>
      <c r="AS33" s="226">
        <v>4035881</v>
      </c>
      <c r="AT33" s="226">
        <v>79</v>
      </c>
      <c r="AU33" s="226">
        <v>4646325</v>
      </c>
      <c r="AV33" s="226">
        <v>95</v>
      </c>
      <c r="AW33" s="226">
        <v>5369050</v>
      </c>
      <c r="AX33" s="226">
        <v>94</v>
      </c>
      <c r="AY33" s="226">
        <v>5093810</v>
      </c>
      <c r="AZ33" s="226">
        <v>90</v>
      </c>
      <c r="BA33" s="179">
        <v>5260205</v>
      </c>
      <c r="BB33" s="226">
        <v>97</v>
      </c>
      <c r="BC33" s="226">
        <v>6282609</v>
      </c>
      <c r="BD33" s="226">
        <v>79</v>
      </c>
      <c r="BE33" s="226">
        <v>5821870</v>
      </c>
      <c r="BF33" s="226">
        <v>71</v>
      </c>
      <c r="BG33" s="226">
        <v>5869010</v>
      </c>
      <c r="BH33" s="226">
        <v>93</v>
      </c>
      <c r="BI33" s="226">
        <v>5437835</v>
      </c>
      <c r="BJ33" s="226">
        <v>92</v>
      </c>
      <c r="BK33" s="226">
        <v>4671495</v>
      </c>
      <c r="BL33" s="225">
        <f t="shared" si="15"/>
        <v>991</v>
      </c>
      <c r="BM33" s="225">
        <f t="shared" si="16"/>
        <v>58572050</v>
      </c>
    </row>
    <row r="34" spans="1:65" x14ac:dyDescent="0.25">
      <c r="A34" s="188" t="s">
        <v>11</v>
      </c>
      <c r="B34" s="224">
        <v>52</v>
      </c>
      <c r="C34" s="224">
        <v>3563550</v>
      </c>
      <c r="D34" s="222">
        <f t="shared" si="17"/>
        <v>68529.807692307688</v>
      </c>
      <c r="E34" s="224">
        <v>48</v>
      </c>
      <c r="F34" s="224">
        <v>2316300</v>
      </c>
      <c r="G34" s="222">
        <f t="shared" si="18"/>
        <v>48256.25</v>
      </c>
      <c r="H34" s="224">
        <v>42</v>
      </c>
      <c r="I34" s="224">
        <v>2938470</v>
      </c>
      <c r="J34" s="222">
        <f t="shared" si="19"/>
        <v>69963.571428571435</v>
      </c>
      <c r="K34" s="224">
        <v>46</v>
      </c>
      <c r="L34" s="224">
        <v>3353565</v>
      </c>
      <c r="M34" s="222">
        <f t="shared" si="20"/>
        <v>72903.586956521744</v>
      </c>
      <c r="N34" s="224">
        <v>44</v>
      </c>
      <c r="O34" s="224">
        <v>2729960</v>
      </c>
      <c r="P34" s="222">
        <f t="shared" si="21"/>
        <v>62044.545454545456</v>
      </c>
      <c r="Q34" s="224">
        <v>45</v>
      </c>
      <c r="R34" s="224">
        <v>3682870</v>
      </c>
      <c r="S34" s="222">
        <f t="shared" si="22"/>
        <v>81841.555555555562</v>
      </c>
      <c r="T34" s="224">
        <v>32</v>
      </c>
      <c r="U34" s="224">
        <v>1808623</v>
      </c>
      <c r="V34" s="222">
        <f t="shared" si="23"/>
        <v>56519.46875</v>
      </c>
      <c r="W34" s="224">
        <v>35</v>
      </c>
      <c r="X34" s="224">
        <v>1704060</v>
      </c>
      <c r="Y34" s="222">
        <f t="shared" si="24"/>
        <v>48687.428571428572</v>
      </c>
      <c r="Z34" s="224">
        <v>27</v>
      </c>
      <c r="AA34" s="224">
        <v>2462610</v>
      </c>
      <c r="AB34" s="222">
        <f t="shared" si="25"/>
        <v>91207.777777777781</v>
      </c>
      <c r="AC34" s="224">
        <v>26</v>
      </c>
      <c r="AD34" s="224">
        <v>2658440</v>
      </c>
      <c r="AE34" s="222">
        <f t="shared" si="26"/>
        <v>102247.69230769231</v>
      </c>
      <c r="AF34" s="224">
        <v>23</v>
      </c>
      <c r="AG34" s="224">
        <v>3141090</v>
      </c>
      <c r="AH34" s="222">
        <f t="shared" si="27"/>
        <v>136569.13043478262</v>
      </c>
      <c r="AI34" s="223">
        <v>25</v>
      </c>
      <c r="AJ34" s="223">
        <v>3426898</v>
      </c>
      <c r="AK34" s="222">
        <f t="shared" si="28"/>
        <v>137075.92000000001</v>
      </c>
      <c r="AM34" s="178" t="s">
        <v>9</v>
      </c>
      <c r="AN34" s="226">
        <v>22</v>
      </c>
      <c r="AO34" s="226">
        <v>1063150</v>
      </c>
      <c r="AP34" s="226">
        <v>23</v>
      </c>
      <c r="AQ34" s="226">
        <v>1043200</v>
      </c>
      <c r="AR34" s="226">
        <v>21</v>
      </c>
      <c r="AS34" s="226">
        <v>837800</v>
      </c>
      <c r="AT34" s="226">
        <v>21</v>
      </c>
      <c r="AU34" s="226">
        <v>1033700</v>
      </c>
      <c r="AV34" s="226">
        <v>27</v>
      </c>
      <c r="AW34" s="226">
        <v>1368700</v>
      </c>
      <c r="AX34" s="226">
        <v>25</v>
      </c>
      <c r="AY34" s="226">
        <v>1139500</v>
      </c>
      <c r="AZ34" s="226">
        <v>19</v>
      </c>
      <c r="BA34" s="179">
        <v>786200</v>
      </c>
      <c r="BB34" s="226">
        <v>15</v>
      </c>
      <c r="BC34" s="226">
        <v>859800</v>
      </c>
      <c r="BD34" s="226">
        <v>16</v>
      </c>
      <c r="BE34" s="226">
        <v>1003870</v>
      </c>
      <c r="BF34" s="226">
        <v>14</v>
      </c>
      <c r="BG34" s="226">
        <v>547900</v>
      </c>
      <c r="BH34" s="226">
        <v>17</v>
      </c>
      <c r="BI34" s="226">
        <v>646615</v>
      </c>
      <c r="BJ34" s="226">
        <v>24</v>
      </c>
      <c r="BK34" s="226">
        <v>833480</v>
      </c>
      <c r="BL34" s="225">
        <f t="shared" si="15"/>
        <v>244</v>
      </c>
      <c r="BM34" s="225">
        <f t="shared" si="16"/>
        <v>11163915</v>
      </c>
    </row>
    <row r="35" spans="1:65" x14ac:dyDescent="0.25">
      <c r="A35" s="188" t="s">
        <v>5</v>
      </c>
      <c r="B35" s="224">
        <v>62</v>
      </c>
      <c r="C35" s="224">
        <v>2390720</v>
      </c>
      <c r="D35" s="222">
        <f t="shared" si="17"/>
        <v>38560</v>
      </c>
      <c r="E35" s="224">
        <v>49</v>
      </c>
      <c r="F35" s="224">
        <v>2586140</v>
      </c>
      <c r="G35" s="222">
        <f t="shared" si="18"/>
        <v>52778.367346938772</v>
      </c>
      <c r="H35" s="224">
        <v>40</v>
      </c>
      <c r="I35" s="224">
        <v>1718770</v>
      </c>
      <c r="J35" s="222">
        <f t="shared" si="19"/>
        <v>42969.25</v>
      </c>
      <c r="K35" s="224">
        <v>45</v>
      </c>
      <c r="L35" s="224">
        <v>2202500</v>
      </c>
      <c r="M35" s="222">
        <f t="shared" si="20"/>
        <v>48944.444444444445</v>
      </c>
      <c r="N35" s="224">
        <v>48</v>
      </c>
      <c r="O35" s="224">
        <v>2176803</v>
      </c>
      <c r="P35" s="222">
        <f t="shared" si="21"/>
        <v>45350.0625</v>
      </c>
      <c r="Q35" s="224">
        <v>55</v>
      </c>
      <c r="R35" s="224">
        <v>2733860</v>
      </c>
      <c r="S35" s="222">
        <f t="shared" si="22"/>
        <v>49706.545454545456</v>
      </c>
      <c r="T35" s="224">
        <v>46</v>
      </c>
      <c r="U35" s="224">
        <v>2790200</v>
      </c>
      <c r="V35" s="222">
        <f t="shared" si="23"/>
        <v>60656.521739130432</v>
      </c>
      <c r="W35" s="224">
        <v>44</v>
      </c>
      <c r="X35" s="224">
        <v>3294638</v>
      </c>
      <c r="Y35" s="222">
        <f t="shared" si="24"/>
        <v>74878.136363636368</v>
      </c>
      <c r="Z35" s="224">
        <v>38</v>
      </c>
      <c r="AA35" s="224">
        <v>2984240</v>
      </c>
      <c r="AB35" s="222">
        <f t="shared" si="25"/>
        <v>78532.631578947374</v>
      </c>
      <c r="AC35" s="224">
        <v>39</v>
      </c>
      <c r="AD35" s="224">
        <v>2497321</v>
      </c>
      <c r="AE35" s="222">
        <f t="shared" si="26"/>
        <v>64033.871794871797</v>
      </c>
      <c r="AF35" s="224">
        <v>36</v>
      </c>
      <c r="AG35" s="224">
        <v>2432920</v>
      </c>
      <c r="AH35" s="222">
        <f t="shared" si="27"/>
        <v>67581.111111111109</v>
      </c>
      <c r="AI35" s="223">
        <v>45</v>
      </c>
      <c r="AJ35" s="223">
        <v>3536827</v>
      </c>
      <c r="AK35" s="222">
        <f t="shared" si="28"/>
        <v>78596.155555555553</v>
      </c>
      <c r="AM35" s="178" t="s">
        <v>12</v>
      </c>
      <c r="AN35" s="226">
        <v>10</v>
      </c>
      <c r="AO35" s="226">
        <v>721100</v>
      </c>
      <c r="AP35" s="226">
        <v>11</v>
      </c>
      <c r="AQ35" s="226">
        <v>644100</v>
      </c>
      <c r="AR35" s="226">
        <v>10</v>
      </c>
      <c r="AS35" s="226">
        <v>435100</v>
      </c>
      <c r="AT35" s="226">
        <v>14</v>
      </c>
      <c r="AU35" s="226">
        <v>616700</v>
      </c>
      <c r="AV35" s="226">
        <v>18</v>
      </c>
      <c r="AW35" s="226">
        <v>752300</v>
      </c>
      <c r="AX35" s="226">
        <v>17</v>
      </c>
      <c r="AY35" s="226">
        <v>1115050</v>
      </c>
      <c r="AZ35" s="226">
        <v>17</v>
      </c>
      <c r="BA35" s="179">
        <v>1014800</v>
      </c>
      <c r="BB35" s="226">
        <v>14</v>
      </c>
      <c r="BC35" s="226">
        <v>805100</v>
      </c>
      <c r="BD35" s="226">
        <v>14</v>
      </c>
      <c r="BE35" s="226">
        <v>1046300</v>
      </c>
      <c r="BF35" s="226">
        <v>12</v>
      </c>
      <c r="BG35" s="226">
        <v>544900</v>
      </c>
      <c r="BH35" s="226">
        <v>16</v>
      </c>
      <c r="BI35" s="226">
        <v>1025200</v>
      </c>
      <c r="BJ35" s="226">
        <v>25</v>
      </c>
      <c r="BK35" s="226">
        <v>906340</v>
      </c>
      <c r="BL35" s="225">
        <f t="shared" si="15"/>
        <v>178</v>
      </c>
      <c r="BM35" s="225">
        <f t="shared" si="16"/>
        <v>9626990</v>
      </c>
    </row>
    <row r="36" spans="1:65" x14ac:dyDescent="0.25">
      <c r="A36" s="188" t="s">
        <v>23</v>
      </c>
      <c r="B36" s="224">
        <v>39</v>
      </c>
      <c r="C36" s="224">
        <v>2262328</v>
      </c>
      <c r="D36" s="222">
        <f t="shared" si="17"/>
        <v>58008.410256410258</v>
      </c>
      <c r="E36" s="224">
        <v>36</v>
      </c>
      <c r="F36" s="224">
        <v>2517535</v>
      </c>
      <c r="G36" s="222">
        <f t="shared" si="18"/>
        <v>69931.527777777781</v>
      </c>
      <c r="H36" s="224">
        <v>36</v>
      </c>
      <c r="I36" s="224">
        <v>2886830</v>
      </c>
      <c r="J36" s="222">
        <f t="shared" si="19"/>
        <v>80189.722222222219</v>
      </c>
      <c r="K36" s="224">
        <v>38</v>
      </c>
      <c r="L36" s="224">
        <v>2269425</v>
      </c>
      <c r="M36" s="222">
        <f t="shared" si="20"/>
        <v>59721.710526315786</v>
      </c>
      <c r="N36" s="224">
        <v>40</v>
      </c>
      <c r="O36" s="224">
        <v>1982615</v>
      </c>
      <c r="P36" s="222">
        <f t="shared" si="21"/>
        <v>49565.375</v>
      </c>
      <c r="Q36" s="224">
        <v>44</v>
      </c>
      <c r="R36" s="224">
        <v>3075990</v>
      </c>
      <c r="S36" s="222">
        <f t="shared" si="22"/>
        <v>69908.863636363632</v>
      </c>
      <c r="T36" s="224">
        <v>44</v>
      </c>
      <c r="U36" s="224">
        <v>2748290</v>
      </c>
      <c r="V36" s="222">
        <f t="shared" si="23"/>
        <v>62461.13636363636</v>
      </c>
      <c r="W36" s="224">
        <v>45</v>
      </c>
      <c r="X36" s="224">
        <v>3427820</v>
      </c>
      <c r="Y36" s="222">
        <f t="shared" si="24"/>
        <v>76173.777777777781</v>
      </c>
      <c r="Z36" s="224">
        <v>27</v>
      </c>
      <c r="AA36" s="224">
        <v>2490780</v>
      </c>
      <c r="AB36" s="222">
        <f t="shared" si="25"/>
        <v>92251.111111111109</v>
      </c>
      <c r="AC36" s="224">
        <v>36</v>
      </c>
      <c r="AD36" s="224">
        <v>2908480</v>
      </c>
      <c r="AE36" s="222">
        <f t="shared" si="26"/>
        <v>80791.111111111109</v>
      </c>
      <c r="AF36" s="224">
        <v>37</v>
      </c>
      <c r="AG36" s="224">
        <v>2984360</v>
      </c>
      <c r="AH36" s="222">
        <f t="shared" si="27"/>
        <v>80658.378378378373</v>
      </c>
      <c r="AI36" s="223">
        <v>48</v>
      </c>
      <c r="AJ36" s="223">
        <v>3059460</v>
      </c>
      <c r="AK36" s="222">
        <f t="shared" si="28"/>
        <v>63738.75</v>
      </c>
      <c r="AM36" s="178" t="s">
        <v>23</v>
      </c>
      <c r="AN36" s="227">
        <v>0</v>
      </c>
      <c r="AO36" s="227">
        <v>0</v>
      </c>
      <c r="AP36" s="227">
        <v>0</v>
      </c>
      <c r="AQ36" s="227">
        <v>0</v>
      </c>
      <c r="AR36" s="227">
        <v>0</v>
      </c>
      <c r="AS36" s="227">
        <v>0</v>
      </c>
      <c r="AT36" s="227">
        <v>0</v>
      </c>
      <c r="AU36" s="226">
        <v>0</v>
      </c>
      <c r="AV36" s="226">
        <v>9</v>
      </c>
      <c r="AW36" s="226">
        <v>883200</v>
      </c>
      <c r="AX36" s="226">
        <v>19</v>
      </c>
      <c r="AY36" s="226">
        <v>1040500</v>
      </c>
      <c r="AZ36" s="226">
        <v>18</v>
      </c>
      <c r="BA36" s="179">
        <v>964600</v>
      </c>
      <c r="BB36" s="226">
        <v>26</v>
      </c>
      <c r="BC36" s="226">
        <v>1135800</v>
      </c>
      <c r="BD36" s="226">
        <v>21</v>
      </c>
      <c r="BE36" s="226">
        <v>1225360</v>
      </c>
      <c r="BF36" s="226">
        <v>26</v>
      </c>
      <c r="BG36" s="226">
        <v>1404260</v>
      </c>
      <c r="BH36" s="226">
        <v>33</v>
      </c>
      <c r="BI36" s="226">
        <v>1915217</v>
      </c>
      <c r="BJ36" s="226">
        <v>44</v>
      </c>
      <c r="BK36" s="226">
        <v>2450230</v>
      </c>
      <c r="BL36" s="225">
        <f t="shared" si="15"/>
        <v>196</v>
      </c>
      <c r="BM36" s="225">
        <f t="shared" si="16"/>
        <v>11019167</v>
      </c>
    </row>
    <row r="37" spans="1:65" x14ac:dyDescent="0.25">
      <c r="A37" s="188" t="s">
        <v>129</v>
      </c>
      <c r="B37" s="224">
        <v>79</v>
      </c>
      <c r="C37" s="224">
        <v>3211850</v>
      </c>
      <c r="D37" s="222">
        <f t="shared" si="17"/>
        <v>40656.329113924054</v>
      </c>
      <c r="E37" s="224">
        <v>77</v>
      </c>
      <c r="F37" s="224">
        <v>3694185</v>
      </c>
      <c r="G37" s="222">
        <f t="shared" si="18"/>
        <v>47976.428571428572</v>
      </c>
      <c r="H37" s="224">
        <v>69</v>
      </c>
      <c r="I37" s="224">
        <v>3392045</v>
      </c>
      <c r="J37" s="222">
        <f t="shared" si="19"/>
        <v>49160.072463768112</v>
      </c>
      <c r="K37" s="224">
        <v>59</v>
      </c>
      <c r="L37" s="224">
        <v>3139735</v>
      </c>
      <c r="M37" s="222">
        <f t="shared" si="20"/>
        <v>53215.847457627118</v>
      </c>
      <c r="N37" s="224">
        <v>54</v>
      </c>
      <c r="O37" s="224">
        <v>4057820</v>
      </c>
      <c r="P37" s="222">
        <f t="shared" si="21"/>
        <v>75144.814814814818</v>
      </c>
      <c r="Q37" s="224">
        <v>58</v>
      </c>
      <c r="R37" s="224">
        <v>3489508</v>
      </c>
      <c r="S37" s="222">
        <f t="shared" si="22"/>
        <v>60163.931034482761</v>
      </c>
      <c r="T37" s="224">
        <v>44</v>
      </c>
      <c r="U37" s="224">
        <v>2489999</v>
      </c>
      <c r="V37" s="222">
        <f t="shared" si="23"/>
        <v>56590.88636363636</v>
      </c>
      <c r="W37" s="224">
        <v>28</v>
      </c>
      <c r="X37" s="224">
        <v>1961280</v>
      </c>
      <c r="Y37" s="222">
        <f t="shared" si="24"/>
        <v>70045.71428571429</v>
      </c>
      <c r="Z37" s="224">
        <v>29</v>
      </c>
      <c r="AA37" s="224">
        <v>2469480</v>
      </c>
      <c r="AB37" s="222">
        <f t="shared" si="25"/>
        <v>85154.482758620696</v>
      </c>
      <c r="AC37" s="224">
        <v>33</v>
      </c>
      <c r="AD37" s="224">
        <v>3296510</v>
      </c>
      <c r="AE37" s="222">
        <f t="shared" si="26"/>
        <v>99894.242424242431</v>
      </c>
      <c r="AF37" s="224">
        <v>29</v>
      </c>
      <c r="AG37" s="224">
        <v>2981860</v>
      </c>
      <c r="AH37" s="222">
        <f t="shared" si="27"/>
        <v>102822.75862068965</v>
      </c>
      <c r="AI37" s="223">
        <v>32</v>
      </c>
      <c r="AJ37" s="223">
        <v>3655970</v>
      </c>
      <c r="AK37" s="222">
        <f t="shared" si="28"/>
        <v>114249.0625</v>
      </c>
      <c r="AM37" s="178" t="s">
        <v>103</v>
      </c>
      <c r="AN37" s="226">
        <v>30</v>
      </c>
      <c r="AO37" s="226">
        <v>1546250</v>
      </c>
      <c r="AP37" s="226">
        <v>25</v>
      </c>
      <c r="AQ37" s="226">
        <v>903550</v>
      </c>
      <c r="AR37" s="226">
        <v>32</v>
      </c>
      <c r="AS37" s="226">
        <v>1413720</v>
      </c>
      <c r="AT37" s="226">
        <v>33</v>
      </c>
      <c r="AU37" s="226">
        <v>1218480</v>
      </c>
      <c r="AV37" s="226">
        <v>19</v>
      </c>
      <c r="AW37" s="226">
        <v>990650</v>
      </c>
      <c r="AX37" s="226">
        <v>30</v>
      </c>
      <c r="AY37" s="226">
        <v>822850</v>
      </c>
      <c r="AZ37" s="226">
        <v>20</v>
      </c>
      <c r="BA37" s="179">
        <v>599800</v>
      </c>
      <c r="BB37" s="226">
        <v>8</v>
      </c>
      <c r="BC37" s="226">
        <v>170800</v>
      </c>
      <c r="BD37" s="226">
        <v>1</v>
      </c>
      <c r="BE37" s="226">
        <v>20000</v>
      </c>
      <c r="BF37" s="226">
        <v>16</v>
      </c>
      <c r="BG37" s="226">
        <v>45000</v>
      </c>
      <c r="BH37" s="226">
        <v>0</v>
      </c>
      <c r="BI37" s="226">
        <v>6200</v>
      </c>
      <c r="BJ37" s="226">
        <v>0</v>
      </c>
      <c r="BK37" s="226">
        <v>2700</v>
      </c>
      <c r="BL37" s="225">
        <f t="shared" si="15"/>
        <v>214</v>
      </c>
      <c r="BM37" s="225">
        <f t="shared" si="16"/>
        <v>7740000</v>
      </c>
    </row>
    <row r="38" spans="1:65" x14ac:dyDescent="0.25">
      <c r="A38" s="188" t="s">
        <v>9</v>
      </c>
      <c r="B38" s="224">
        <v>27</v>
      </c>
      <c r="C38" s="224">
        <v>949800</v>
      </c>
      <c r="D38" s="222">
        <f t="shared" si="17"/>
        <v>35177.777777777781</v>
      </c>
      <c r="E38" s="224">
        <v>22</v>
      </c>
      <c r="F38" s="224">
        <v>816855</v>
      </c>
      <c r="G38" s="222">
        <f t="shared" si="18"/>
        <v>37129.772727272728</v>
      </c>
      <c r="H38" s="224">
        <v>18</v>
      </c>
      <c r="I38" s="224">
        <v>676725</v>
      </c>
      <c r="J38" s="222">
        <f t="shared" si="19"/>
        <v>37595.833333333336</v>
      </c>
      <c r="K38" s="224">
        <v>23</v>
      </c>
      <c r="L38" s="224">
        <v>803365</v>
      </c>
      <c r="M38" s="222">
        <f t="shared" si="20"/>
        <v>34928.913043478264</v>
      </c>
      <c r="N38" s="224">
        <v>18</v>
      </c>
      <c r="O38" s="224">
        <v>638350</v>
      </c>
      <c r="P38" s="222">
        <f t="shared" si="21"/>
        <v>35463.888888888891</v>
      </c>
      <c r="Q38" s="224">
        <v>25</v>
      </c>
      <c r="R38" s="224">
        <v>1300500</v>
      </c>
      <c r="S38" s="222">
        <f t="shared" si="22"/>
        <v>52020</v>
      </c>
      <c r="T38" s="224">
        <v>22</v>
      </c>
      <c r="U38" s="224">
        <v>871760</v>
      </c>
      <c r="V38" s="222">
        <f t="shared" si="23"/>
        <v>39625.454545454544</v>
      </c>
      <c r="W38" s="224">
        <v>19</v>
      </c>
      <c r="X38" s="224">
        <v>1026680</v>
      </c>
      <c r="Y38" s="222">
        <f t="shared" si="24"/>
        <v>54035.789473684214</v>
      </c>
      <c r="Z38" s="224">
        <v>25</v>
      </c>
      <c r="AA38" s="224">
        <v>975800</v>
      </c>
      <c r="AB38" s="222">
        <f t="shared" si="25"/>
        <v>39032</v>
      </c>
      <c r="AC38" s="224">
        <v>26</v>
      </c>
      <c r="AD38" s="224">
        <v>1148800</v>
      </c>
      <c r="AE38" s="222">
        <f t="shared" si="26"/>
        <v>44184.615384615383</v>
      </c>
      <c r="AF38" s="224">
        <v>19</v>
      </c>
      <c r="AG38" s="224">
        <v>855500</v>
      </c>
      <c r="AH38" s="222">
        <f t="shared" si="27"/>
        <v>45026.315789473687</v>
      </c>
      <c r="AI38" s="223">
        <v>25</v>
      </c>
      <c r="AJ38" s="223">
        <v>1015140</v>
      </c>
      <c r="AK38" s="222">
        <f t="shared" si="28"/>
        <v>40605.599999999999</v>
      </c>
      <c r="AM38" s="178" t="s">
        <v>14</v>
      </c>
      <c r="AN38" s="225">
        <v>425</v>
      </c>
      <c r="AO38" s="225">
        <f>SUM(AO23:AO37)</f>
        <v>26018396</v>
      </c>
      <c r="AP38" s="225">
        <v>461</v>
      </c>
      <c r="AQ38" s="225">
        <f>SUM(AQ23:AQ37)</f>
        <v>26684696</v>
      </c>
      <c r="AR38" s="225">
        <v>535</v>
      </c>
      <c r="AS38" s="225">
        <f>SUM(AS23:AS37)</f>
        <v>30133395</v>
      </c>
      <c r="AT38" s="225">
        <v>633</v>
      </c>
      <c r="AU38" s="225">
        <f t="shared" ref="AU38:BM38" si="29">SUM(AU23:AU37)</f>
        <v>37603780</v>
      </c>
      <c r="AV38" s="225">
        <f t="shared" si="29"/>
        <v>654</v>
      </c>
      <c r="AW38" s="225">
        <f t="shared" si="29"/>
        <v>40682368</v>
      </c>
      <c r="AX38" s="225">
        <f t="shared" si="29"/>
        <v>674</v>
      </c>
      <c r="AY38" s="225">
        <f t="shared" si="29"/>
        <v>41632040</v>
      </c>
      <c r="AZ38" s="225">
        <f t="shared" si="29"/>
        <v>621</v>
      </c>
      <c r="BA38" s="180">
        <f t="shared" si="29"/>
        <v>39999596</v>
      </c>
      <c r="BB38" s="225">
        <f t="shared" si="29"/>
        <v>689</v>
      </c>
      <c r="BC38" s="225">
        <f t="shared" si="29"/>
        <v>41460390</v>
      </c>
      <c r="BD38" s="225">
        <f t="shared" si="29"/>
        <v>593</v>
      </c>
      <c r="BE38" s="225">
        <f t="shared" si="29"/>
        <v>41892981</v>
      </c>
      <c r="BF38" s="225">
        <f t="shared" si="29"/>
        <v>622</v>
      </c>
      <c r="BG38" s="225">
        <f t="shared" si="29"/>
        <v>45541775</v>
      </c>
      <c r="BH38" s="225">
        <f t="shared" si="29"/>
        <v>664</v>
      </c>
      <c r="BI38" s="225">
        <f t="shared" si="29"/>
        <v>44215715</v>
      </c>
      <c r="BJ38" s="225">
        <f t="shared" si="29"/>
        <v>655</v>
      </c>
      <c r="BK38" s="225">
        <f t="shared" si="29"/>
        <v>41724943</v>
      </c>
      <c r="BL38" s="225">
        <f t="shared" si="29"/>
        <v>7226</v>
      </c>
      <c r="BM38" s="225">
        <f t="shared" si="29"/>
        <v>457590075</v>
      </c>
    </row>
    <row r="39" spans="1:65" x14ac:dyDescent="0.25">
      <c r="A39" s="188" t="s">
        <v>12</v>
      </c>
      <c r="B39" s="224">
        <v>21</v>
      </c>
      <c r="C39" s="224">
        <v>641995</v>
      </c>
      <c r="D39" s="222">
        <f t="shared" si="17"/>
        <v>30571.190476190477</v>
      </c>
      <c r="E39" s="224">
        <v>24</v>
      </c>
      <c r="F39" s="224">
        <v>1467435</v>
      </c>
      <c r="G39" s="222">
        <f t="shared" si="18"/>
        <v>61143.125</v>
      </c>
      <c r="H39" s="224">
        <v>17</v>
      </c>
      <c r="I39" s="224">
        <v>753035</v>
      </c>
      <c r="J39" s="222">
        <f t="shared" si="19"/>
        <v>44296.176470588238</v>
      </c>
      <c r="K39" s="224">
        <v>20</v>
      </c>
      <c r="L39" s="224">
        <v>1023720</v>
      </c>
      <c r="M39" s="222">
        <f t="shared" si="20"/>
        <v>51186</v>
      </c>
      <c r="N39" s="224">
        <v>21</v>
      </c>
      <c r="O39" s="224">
        <v>1396185</v>
      </c>
      <c r="P39" s="222">
        <f t="shared" si="21"/>
        <v>66485</v>
      </c>
      <c r="Q39" s="224">
        <v>21</v>
      </c>
      <c r="R39" s="224">
        <v>1247755</v>
      </c>
      <c r="S39" s="222">
        <f t="shared" si="22"/>
        <v>59416.904761904763</v>
      </c>
      <c r="T39" s="224">
        <v>16</v>
      </c>
      <c r="U39" s="224">
        <v>836475</v>
      </c>
      <c r="V39" s="222">
        <f t="shared" si="23"/>
        <v>52279.6875</v>
      </c>
      <c r="W39" s="224">
        <v>14</v>
      </c>
      <c r="X39" s="224">
        <v>729360</v>
      </c>
      <c r="Y39" s="222">
        <f t="shared" si="24"/>
        <v>52097.142857142855</v>
      </c>
      <c r="Z39" s="224">
        <v>16</v>
      </c>
      <c r="AA39" s="224">
        <v>1213360</v>
      </c>
      <c r="AB39" s="222">
        <f t="shared" si="25"/>
        <v>75835</v>
      </c>
      <c r="AC39" s="224">
        <v>13</v>
      </c>
      <c r="AD39" s="224">
        <v>838920</v>
      </c>
      <c r="AE39" s="222">
        <f t="shared" si="26"/>
        <v>64532.307692307695</v>
      </c>
      <c r="AF39" s="224">
        <v>10</v>
      </c>
      <c r="AG39" s="224">
        <v>652190</v>
      </c>
      <c r="AH39" s="222">
        <f t="shared" si="27"/>
        <v>65219</v>
      </c>
      <c r="AI39" s="223">
        <v>16</v>
      </c>
      <c r="AJ39" s="223">
        <v>1338900</v>
      </c>
      <c r="AK39" s="222">
        <f t="shared" si="28"/>
        <v>83681.25</v>
      </c>
    </row>
    <row r="40" spans="1:65" x14ac:dyDescent="0.25">
      <c r="A40" s="188" t="s">
        <v>103</v>
      </c>
      <c r="B40" s="224">
        <v>0</v>
      </c>
      <c r="C40" s="224">
        <v>3900</v>
      </c>
      <c r="D40" s="222" t="e">
        <f t="shared" si="17"/>
        <v>#DIV/0!</v>
      </c>
      <c r="E40" s="224">
        <v>1</v>
      </c>
      <c r="F40" s="224">
        <v>0</v>
      </c>
      <c r="G40" s="222">
        <f t="shared" si="18"/>
        <v>0</v>
      </c>
      <c r="H40" s="224">
        <v>2</v>
      </c>
      <c r="I40" s="224">
        <v>0</v>
      </c>
      <c r="J40" s="222">
        <f t="shared" si="19"/>
        <v>0</v>
      </c>
      <c r="K40" s="224">
        <v>11</v>
      </c>
      <c r="L40" s="224">
        <v>0</v>
      </c>
      <c r="M40" s="222">
        <f t="shared" si="20"/>
        <v>0</v>
      </c>
      <c r="N40" s="224">
        <v>18</v>
      </c>
      <c r="O40" s="224">
        <v>0</v>
      </c>
      <c r="P40" s="222">
        <f t="shared" si="21"/>
        <v>0</v>
      </c>
      <c r="Q40" s="224">
        <v>18</v>
      </c>
      <c r="R40" s="224">
        <v>0</v>
      </c>
      <c r="S40" s="222">
        <f t="shared" si="22"/>
        <v>0</v>
      </c>
      <c r="T40" s="224">
        <v>13</v>
      </c>
      <c r="U40" s="224">
        <v>0</v>
      </c>
      <c r="V40" s="222">
        <f t="shared" si="23"/>
        <v>0</v>
      </c>
      <c r="W40" s="224">
        <v>11</v>
      </c>
      <c r="X40" s="224">
        <v>0</v>
      </c>
      <c r="Y40" s="222">
        <f t="shared" si="24"/>
        <v>0</v>
      </c>
      <c r="Z40" s="224">
        <v>8</v>
      </c>
      <c r="AA40" s="224">
        <v>0</v>
      </c>
      <c r="AB40" s="222">
        <f t="shared" si="25"/>
        <v>0</v>
      </c>
      <c r="AC40" s="224">
        <v>5</v>
      </c>
      <c r="AD40" s="224">
        <v>0</v>
      </c>
      <c r="AE40" s="222">
        <f t="shared" si="26"/>
        <v>0</v>
      </c>
      <c r="AF40" s="224">
        <v>4</v>
      </c>
      <c r="AG40" s="224">
        <v>0</v>
      </c>
      <c r="AH40" s="222">
        <f t="shared" si="27"/>
        <v>0</v>
      </c>
      <c r="AI40" s="223">
        <v>10</v>
      </c>
      <c r="AJ40" s="223">
        <v>2700</v>
      </c>
      <c r="AK40" s="222">
        <f t="shared" si="28"/>
        <v>270</v>
      </c>
    </row>
    <row r="41" spans="1:65" x14ac:dyDescent="0.25">
      <c r="A41" s="193" t="s">
        <v>86</v>
      </c>
      <c r="B41" s="224">
        <v>0</v>
      </c>
      <c r="C41" s="224">
        <v>0</v>
      </c>
      <c r="D41" s="222" t="e">
        <f t="shared" si="17"/>
        <v>#DIV/0!</v>
      </c>
      <c r="E41" s="224">
        <v>2</v>
      </c>
      <c r="F41" s="224">
        <v>300200</v>
      </c>
      <c r="G41" s="222">
        <f t="shared" si="18"/>
        <v>150100</v>
      </c>
      <c r="H41" s="224">
        <v>9</v>
      </c>
      <c r="I41" s="224">
        <v>884010</v>
      </c>
      <c r="J41" s="222">
        <f t="shared" si="19"/>
        <v>98223.333333333328</v>
      </c>
      <c r="K41" s="224">
        <v>22</v>
      </c>
      <c r="L41" s="224">
        <v>827655</v>
      </c>
      <c r="M41" s="222">
        <f t="shared" si="20"/>
        <v>37620.681818181816</v>
      </c>
      <c r="N41" s="224">
        <v>25</v>
      </c>
      <c r="O41" s="224">
        <f>1330218+48100</f>
        <v>1378318</v>
      </c>
      <c r="P41" s="222">
        <f t="shared" si="21"/>
        <v>55132.72</v>
      </c>
      <c r="Q41" s="224">
        <v>33</v>
      </c>
      <c r="R41" s="224">
        <v>1551305</v>
      </c>
      <c r="S41" s="222">
        <f t="shared" si="22"/>
        <v>47009.242424242424</v>
      </c>
      <c r="T41" s="224">
        <v>29</v>
      </c>
      <c r="U41" s="224">
        <v>1644922</v>
      </c>
      <c r="V41" s="222">
        <f t="shared" si="23"/>
        <v>56721.448275862072</v>
      </c>
      <c r="W41" s="224">
        <v>18</v>
      </c>
      <c r="X41" s="224">
        <v>1077274</v>
      </c>
      <c r="Y41" s="222">
        <f t="shared" si="24"/>
        <v>59848.555555555555</v>
      </c>
      <c r="Z41" s="224">
        <v>17</v>
      </c>
      <c r="AA41" s="224">
        <v>1406260</v>
      </c>
      <c r="AB41" s="222">
        <f t="shared" si="25"/>
        <v>82721.176470588238</v>
      </c>
      <c r="AC41" s="224">
        <v>24</v>
      </c>
      <c r="AD41" s="224">
        <v>1946908</v>
      </c>
      <c r="AE41" s="222">
        <f t="shared" si="26"/>
        <v>81121.166666666672</v>
      </c>
      <c r="AF41" s="224">
        <v>16</v>
      </c>
      <c r="AG41" s="224">
        <v>1297450</v>
      </c>
      <c r="AH41" s="222">
        <f t="shared" si="27"/>
        <v>81090.625</v>
      </c>
      <c r="AI41" s="223">
        <v>20</v>
      </c>
      <c r="AJ41" s="223">
        <v>2000800</v>
      </c>
      <c r="AK41" s="222">
        <f t="shared" si="28"/>
        <v>100040</v>
      </c>
    </row>
    <row r="42" spans="1:65" x14ac:dyDescent="0.25">
      <c r="A42" s="193" t="s">
        <v>130</v>
      </c>
      <c r="B42" s="224">
        <v>0</v>
      </c>
      <c r="C42" s="224">
        <v>0</v>
      </c>
      <c r="D42" s="222" t="e">
        <f t="shared" si="17"/>
        <v>#DIV/0!</v>
      </c>
      <c r="E42" s="224">
        <v>0</v>
      </c>
      <c r="F42" s="224">
        <v>0</v>
      </c>
      <c r="G42" s="222" t="e">
        <f t="shared" si="18"/>
        <v>#DIV/0!</v>
      </c>
      <c r="H42" s="224">
        <v>6</v>
      </c>
      <c r="I42" s="224">
        <v>355530</v>
      </c>
      <c r="J42" s="222">
        <f t="shared" si="19"/>
        <v>59255</v>
      </c>
      <c r="K42" s="224">
        <v>13</v>
      </c>
      <c r="L42" s="224">
        <v>1010195</v>
      </c>
      <c r="M42" s="222">
        <f t="shared" si="20"/>
        <v>77707.307692307688</v>
      </c>
      <c r="N42" s="224">
        <v>21</v>
      </c>
      <c r="O42" s="224">
        <v>1700230</v>
      </c>
      <c r="P42" s="222">
        <f t="shared" si="21"/>
        <v>80963.333333333328</v>
      </c>
      <c r="Q42" s="224">
        <v>24</v>
      </c>
      <c r="R42" s="224">
        <v>2292000</v>
      </c>
      <c r="S42" s="222">
        <f t="shared" si="22"/>
        <v>95500</v>
      </c>
      <c r="T42" s="224">
        <v>24</v>
      </c>
      <c r="U42" s="224">
        <v>1972250</v>
      </c>
      <c r="V42" s="222">
        <f t="shared" si="23"/>
        <v>82177.083333333328</v>
      </c>
      <c r="W42" s="224">
        <v>17</v>
      </c>
      <c r="X42" s="224">
        <v>656780</v>
      </c>
      <c r="Y42" s="222">
        <f t="shared" si="24"/>
        <v>38634.117647058825</v>
      </c>
      <c r="Z42" s="224">
        <v>24</v>
      </c>
      <c r="AA42" s="224">
        <v>1512328</v>
      </c>
      <c r="AB42" s="222">
        <f t="shared" si="25"/>
        <v>63013.666666666664</v>
      </c>
      <c r="AC42" s="224">
        <v>28</v>
      </c>
      <c r="AD42" s="224">
        <v>2440540</v>
      </c>
      <c r="AE42" s="222">
        <f t="shared" si="26"/>
        <v>87162.142857142855</v>
      </c>
      <c r="AF42" s="224">
        <v>25</v>
      </c>
      <c r="AG42" s="224">
        <v>2418904</v>
      </c>
      <c r="AH42" s="222">
        <f t="shared" si="27"/>
        <v>96756.160000000003</v>
      </c>
      <c r="AI42" s="223">
        <v>28</v>
      </c>
      <c r="AJ42" s="223">
        <v>1784420</v>
      </c>
      <c r="AK42" s="222">
        <f t="shared" si="28"/>
        <v>63729.285714285717</v>
      </c>
    </row>
    <row r="43" spans="1:65" x14ac:dyDescent="0.25">
      <c r="A43" s="193" t="s">
        <v>87</v>
      </c>
      <c r="B43" s="224">
        <v>0</v>
      </c>
      <c r="C43" s="224">
        <v>0</v>
      </c>
      <c r="D43" s="222" t="e">
        <f t="shared" si="17"/>
        <v>#DIV/0!</v>
      </c>
      <c r="E43" s="224">
        <v>0</v>
      </c>
      <c r="F43" s="224">
        <v>0</v>
      </c>
      <c r="G43" s="222" t="e">
        <f t="shared" si="18"/>
        <v>#DIV/0!</v>
      </c>
      <c r="H43" s="224">
        <v>1</v>
      </c>
      <c r="I43" s="224">
        <v>38295</v>
      </c>
      <c r="J43" s="222">
        <f t="shared" si="19"/>
        <v>38295</v>
      </c>
      <c r="K43" s="224">
        <v>5</v>
      </c>
      <c r="L43" s="224">
        <v>385100</v>
      </c>
      <c r="M43" s="222">
        <f t="shared" si="20"/>
        <v>77020</v>
      </c>
      <c r="N43" s="224">
        <v>3</v>
      </c>
      <c r="O43" s="224">
        <v>767495</v>
      </c>
      <c r="P43" s="222">
        <f t="shared" si="21"/>
        <v>255831.66666666666</v>
      </c>
      <c r="Q43" s="224">
        <v>8</v>
      </c>
      <c r="R43" s="224">
        <v>897755</v>
      </c>
      <c r="S43" s="222">
        <f t="shared" si="22"/>
        <v>112219.375</v>
      </c>
      <c r="T43" s="224">
        <v>10</v>
      </c>
      <c r="U43" s="224">
        <v>423310</v>
      </c>
      <c r="V43" s="222">
        <f t="shared" si="23"/>
        <v>42331</v>
      </c>
      <c r="W43" s="224">
        <v>7</v>
      </c>
      <c r="X43" s="224">
        <v>323370</v>
      </c>
      <c r="Y43" s="222">
        <f t="shared" si="24"/>
        <v>46195.714285714283</v>
      </c>
      <c r="Z43" s="224">
        <v>6</v>
      </c>
      <c r="AA43" s="224">
        <v>391260</v>
      </c>
      <c r="AB43" s="222">
        <f t="shared" si="25"/>
        <v>65210</v>
      </c>
      <c r="AC43" s="224">
        <v>7</v>
      </c>
      <c r="AD43" s="224">
        <v>545330</v>
      </c>
      <c r="AE43" s="222">
        <f t="shared" si="26"/>
        <v>77904.28571428571</v>
      </c>
      <c r="AF43" s="224">
        <v>9</v>
      </c>
      <c r="AG43" s="224">
        <v>978070</v>
      </c>
      <c r="AH43" s="222">
        <f t="shared" si="27"/>
        <v>108674.44444444444</v>
      </c>
      <c r="AI43" s="223">
        <v>6</v>
      </c>
      <c r="AJ43" s="223">
        <v>404930</v>
      </c>
      <c r="AK43" s="222">
        <f t="shared" si="28"/>
        <v>67488.333333333328</v>
      </c>
    </row>
    <row r="44" spans="1:65" x14ac:dyDescent="0.25">
      <c r="A44" s="193" t="s">
        <v>95</v>
      </c>
      <c r="B44" s="224">
        <v>0</v>
      </c>
      <c r="C44" s="224">
        <v>0</v>
      </c>
      <c r="D44" s="222" t="e">
        <f t="shared" si="17"/>
        <v>#DIV/0!</v>
      </c>
      <c r="E44" s="224">
        <v>0</v>
      </c>
      <c r="F44" s="224">
        <v>0</v>
      </c>
      <c r="G44" s="222" t="e">
        <f t="shared" si="18"/>
        <v>#DIV/0!</v>
      </c>
      <c r="H44" s="224">
        <v>0</v>
      </c>
      <c r="I44" s="224">
        <v>0</v>
      </c>
      <c r="J44" s="222" t="e">
        <f t="shared" si="19"/>
        <v>#DIV/0!</v>
      </c>
      <c r="K44" s="224">
        <v>0</v>
      </c>
      <c r="L44" s="224">
        <v>0</v>
      </c>
      <c r="M44" s="222" t="e">
        <f t="shared" si="20"/>
        <v>#DIV/0!</v>
      </c>
      <c r="N44" s="224">
        <v>3</v>
      </c>
      <c r="O44" s="224">
        <v>147395</v>
      </c>
      <c r="P44" s="222">
        <f t="shared" si="21"/>
        <v>49131.666666666664</v>
      </c>
      <c r="Q44" s="224">
        <v>19</v>
      </c>
      <c r="R44" s="224">
        <v>1271625</v>
      </c>
      <c r="S44" s="222">
        <f t="shared" si="22"/>
        <v>66927.631578947374</v>
      </c>
      <c r="T44" s="224">
        <v>19</v>
      </c>
      <c r="U44" s="224">
        <v>872500</v>
      </c>
      <c r="V44" s="222">
        <f t="shared" si="23"/>
        <v>45921.052631578947</v>
      </c>
      <c r="W44" s="224">
        <v>15</v>
      </c>
      <c r="X44" s="224">
        <v>920800</v>
      </c>
      <c r="Y44" s="222">
        <f t="shared" si="24"/>
        <v>61386.666666666664</v>
      </c>
      <c r="Z44" s="224">
        <v>16</v>
      </c>
      <c r="AA44" s="224">
        <v>1304520</v>
      </c>
      <c r="AB44" s="222">
        <f t="shared" si="25"/>
        <v>81532.5</v>
      </c>
      <c r="AC44" s="224">
        <v>16</v>
      </c>
      <c r="AD44" s="224">
        <v>1119440</v>
      </c>
      <c r="AE44" s="222">
        <f t="shared" si="26"/>
        <v>69965</v>
      </c>
      <c r="AF44" s="224">
        <v>17</v>
      </c>
      <c r="AG44" s="224">
        <v>1311540</v>
      </c>
      <c r="AH44" s="222">
        <f t="shared" si="27"/>
        <v>77149.411764705888</v>
      </c>
      <c r="AI44" s="223">
        <v>22</v>
      </c>
      <c r="AJ44" s="223">
        <v>1609280</v>
      </c>
      <c r="AK44" s="222">
        <f t="shared" si="28"/>
        <v>73149.090909090912</v>
      </c>
    </row>
    <row r="45" spans="1:65" s="183" customFormat="1" x14ac:dyDescent="0.25">
      <c r="A45" s="171" t="s">
        <v>14</v>
      </c>
      <c r="B45" s="186">
        <f>SUM(B26:B44)</f>
        <v>594</v>
      </c>
      <c r="C45" s="186">
        <f>SUM(C26:C44)</f>
        <v>31584426</v>
      </c>
      <c r="D45" s="221">
        <f t="shared" si="17"/>
        <v>53172.434343434346</v>
      </c>
      <c r="E45" s="186">
        <f>SUM(E26:E44)</f>
        <v>597</v>
      </c>
      <c r="F45" s="186">
        <f>SUM(F26:F44)</f>
        <v>39458660</v>
      </c>
      <c r="G45" s="221">
        <f t="shared" si="18"/>
        <v>66094.907872696815</v>
      </c>
      <c r="H45" s="186">
        <f>SUM(H26:H44)</f>
        <v>568</v>
      </c>
      <c r="I45" s="186">
        <f>SUM(I26:I44)</f>
        <v>35578796</v>
      </c>
      <c r="J45" s="221">
        <f t="shared" si="19"/>
        <v>62638.725352112677</v>
      </c>
      <c r="K45" s="186">
        <f>SUM(K26:K44)</f>
        <v>613</v>
      </c>
      <c r="L45" s="186">
        <f>SUM(L26:L44)</f>
        <v>39952166</v>
      </c>
      <c r="M45" s="221">
        <f t="shared" si="20"/>
        <v>65174.822185970639</v>
      </c>
      <c r="N45" s="186">
        <f>SUM(N26:N44)</f>
        <v>612</v>
      </c>
      <c r="O45" s="186">
        <f>SUM(O26:O44)</f>
        <v>44839953</v>
      </c>
      <c r="P45" s="221">
        <f t="shared" si="21"/>
        <v>73267.897058823524</v>
      </c>
      <c r="Q45" s="186">
        <f>SUM(Q26:Q44)</f>
        <v>684</v>
      </c>
      <c r="R45" s="186">
        <f>SUM(R26:R44)</f>
        <v>47463106</v>
      </c>
      <c r="S45" s="221">
        <f t="shared" si="22"/>
        <v>69390.505847953216</v>
      </c>
      <c r="T45" s="186">
        <f>SUM(T26:T44)</f>
        <v>600</v>
      </c>
      <c r="U45" s="186">
        <f>SUM(U26:U44)</f>
        <v>37570628</v>
      </c>
      <c r="V45" s="221">
        <f t="shared" si="23"/>
        <v>62617.713333333333</v>
      </c>
      <c r="W45" s="186">
        <f>SUM(W26:W44)</f>
        <v>541</v>
      </c>
      <c r="X45" s="186">
        <f>SUM(X26:X44)</f>
        <v>40331818</v>
      </c>
      <c r="Y45" s="221">
        <f t="shared" si="24"/>
        <v>74550.49537892791</v>
      </c>
      <c r="Z45" s="186">
        <f>SUM(Z26:Z44)</f>
        <v>479</v>
      </c>
      <c r="AA45" s="186">
        <f>SUM(AA26:AA44)</f>
        <v>41344909</v>
      </c>
      <c r="AB45" s="221">
        <f t="shared" si="25"/>
        <v>86315.050104384136</v>
      </c>
      <c r="AC45" s="186">
        <f>SUM(AC26:AC44)</f>
        <v>517</v>
      </c>
      <c r="AD45" s="186">
        <f>SUM(AD26:AD44)</f>
        <v>47557401</v>
      </c>
      <c r="AE45" s="221">
        <f t="shared" si="26"/>
        <v>91987.235976789161</v>
      </c>
      <c r="AF45" s="186">
        <f>SUM(AF26:AF44)</f>
        <v>454</v>
      </c>
      <c r="AG45" s="186">
        <f>SUM(AG26:AG44)</f>
        <v>40994374</v>
      </c>
      <c r="AH45" s="221">
        <f t="shared" si="27"/>
        <v>90295.977973568282</v>
      </c>
      <c r="AI45" s="186">
        <f>SUM(AI26:AI44)</f>
        <v>509</v>
      </c>
      <c r="AJ45" s="186">
        <f>SUM(AJ26:AJ44)</f>
        <v>46697235</v>
      </c>
      <c r="AK45" s="221">
        <f t="shared" si="28"/>
        <v>91743.094302554033</v>
      </c>
    </row>
    <row r="46" spans="1:65" ht="12.6" thickBot="1" x14ac:dyDescent="0.3"/>
    <row r="47" spans="1:65" ht="12.6" thickBot="1" x14ac:dyDescent="0.3">
      <c r="A47" s="220" t="s">
        <v>14</v>
      </c>
      <c r="B47" s="219">
        <f>B45+B22</f>
        <v>898</v>
      </c>
      <c r="C47" s="219">
        <f>C45+C22</f>
        <v>44752136</v>
      </c>
      <c r="D47" s="219"/>
      <c r="E47" s="219">
        <f>E45+E22</f>
        <v>882</v>
      </c>
      <c r="F47" s="219">
        <f>F45+F22</f>
        <v>55230524</v>
      </c>
      <c r="G47" s="219"/>
      <c r="H47" s="219">
        <f>H45+H22</f>
        <v>880</v>
      </c>
      <c r="I47" s="219">
        <f>I45+I22</f>
        <v>52113966</v>
      </c>
      <c r="J47" s="219"/>
      <c r="K47" s="219">
        <f>K45+K22</f>
        <v>925</v>
      </c>
      <c r="L47" s="219">
        <f>L45+L22</f>
        <v>53842191</v>
      </c>
      <c r="M47" s="219"/>
      <c r="N47" s="219">
        <f>N45+N22</f>
        <v>967</v>
      </c>
      <c r="O47" s="219">
        <f>O45+O22</f>
        <v>61001596</v>
      </c>
      <c r="P47" s="219"/>
      <c r="Q47" s="219">
        <f>Q45+Q22</f>
        <v>955</v>
      </c>
      <c r="R47" s="219">
        <f>R45+R22</f>
        <v>61713416</v>
      </c>
      <c r="S47" s="219"/>
      <c r="T47" s="219">
        <f>T45+T22</f>
        <v>823</v>
      </c>
      <c r="U47" s="219">
        <f>U45+U22</f>
        <v>56029003</v>
      </c>
      <c r="V47" s="219"/>
      <c r="W47" s="219">
        <f>W45+W22</f>
        <v>754</v>
      </c>
      <c r="X47" s="219">
        <f>X45+X22</f>
        <v>57448958</v>
      </c>
      <c r="Y47" s="219"/>
      <c r="Z47" s="219">
        <f>Z45+Z22</f>
        <v>725</v>
      </c>
      <c r="AA47" s="219">
        <f>AA45+AA22</f>
        <v>63608730</v>
      </c>
      <c r="AB47" s="219"/>
      <c r="AC47" s="219">
        <f>AC45+AC22</f>
        <v>789</v>
      </c>
      <c r="AD47" s="219">
        <f>AD45+AD22</f>
        <v>66336989</v>
      </c>
      <c r="AE47" s="219"/>
      <c r="AF47" s="219">
        <f>AF45+AF22</f>
        <v>743</v>
      </c>
      <c r="AG47" s="219">
        <f>AG45+AG22</f>
        <v>59167664</v>
      </c>
      <c r="AH47" s="219"/>
      <c r="AI47" s="219">
        <f>AI45+AI22</f>
        <v>843</v>
      </c>
      <c r="AJ47" s="219">
        <f>AJ45+AJ22</f>
        <v>71584125</v>
      </c>
    </row>
  </sheetData>
  <mergeCells count="50">
    <mergeCell ref="B1:D1"/>
    <mergeCell ref="E1:G1"/>
    <mergeCell ref="H1:J1"/>
    <mergeCell ref="K1:M1"/>
    <mergeCell ref="B24:D24"/>
    <mergeCell ref="E24:G24"/>
    <mergeCell ref="H24:J24"/>
    <mergeCell ref="K24:M24"/>
    <mergeCell ref="AF1:AH1"/>
    <mergeCell ref="AI1:AK1"/>
    <mergeCell ref="AC24:AE24"/>
    <mergeCell ref="AF24:AH24"/>
    <mergeCell ref="AI24:AK24"/>
    <mergeCell ref="N24:P24"/>
    <mergeCell ref="Q24:S24"/>
    <mergeCell ref="T24:V24"/>
    <mergeCell ref="W24:Y24"/>
    <mergeCell ref="AC1:AE1"/>
    <mergeCell ref="Z24:AB24"/>
    <mergeCell ref="N1:P1"/>
    <mergeCell ref="Q1:S1"/>
    <mergeCell ref="T1:V1"/>
    <mergeCell ref="W1:Y1"/>
    <mergeCell ref="Z1:AB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BL21:BM21"/>
    <mergeCell ref="BH1:BI1"/>
    <mergeCell ref="BJ1:BK1"/>
    <mergeCell ref="BL1:BM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5F7F-6E1E-4A57-BF0A-CD0D2AA1103E}">
  <dimension ref="A1:CD114"/>
  <sheetViews>
    <sheetView tabSelected="1" workbookViewId="0"/>
  </sheetViews>
  <sheetFormatPr defaultRowHeight="12" x14ac:dyDescent="0.25"/>
  <cols>
    <col min="1" max="1" width="14.6640625" style="174" bestFit="1" customWidth="1"/>
    <col min="2" max="2" width="3.109375" style="174" bestFit="1" customWidth="1"/>
    <col min="3" max="3" width="4.109375" style="174" bestFit="1" customWidth="1"/>
    <col min="4" max="4" width="4.21875" style="174" bestFit="1" customWidth="1"/>
    <col min="5" max="5" width="3.109375" style="174" bestFit="1" customWidth="1"/>
    <col min="6" max="6" width="4.109375" style="174" bestFit="1" customWidth="1"/>
    <col min="7" max="7" width="4.21875" style="174" bestFit="1" customWidth="1"/>
    <col min="8" max="8" width="3.109375" style="174" bestFit="1" customWidth="1"/>
    <col min="9" max="9" width="4.109375" style="174" bestFit="1" customWidth="1"/>
    <col min="10" max="10" width="4.21875" style="174" bestFit="1" customWidth="1"/>
    <col min="11" max="11" width="3.109375" style="174" bestFit="1" customWidth="1"/>
    <col min="12" max="12" width="4.109375" style="174" bestFit="1" customWidth="1"/>
    <col min="13" max="13" width="4.21875" style="174" bestFit="1" customWidth="1"/>
    <col min="14" max="14" width="3.88671875" style="174" bestFit="1" customWidth="1"/>
    <col min="15" max="15" width="4.109375" style="174" bestFit="1" customWidth="1"/>
    <col min="16" max="16" width="4.21875" style="174" bestFit="1" customWidth="1"/>
    <col min="17" max="17" width="3.109375" style="174" bestFit="1" customWidth="1"/>
    <col min="18" max="18" width="4.109375" style="174" bestFit="1" customWidth="1"/>
    <col min="19" max="19" width="4.21875" style="174" bestFit="1" customWidth="1"/>
    <col min="20" max="20" width="3.109375" style="174" bestFit="1" customWidth="1"/>
    <col min="21" max="21" width="4.109375" style="174" bestFit="1" customWidth="1"/>
    <col min="22" max="22" width="4.21875" style="174" bestFit="1" customWidth="1"/>
    <col min="23" max="23" width="3.109375" style="174" bestFit="1" customWidth="1"/>
    <col min="24" max="24" width="4.109375" style="174" bestFit="1" customWidth="1"/>
    <col min="25" max="25" width="4.21875" style="174" bestFit="1" customWidth="1"/>
    <col min="26" max="26" width="3.109375" style="174" bestFit="1" customWidth="1"/>
    <col min="27" max="27" width="4.109375" style="174" bestFit="1" customWidth="1"/>
    <col min="28" max="28" width="4.21875" style="174" bestFit="1" customWidth="1"/>
    <col min="29" max="29" width="3.109375" style="174" bestFit="1" customWidth="1"/>
    <col min="30" max="30" width="4.109375" style="174" bestFit="1" customWidth="1"/>
    <col min="31" max="31" width="4.21875" style="174" bestFit="1" customWidth="1"/>
    <col min="32" max="32" width="3.109375" style="174" bestFit="1" customWidth="1"/>
    <col min="33" max="33" width="4.109375" style="174" bestFit="1" customWidth="1"/>
    <col min="34" max="34" width="4.21875" style="174" bestFit="1" customWidth="1"/>
    <col min="35" max="35" width="3.88671875" style="174" bestFit="1" customWidth="1"/>
    <col min="36" max="36" width="4.109375" style="174" bestFit="1" customWidth="1"/>
    <col min="37" max="37" width="5.109375" style="174" bestFit="1" customWidth="1"/>
    <col min="38" max="38" width="5.6640625" style="174" bestFit="1" customWidth="1"/>
    <col min="39" max="39" width="4.109375" style="174" bestFit="1" customWidth="1"/>
    <col min="40" max="40" width="5.109375" style="174" bestFit="1" customWidth="1"/>
    <col min="41" max="41" width="5.33203125" style="174" bestFit="1" customWidth="1"/>
    <col min="42" max="42" width="1.109375" style="304" customWidth="1"/>
    <col min="43" max="43" width="14.6640625" style="174" bestFit="1" customWidth="1"/>
    <col min="44" max="44" width="3.109375" style="174" bestFit="1" customWidth="1"/>
    <col min="45" max="45" width="4.109375" style="174" bestFit="1" customWidth="1"/>
    <col min="46" max="46" width="4.21875" style="174" bestFit="1" customWidth="1"/>
    <col min="47" max="47" width="3.109375" style="174" bestFit="1" customWidth="1"/>
    <col min="48" max="48" width="4.109375" style="174" bestFit="1" customWidth="1"/>
    <col min="49" max="49" width="4.21875" style="174" bestFit="1" customWidth="1"/>
    <col min="50" max="50" width="3.109375" style="174" bestFit="1" customWidth="1"/>
    <col min="51" max="51" width="4.109375" style="174" bestFit="1" customWidth="1"/>
    <col min="52" max="52" width="4.21875" style="174" bestFit="1" customWidth="1"/>
    <col min="53" max="53" width="3.109375" style="174" bestFit="1" customWidth="1"/>
    <col min="54" max="54" width="4.109375" style="174" bestFit="1" customWidth="1"/>
    <col min="55" max="55" width="4.21875" style="174" bestFit="1" customWidth="1"/>
    <col min="56" max="56" width="3.88671875" style="174" bestFit="1" customWidth="1"/>
    <col min="57" max="57" width="4.109375" style="174" bestFit="1" customWidth="1"/>
    <col min="58" max="58" width="5.109375" style="174" bestFit="1" customWidth="1"/>
    <col min="59" max="59" width="3.109375" style="174" bestFit="1" customWidth="1"/>
    <col min="60" max="60" width="4.109375" style="174" bestFit="1" customWidth="1"/>
    <col min="61" max="61" width="5.109375" style="174" bestFit="1" customWidth="1"/>
    <col min="62" max="62" width="3.109375" style="174" bestFit="1" customWidth="1"/>
    <col min="63" max="63" width="4.109375" style="174" bestFit="1" customWidth="1"/>
    <col min="64" max="64" width="5.109375" style="174" bestFit="1" customWidth="1"/>
    <col min="65" max="65" width="3.109375" style="174" bestFit="1" customWidth="1"/>
    <col min="66" max="66" width="4.109375" style="174" bestFit="1" customWidth="1"/>
    <col min="67" max="67" width="5.109375" style="174" bestFit="1" customWidth="1"/>
    <col min="68" max="68" width="3.109375" style="174" bestFit="1" customWidth="1"/>
    <col min="69" max="69" width="4.109375" style="174" bestFit="1" customWidth="1"/>
    <col min="70" max="70" width="5.109375" style="174" bestFit="1" customWidth="1"/>
    <col min="71" max="71" width="3.109375" style="174" bestFit="1" customWidth="1"/>
    <col min="72" max="72" width="4.109375" style="174" bestFit="1" customWidth="1"/>
    <col min="73" max="73" width="5.109375" style="174" bestFit="1" customWidth="1"/>
    <col min="74" max="74" width="3.109375" style="174" bestFit="1" customWidth="1"/>
    <col min="75" max="75" width="4.109375" style="174" bestFit="1" customWidth="1"/>
    <col min="76" max="76" width="5.109375" style="174" bestFit="1" customWidth="1"/>
    <col min="77" max="77" width="3.109375" style="174" bestFit="1" customWidth="1"/>
    <col min="78" max="78" width="4.109375" style="174" bestFit="1" customWidth="1"/>
    <col min="79" max="79" width="5.109375" style="174" bestFit="1" customWidth="1"/>
    <col min="80" max="80" width="3.88671875" style="174" bestFit="1" customWidth="1"/>
    <col min="81" max="81" width="4.109375" style="174" bestFit="1" customWidth="1"/>
    <col min="82" max="82" width="5.109375" style="174" bestFit="1" customWidth="1"/>
    <col min="83" max="16384" width="8.88671875" style="174"/>
  </cols>
  <sheetData>
    <row r="1" spans="1:82" x14ac:dyDescent="0.25">
      <c r="A1" s="306" t="s">
        <v>139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8"/>
      <c r="AQ1" s="306" t="s">
        <v>140</v>
      </c>
      <c r="AR1" s="326"/>
      <c r="AS1" s="326"/>
      <c r="AT1" s="326"/>
      <c r="AU1" s="326"/>
      <c r="AV1" s="326"/>
      <c r="AW1" s="326"/>
      <c r="AX1" s="326"/>
      <c r="AY1" s="326"/>
      <c r="AZ1" s="326"/>
      <c r="BA1" s="326"/>
      <c r="BB1" s="326"/>
      <c r="BC1" s="326"/>
      <c r="BD1" s="307"/>
      <c r="BE1" s="307"/>
      <c r="BF1" s="307"/>
      <c r="BG1" s="307"/>
      <c r="BH1" s="307"/>
      <c r="BI1" s="307"/>
      <c r="BJ1" s="307"/>
      <c r="BK1" s="307"/>
      <c r="BL1" s="307"/>
      <c r="BM1" s="307"/>
      <c r="BN1" s="307"/>
      <c r="BO1" s="307"/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07"/>
      <c r="CB1" s="307"/>
      <c r="CC1" s="307"/>
      <c r="CD1" s="307"/>
    </row>
    <row r="2" spans="1:82" x14ac:dyDescent="0.25">
      <c r="A2" s="302" t="s">
        <v>138</v>
      </c>
      <c r="B2" s="297">
        <v>46113</v>
      </c>
      <c r="C2" s="297"/>
      <c r="D2" s="297"/>
      <c r="E2" s="297">
        <v>46143</v>
      </c>
      <c r="F2" s="297"/>
      <c r="G2" s="297"/>
      <c r="H2" s="297">
        <v>46174</v>
      </c>
      <c r="I2" s="297"/>
      <c r="J2" s="297"/>
      <c r="K2" s="297">
        <v>46204</v>
      </c>
      <c r="L2" s="297"/>
      <c r="M2" s="297"/>
      <c r="AQ2" s="302" t="s">
        <v>138</v>
      </c>
      <c r="AR2" s="297">
        <v>46113</v>
      </c>
      <c r="AS2" s="297"/>
      <c r="AT2" s="297"/>
      <c r="AU2" s="297">
        <v>46143</v>
      </c>
      <c r="AV2" s="297"/>
      <c r="AW2" s="297"/>
      <c r="AX2" s="297">
        <v>46174</v>
      </c>
      <c r="AY2" s="297"/>
      <c r="AZ2" s="297"/>
      <c r="BA2" s="297">
        <v>46204</v>
      </c>
      <c r="BB2" s="297"/>
      <c r="BC2" s="297"/>
    </row>
    <row r="3" spans="1:82" x14ac:dyDescent="0.25">
      <c r="A3" s="300" t="s">
        <v>26</v>
      </c>
      <c r="B3" s="298" t="s">
        <v>15</v>
      </c>
      <c r="C3" s="298" t="s">
        <v>16</v>
      </c>
      <c r="D3" s="298" t="s">
        <v>32</v>
      </c>
      <c r="E3" s="298" t="s">
        <v>15</v>
      </c>
      <c r="F3" s="298" t="s">
        <v>16</v>
      </c>
      <c r="G3" s="298" t="s">
        <v>32</v>
      </c>
      <c r="H3" s="298" t="s">
        <v>15</v>
      </c>
      <c r="I3" s="298" t="s">
        <v>16</v>
      </c>
      <c r="J3" s="298" t="s">
        <v>32</v>
      </c>
      <c r="K3" s="298" t="s">
        <v>15</v>
      </c>
      <c r="L3" s="298" t="s">
        <v>16</v>
      </c>
      <c r="M3" s="298" t="s">
        <v>32</v>
      </c>
      <c r="AQ3" s="300" t="s">
        <v>27</v>
      </c>
      <c r="AR3" s="298" t="s">
        <v>15</v>
      </c>
      <c r="AS3" s="298" t="s">
        <v>16</v>
      </c>
      <c r="AT3" s="298" t="s">
        <v>32</v>
      </c>
      <c r="AU3" s="298" t="s">
        <v>15</v>
      </c>
      <c r="AV3" s="298" t="s">
        <v>16</v>
      </c>
      <c r="AW3" s="298" t="s">
        <v>32</v>
      </c>
      <c r="AX3" s="298" t="s">
        <v>15</v>
      </c>
      <c r="AY3" s="298" t="s">
        <v>16</v>
      </c>
      <c r="AZ3" s="298" t="s">
        <v>32</v>
      </c>
      <c r="BA3" s="298" t="s">
        <v>15</v>
      </c>
      <c r="BB3" s="298" t="s">
        <v>16</v>
      </c>
      <c r="BC3" s="298" t="s">
        <v>32</v>
      </c>
    </row>
    <row r="4" spans="1:82" x14ac:dyDescent="0.25">
      <c r="A4" s="303" t="s">
        <v>4</v>
      </c>
      <c r="B4" s="223">
        <v>20</v>
      </c>
      <c r="C4" s="223">
        <v>14</v>
      </c>
      <c r="D4" s="301">
        <f>SUM(B4:C4)</f>
        <v>34</v>
      </c>
      <c r="E4" s="223">
        <v>17</v>
      </c>
      <c r="F4" s="223">
        <v>16</v>
      </c>
      <c r="G4" s="301">
        <f>SUM(E4:F4)</f>
        <v>33</v>
      </c>
      <c r="H4" s="223">
        <v>38</v>
      </c>
      <c r="I4" s="223">
        <v>19</v>
      </c>
      <c r="J4" s="301">
        <f>H4+I4</f>
        <v>57</v>
      </c>
      <c r="K4" s="191">
        <v>38</v>
      </c>
      <c r="L4" s="191">
        <v>25</v>
      </c>
      <c r="M4" s="191">
        <f>K4+L4</f>
        <v>63</v>
      </c>
      <c r="AQ4" s="303" t="s">
        <v>4</v>
      </c>
      <c r="AR4" s="223">
        <v>36</v>
      </c>
      <c r="AS4" s="223">
        <v>0</v>
      </c>
      <c r="AT4" s="301">
        <f>SUM(AR4:AS4)</f>
        <v>36</v>
      </c>
      <c r="AU4" s="191">
        <v>43</v>
      </c>
      <c r="AV4" s="191">
        <v>0</v>
      </c>
      <c r="AW4" s="192">
        <f>SUM(AU4:AV4)</f>
        <v>43</v>
      </c>
      <c r="AX4" s="191">
        <v>44</v>
      </c>
      <c r="AY4" s="191">
        <v>0</v>
      </c>
      <c r="AZ4" s="192">
        <f>AX4+AY4</f>
        <v>44</v>
      </c>
      <c r="BA4" s="191">
        <v>51</v>
      </c>
      <c r="BB4" s="191">
        <v>0</v>
      </c>
      <c r="BC4" s="191">
        <f>BA4+BB4</f>
        <v>51</v>
      </c>
    </row>
    <row r="5" spans="1:82" x14ac:dyDescent="0.25">
      <c r="A5" s="303" t="s">
        <v>134</v>
      </c>
      <c r="B5" s="223">
        <v>0</v>
      </c>
      <c r="C5" s="223">
        <v>0</v>
      </c>
      <c r="D5" s="301">
        <f t="shared" ref="D5:D33" si="0">SUM(B5:C5)</f>
        <v>0</v>
      </c>
      <c r="E5" s="223">
        <v>0</v>
      </c>
      <c r="F5" s="223">
        <v>0</v>
      </c>
      <c r="G5" s="301">
        <f t="shared" ref="G5:G33" si="1">SUM(E5:F5)</f>
        <v>0</v>
      </c>
      <c r="H5" s="223">
        <v>0</v>
      </c>
      <c r="I5" s="223">
        <v>0</v>
      </c>
      <c r="J5" s="301">
        <f t="shared" ref="J5:J35" si="2">H5+I5</f>
        <v>0</v>
      </c>
      <c r="K5" s="191">
        <v>0</v>
      </c>
      <c r="L5" s="191">
        <v>0</v>
      </c>
      <c r="M5" s="191">
        <f t="shared" ref="M5:M35" si="3">K5+L5</f>
        <v>0</v>
      </c>
      <c r="AQ5" s="303" t="s">
        <v>134</v>
      </c>
      <c r="AR5" s="223">
        <v>0</v>
      </c>
      <c r="AS5" s="223">
        <v>0</v>
      </c>
      <c r="AT5" s="301">
        <f t="shared" ref="AT5:AT33" si="4">SUM(AR5:AS5)</f>
        <v>0</v>
      </c>
      <c r="AU5" s="191">
        <v>0</v>
      </c>
      <c r="AV5" s="191">
        <v>0</v>
      </c>
      <c r="AW5" s="192">
        <f t="shared" ref="AW5:AW33" si="5">SUM(AU5:AV5)</f>
        <v>0</v>
      </c>
      <c r="AX5" s="191">
        <v>0</v>
      </c>
      <c r="AY5" s="191">
        <v>0</v>
      </c>
      <c r="AZ5" s="192">
        <f t="shared" ref="AZ5:AZ35" si="6">AX5+AY5</f>
        <v>0</v>
      </c>
      <c r="BA5" s="191">
        <v>0</v>
      </c>
      <c r="BB5" s="191">
        <v>0</v>
      </c>
      <c r="BC5" s="191">
        <f t="shared" ref="BC5:BC35" si="7">BA5+BB5</f>
        <v>0</v>
      </c>
    </row>
    <row r="6" spans="1:82" x14ac:dyDescent="0.25">
      <c r="A6" s="190" t="s">
        <v>8</v>
      </c>
      <c r="B6" s="223">
        <v>11</v>
      </c>
      <c r="C6" s="223">
        <v>13</v>
      </c>
      <c r="D6" s="301">
        <f t="shared" si="0"/>
        <v>24</v>
      </c>
      <c r="E6" s="223">
        <v>11</v>
      </c>
      <c r="F6" s="223">
        <v>19</v>
      </c>
      <c r="G6" s="301">
        <f t="shared" si="1"/>
        <v>30</v>
      </c>
      <c r="H6" s="223">
        <v>24</v>
      </c>
      <c r="I6" s="223">
        <v>8</v>
      </c>
      <c r="J6" s="301">
        <f t="shared" si="2"/>
        <v>32</v>
      </c>
      <c r="K6" s="191">
        <v>15</v>
      </c>
      <c r="L6" s="191">
        <v>19</v>
      </c>
      <c r="M6" s="191">
        <f t="shared" si="3"/>
        <v>34</v>
      </c>
      <c r="AQ6" s="190" t="s">
        <v>8</v>
      </c>
      <c r="AR6" s="223">
        <v>20</v>
      </c>
      <c r="AS6" s="223">
        <v>1</v>
      </c>
      <c r="AT6" s="301">
        <f t="shared" si="4"/>
        <v>21</v>
      </c>
      <c r="AU6" s="191">
        <v>23</v>
      </c>
      <c r="AV6" s="191">
        <v>7</v>
      </c>
      <c r="AW6" s="192">
        <f t="shared" si="5"/>
        <v>30</v>
      </c>
      <c r="AX6" s="191">
        <v>29</v>
      </c>
      <c r="AY6" s="191">
        <v>2</v>
      </c>
      <c r="AZ6" s="192">
        <f t="shared" si="6"/>
        <v>31</v>
      </c>
      <c r="BA6" s="191">
        <v>34</v>
      </c>
      <c r="BB6" s="191">
        <v>0</v>
      </c>
      <c r="BC6" s="191">
        <f t="shared" si="7"/>
        <v>34</v>
      </c>
    </row>
    <row r="7" spans="1:82" x14ac:dyDescent="0.25">
      <c r="A7" s="303" t="s">
        <v>135</v>
      </c>
      <c r="B7" s="223">
        <v>30</v>
      </c>
      <c r="C7" s="223">
        <v>17</v>
      </c>
      <c r="D7" s="301">
        <f t="shared" si="0"/>
        <v>47</v>
      </c>
      <c r="E7" s="223">
        <v>16</v>
      </c>
      <c r="F7" s="223">
        <v>15</v>
      </c>
      <c r="G7" s="301">
        <f t="shared" si="1"/>
        <v>31</v>
      </c>
      <c r="H7" s="223">
        <v>24</v>
      </c>
      <c r="I7" s="223">
        <v>23</v>
      </c>
      <c r="J7" s="301">
        <f t="shared" si="2"/>
        <v>47</v>
      </c>
      <c r="K7" s="191">
        <v>45</v>
      </c>
      <c r="L7" s="191">
        <v>24</v>
      </c>
      <c r="M7" s="191">
        <f t="shared" si="3"/>
        <v>69</v>
      </c>
      <c r="AQ7" s="303" t="s">
        <v>135</v>
      </c>
      <c r="AR7" s="223">
        <v>3</v>
      </c>
      <c r="AS7" s="223">
        <v>0</v>
      </c>
      <c r="AT7" s="301">
        <f t="shared" si="4"/>
        <v>3</v>
      </c>
      <c r="AU7" s="191">
        <v>13</v>
      </c>
      <c r="AV7" s="191">
        <v>0</v>
      </c>
      <c r="AW7" s="192">
        <f t="shared" si="5"/>
        <v>13</v>
      </c>
      <c r="AX7" s="191">
        <v>12</v>
      </c>
      <c r="AY7" s="191">
        <v>2</v>
      </c>
      <c r="AZ7" s="192">
        <f t="shared" si="6"/>
        <v>14</v>
      </c>
      <c r="BA7" s="191">
        <v>24</v>
      </c>
      <c r="BB7" s="191">
        <v>0</v>
      </c>
      <c r="BC7" s="191">
        <f t="shared" si="7"/>
        <v>24</v>
      </c>
    </row>
    <row r="8" spans="1:82" x14ac:dyDescent="0.25">
      <c r="A8" s="190" t="s">
        <v>7</v>
      </c>
      <c r="B8" s="223">
        <v>16</v>
      </c>
      <c r="C8" s="223">
        <v>14</v>
      </c>
      <c r="D8" s="301">
        <f t="shared" si="0"/>
        <v>30</v>
      </c>
      <c r="E8" s="223">
        <v>21</v>
      </c>
      <c r="F8" s="223">
        <v>22</v>
      </c>
      <c r="G8" s="301">
        <f t="shared" si="1"/>
        <v>43</v>
      </c>
      <c r="H8" s="223">
        <v>22</v>
      </c>
      <c r="I8" s="223">
        <v>9</v>
      </c>
      <c r="J8" s="301">
        <f t="shared" si="2"/>
        <v>31</v>
      </c>
      <c r="K8" s="191">
        <v>21</v>
      </c>
      <c r="L8" s="191">
        <v>15</v>
      </c>
      <c r="M8" s="191">
        <f t="shared" si="3"/>
        <v>36</v>
      </c>
      <c r="AQ8" s="190" t="s">
        <v>7</v>
      </c>
      <c r="AR8" s="223">
        <v>26</v>
      </c>
      <c r="AS8" s="223">
        <v>0</v>
      </c>
      <c r="AT8" s="301">
        <f t="shared" si="4"/>
        <v>26</v>
      </c>
      <c r="AU8" s="191">
        <v>28</v>
      </c>
      <c r="AV8" s="191">
        <v>1</v>
      </c>
      <c r="AW8" s="192">
        <f t="shared" si="5"/>
        <v>29</v>
      </c>
      <c r="AX8" s="191">
        <v>25</v>
      </c>
      <c r="AY8" s="191">
        <v>2</v>
      </c>
      <c r="AZ8" s="192">
        <f t="shared" si="6"/>
        <v>27</v>
      </c>
      <c r="BA8" s="191">
        <v>30</v>
      </c>
      <c r="BB8" s="191">
        <v>1</v>
      </c>
      <c r="BC8" s="191">
        <f t="shared" si="7"/>
        <v>31</v>
      </c>
    </row>
    <row r="9" spans="1:82" x14ac:dyDescent="0.25">
      <c r="A9" s="190" t="s">
        <v>13</v>
      </c>
      <c r="B9" s="223">
        <v>8</v>
      </c>
      <c r="C9" s="223">
        <v>11</v>
      </c>
      <c r="D9" s="301">
        <f t="shared" si="0"/>
        <v>19</v>
      </c>
      <c r="E9" s="223">
        <v>9</v>
      </c>
      <c r="F9" s="223">
        <v>8</v>
      </c>
      <c r="G9" s="301">
        <f t="shared" si="1"/>
        <v>17</v>
      </c>
      <c r="H9" s="223">
        <v>10</v>
      </c>
      <c r="I9" s="223">
        <v>7</v>
      </c>
      <c r="J9" s="301">
        <f t="shared" si="2"/>
        <v>17</v>
      </c>
      <c r="K9" s="191">
        <v>3</v>
      </c>
      <c r="L9" s="191">
        <v>2</v>
      </c>
      <c r="M9" s="191">
        <f t="shared" si="3"/>
        <v>5</v>
      </c>
      <c r="AQ9" s="190" t="s">
        <v>13</v>
      </c>
      <c r="AR9" s="223">
        <v>13</v>
      </c>
      <c r="AS9" s="223">
        <v>0</v>
      </c>
      <c r="AT9" s="301">
        <f t="shared" si="4"/>
        <v>13</v>
      </c>
      <c r="AU9" s="191">
        <v>8</v>
      </c>
      <c r="AV9" s="191">
        <v>3</v>
      </c>
      <c r="AW9" s="192">
        <f t="shared" si="5"/>
        <v>11</v>
      </c>
      <c r="AX9" s="191">
        <v>12</v>
      </c>
      <c r="AY9" s="191">
        <v>1</v>
      </c>
      <c r="AZ9" s="192">
        <f t="shared" si="6"/>
        <v>13</v>
      </c>
      <c r="BA9" s="191">
        <v>15</v>
      </c>
      <c r="BB9" s="191">
        <v>0</v>
      </c>
      <c r="BC9" s="191">
        <f t="shared" si="7"/>
        <v>15</v>
      </c>
    </row>
    <row r="10" spans="1:82" x14ac:dyDescent="0.25">
      <c r="A10" s="190" t="s">
        <v>95</v>
      </c>
      <c r="B10" s="223">
        <v>15</v>
      </c>
      <c r="C10" s="223">
        <v>5</v>
      </c>
      <c r="D10" s="301">
        <f t="shared" si="0"/>
        <v>20</v>
      </c>
      <c r="E10" s="223">
        <v>13</v>
      </c>
      <c r="F10" s="223">
        <v>7</v>
      </c>
      <c r="G10" s="301">
        <f t="shared" si="1"/>
        <v>20</v>
      </c>
      <c r="H10" s="223">
        <v>17</v>
      </c>
      <c r="I10" s="223">
        <v>5</v>
      </c>
      <c r="J10" s="301">
        <f t="shared" si="2"/>
        <v>22</v>
      </c>
      <c r="K10" s="191">
        <v>19</v>
      </c>
      <c r="L10" s="191">
        <v>5</v>
      </c>
      <c r="M10" s="191">
        <f t="shared" si="3"/>
        <v>24</v>
      </c>
      <c r="AQ10" s="190" t="s">
        <v>95</v>
      </c>
      <c r="AR10" s="223">
        <v>21</v>
      </c>
      <c r="AS10" s="223">
        <v>0</v>
      </c>
      <c r="AT10" s="301">
        <f t="shared" si="4"/>
        <v>21</v>
      </c>
      <c r="AU10" s="191">
        <v>28</v>
      </c>
      <c r="AV10" s="191">
        <v>1</v>
      </c>
      <c r="AW10" s="192">
        <f t="shared" si="5"/>
        <v>29</v>
      </c>
      <c r="AX10" s="191">
        <v>27</v>
      </c>
      <c r="AY10" s="191">
        <v>1</v>
      </c>
      <c r="AZ10" s="192">
        <f t="shared" si="6"/>
        <v>28</v>
      </c>
      <c r="BA10" s="191">
        <v>31</v>
      </c>
      <c r="BB10" s="191">
        <v>0</v>
      </c>
      <c r="BC10" s="191">
        <f t="shared" si="7"/>
        <v>31</v>
      </c>
    </row>
    <row r="11" spans="1:82" x14ac:dyDescent="0.25">
      <c r="A11" s="190" t="s">
        <v>126</v>
      </c>
      <c r="B11" s="223">
        <v>0</v>
      </c>
      <c r="C11" s="223">
        <v>0</v>
      </c>
      <c r="D11" s="301">
        <f t="shared" si="0"/>
        <v>0</v>
      </c>
      <c r="E11" s="223">
        <v>0</v>
      </c>
      <c r="F11" s="223">
        <v>0</v>
      </c>
      <c r="G11" s="301">
        <f t="shared" si="1"/>
        <v>0</v>
      </c>
      <c r="H11" s="223">
        <v>1</v>
      </c>
      <c r="I11" s="223">
        <v>0</v>
      </c>
      <c r="J11" s="301">
        <f t="shared" si="2"/>
        <v>1</v>
      </c>
      <c r="K11" s="191">
        <v>5</v>
      </c>
      <c r="L11" s="191">
        <v>2</v>
      </c>
      <c r="M11" s="191">
        <f t="shared" si="3"/>
        <v>7</v>
      </c>
      <c r="AQ11" s="190" t="s">
        <v>126</v>
      </c>
      <c r="AR11" s="223">
        <v>0</v>
      </c>
      <c r="AS11" s="223">
        <v>0</v>
      </c>
      <c r="AT11" s="301">
        <f t="shared" si="4"/>
        <v>0</v>
      </c>
      <c r="AU11" s="191">
        <v>0</v>
      </c>
      <c r="AV11" s="191">
        <v>0</v>
      </c>
      <c r="AW11" s="192">
        <f t="shared" si="5"/>
        <v>0</v>
      </c>
      <c r="AX11" s="191">
        <v>0</v>
      </c>
      <c r="AY11" s="191">
        <v>0</v>
      </c>
      <c r="AZ11" s="192">
        <f t="shared" si="6"/>
        <v>0</v>
      </c>
      <c r="BA11" s="191">
        <v>0</v>
      </c>
      <c r="BB11" s="191">
        <v>0</v>
      </c>
      <c r="BC11" s="191">
        <f t="shared" si="7"/>
        <v>0</v>
      </c>
    </row>
    <row r="12" spans="1:82" x14ac:dyDescent="0.25">
      <c r="A12" s="190" t="s">
        <v>127</v>
      </c>
      <c r="B12" s="223">
        <v>15</v>
      </c>
      <c r="C12" s="223">
        <v>18</v>
      </c>
      <c r="D12" s="301">
        <f t="shared" si="0"/>
        <v>33</v>
      </c>
      <c r="E12" s="223">
        <v>21</v>
      </c>
      <c r="F12" s="223">
        <v>17</v>
      </c>
      <c r="G12" s="301">
        <f t="shared" si="1"/>
        <v>38</v>
      </c>
      <c r="H12" s="223">
        <v>19</v>
      </c>
      <c r="I12" s="223">
        <v>9</v>
      </c>
      <c r="J12" s="301">
        <f t="shared" si="2"/>
        <v>28</v>
      </c>
      <c r="K12" s="191">
        <v>27</v>
      </c>
      <c r="L12" s="191">
        <v>18</v>
      </c>
      <c r="M12" s="191">
        <f t="shared" si="3"/>
        <v>45</v>
      </c>
      <c r="AQ12" s="190" t="s">
        <v>127</v>
      </c>
      <c r="AR12" s="223">
        <v>24</v>
      </c>
      <c r="AS12" s="223">
        <v>3</v>
      </c>
      <c r="AT12" s="301">
        <f t="shared" si="4"/>
        <v>27</v>
      </c>
      <c r="AU12" s="191">
        <v>28</v>
      </c>
      <c r="AV12" s="191">
        <v>3</v>
      </c>
      <c r="AW12" s="192">
        <f t="shared" si="5"/>
        <v>31</v>
      </c>
      <c r="AX12" s="191">
        <v>35</v>
      </c>
      <c r="AY12" s="191">
        <v>1</v>
      </c>
      <c r="AZ12" s="192">
        <f t="shared" si="6"/>
        <v>36</v>
      </c>
      <c r="BA12" s="191">
        <v>36</v>
      </c>
      <c r="BB12" s="191">
        <v>2</v>
      </c>
      <c r="BC12" s="191">
        <f t="shared" si="7"/>
        <v>38</v>
      </c>
    </row>
    <row r="13" spans="1:82" x14ac:dyDescent="0.25">
      <c r="A13" s="190" t="s">
        <v>3</v>
      </c>
      <c r="B13" s="223">
        <v>23</v>
      </c>
      <c r="C13" s="223">
        <v>33</v>
      </c>
      <c r="D13" s="301">
        <f t="shared" si="0"/>
        <v>56</v>
      </c>
      <c r="E13" s="223">
        <v>21</v>
      </c>
      <c r="F13" s="223">
        <v>38</v>
      </c>
      <c r="G13" s="301">
        <f t="shared" si="1"/>
        <v>59</v>
      </c>
      <c r="H13" s="223">
        <v>26</v>
      </c>
      <c r="I13" s="223">
        <v>20</v>
      </c>
      <c r="J13" s="301">
        <f t="shared" si="2"/>
        <v>46</v>
      </c>
      <c r="K13" s="191">
        <v>21</v>
      </c>
      <c r="L13" s="191">
        <v>27</v>
      </c>
      <c r="M13" s="191">
        <f t="shared" si="3"/>
        <v>48</v>
      </c>
      <c r="AQ13" s="190" t="s">
        <v>3</v>
      </c>
      <c r="AR13" s="223">
        <v>35</v>
      </c>
      <c r="AS13" s="223">
        <v>2</v>
      </c>
      <c r="AT13" s="301">
        <f t="shared" si="4"/>
        <v>37</v>
      </c>
      <c r="AU13" s="191">
        <v>33</v>
      </c>
      <c r="AV13" s="191">
        <v>3</v>
      </c>
      <c r="AW13" s="192">
        <f t="shared" si="5"/>
        <v>36</v>
      </c>
      <c r="AX13" s="191">
        <v>47</v>
      </c>
      <c r="AY13" s="191">
        <v>0</v>
      </c>
      <c r="AZ13" s="192">
        <f t="shared" si="6"/>
        <v>47</v>
      </c>
      <c r="BA13" s="191">
        <v>35</v>
      </c>
      <c r="BB13" s="191">
        <v>6</v>
      </c>
      <c r="BC13" s="191">
        <f t="shared" si="7"/>
        <v>41</v>
      </c>
    </row>
    <row r="14" spans="1:82" x14ac:dyDescent="0.25">
      <c r="A14" s="190" t="s">
        <v>128</v>
      </c>
      <c r="B14" s="223">
        <v>38</v>
      </c>
      <c r="C14" s="223">
        <v>33</v>
      </c>
      <c r="D14" s="301">
        <f t="shared" si="0"/>
        <v>71</v>
      </c>
      <c r="E14" s="223">
        <v>31</v>
      </c>
      <c r="F14" s="223">
        <v>24</v>
      </c>
      <c r="G14" s="301">
        <f t="shared" si="1"/>
        <v>55</v>
      </c>
      <c r="H14" s="223">
        <v>36</v>
      </c>
      <c r="I14" s="223">
        <v>29</v>
      </c>
      <c r="J14" s="301">
        <f t="shared" si="2"/>
        <v>65</v>
      </c>
      <c r="K14" s="191">
        <v>37</v>
      </c>
      <c r="L14" s="191">
        <v>33</v>
      </c>
      <c r="M14" s="191">
        <f t="shared" si="3"/>
        <v>70</v>
      </c>
      <c r="AQ14" s="190" t="s">
        <v>128</v>
      </c>
      <c r="AR14" s="223">
        <v>55</v>
      </c>
      <c r="AS14" s="223">
        <v>2</v>
      </c>
      <c r="AT14" s="301">
        <f t="shared" si="4"/>
        <v>57</v>
      </c>
      <c r="AU14" s="191">
        <v>66</v>
      </c>
      <c r="AV14" s="191">
        <v>4</v>
      </c>
      <c r="AW14" s="192">
        <f t="shared" si="5"/>
        <v>70</v>
      </c>
      <c r="AX14" s="191">
        <v>65</v>
      </c>
      <c r="AY14" s="191">
        <v>5</v>
      </c>
      <c r="AZ14" s="192">
        <f t="shared" si="6"/>
        <v>70</v>
      </c>
      <c r="BA14" s="191">
        <v>59</v>
      </c>
      <c r="BB14" s="191">
        <v>1</v>
      </c>
      <c r="BC14" s="191">
        <f t="shared" si="7"/>
        <v>60</v>
      </c>
    </row>
    <row r="15" spans="1:82" x14ac:dyDescent="0.25">
      <c r="A15" s="190" t="s">
        <v>118</v>
      </c>
      <c r="B15" s="223">
        <v>13</v>
      </c>
      <c r="C15" s="223">
        <v>5</v>
      </c>
      <c r="D15" s="301">
        <f t="shared" si="0"/>
        <v>18</v>
      </c>
      <c r="E15" s="223">
        <v>8</v>
      </c>
      <c r="F15" s="223">
        <v>5</v>
      </c>
      <c r="G15" s="301">
        <f t="shared" si="1"/>
        <v>13</v>
      </c>
      <c r="H15" s="223">
        <v>8</v>
      </c>
      <c r="I15" s="223">
        <v>4</v>
      </c>
      <c r="J15" s="301">
        <f t="shared" si="2"/>
        <v>12</v>
      </c>
      <c r="K15" s="191">
        <v>6</v>
      </c>
      <c r="L15" s="191">
        <v>4</v>
      </c>
      <c r="M15" s="191">
        <f t="shared" si="3"/>
        <v>10</v>
      </c>
      <c r="AQ15" s="190" t="s">
        <v>118</v>
      </c>
      <c r="AR15" s="223">
        <v>7</v>
      </c>
      <c r="AS15" s="223">
        <v>0</v>
      </c>
      <c r="AT15" s="301">
        <f t="shared" si="4"/>
        <v>7</v>
      </c>
      <c r="AU15" s="191">
        <v>9</v>
      </c>
      <c r="AV15" s="191">
        <v>0</v>
      </c>
      <c r="AW15" s="192">
        <f t="shared" si="5"/>
        <v>9</v>
      </c>
      <c r="AX15" s="191">
        <v>10</v>
      </c>
      <c r="AY15" s="191">
        <v>0</v>
      </c>
      <c r="AZ15" s="192">
        <f t="shared" si="6"/>
        <v>10</v>
      </c>
      <c r="BA15" s="191">
        <v>10</v>
      </c>
      <c r="BB15" s="191">
        <v>0</v>
      </c>
      <c r="BC15" s="191">
        <f t="shared" si="7"/>
        <v>10</v>
      </c>
    </row>
    <row r="16" spans="1:82" x14ac:dyDescent="0.25">
      <c r="A16" s="190" t="s">
        <v>10</v>
      </c>
      <c r="B16" s="223">
        <v>10</v>
      </c>
      <c r="C16" s="223">
        <v>13</v>
      </c>
      <c r="D16" s="301">
        <f t="shared" si="0"/>
        <v>23</v>
      </c>
      <c r="E16" s="223">
        <v>15</v>
      </c>
      <c r="F16" s="223">
        <v>17</v>
      </c>
      <c r="G16" s="301">
        <f t="shared" si="1"/>
        <v>32</v>
      </c>
      <c r="H16" s="223">
        <v>23</v>
      </c>
      <c r="I16" s="223">
        <v>13</v>
      </c>
      <c r="J16" s="301">
        <f t="shared" si="2"/>
        <v>36</v>
      </c>
      <c r="K16" s="191">
        <v>25</v>
      </c>
      <c r="L16" s="191">
        <v>9</v>
      </c>
      <c r="M16" s="191">
        <f t="shared" si="3"/>
        <v>34</v>
      </c>
      <c r="AQ16" s="190" t="s">
        <v>10</v>
      </c>
      <c r="AR16" s="223">
        <v>27</v>
      </c>
      <c r="AS16" s="223">
        <v>0</v>
      </c>
      <c r="AT16" s="301">
        <f t="shared" si="4"/>
        <v>27</v>
      </c>
      <c r="AU16" s="191">
        <v>23</v>
      </c>
      <c r="AV16" s="191">
        <v>1</v>
      </c>
      <c r="AW16" s="192">
        <f t="shared" si="5"/>
        <v>24</v>
      </c>
      <c r="AX16" s="191">
        <v>29</v>
      </c>
      <c r="AY16" s="191">
        <v>2</v>
      </c>
      <c r="AZ16" s="192">
        <f t="shared" si="6"/>
        <v>31</v>
      </c>
      <c r="BA16" s="191">
        <v>42</v>
      </c>
      <c r="BB16" s="191">
        <v>1</v>
      </c>
      <c r="BC16" s="191">
        <f t="shared" si="7"/>
        <v>43</v>
      </c>
    </row>
    <row r="17" spans="1:55" x14ac:dyDescent="0.25">
      <c r="A17" s="190" t="s">
        <v>11</v>
      </c>
      <c r="B17" s="223">
        <v>16</v>
      </c>
      <c r="C17" s="223">
        <v>21</v>
      </c>
      <c r="D17" s="301">
        <f t="shared" si="0"/>
        <v>37</v>
      </c>
      <c r="E17" s="223">
        <v>20</v>
      </c>
      <c r="F17" s="223">
        <v>18</v>
      </c>
      <c r="G17" s="301">
        <f t="shared" si="1"/>
        <v>38</v>
      </c>
      <c r="H17" s="223">
        <v>21</v>
      </c>
      <c r="I17" s="223">
        <v>19</v>
      </c>
      <c r="J17" s="301">
        <f t="shared" si="2"/>
        <v>40</v>
      </c>
      <c r="K17" s="191">
        <v>24</v>
      </c>
      <c r="L17" s="191">
        <v>8</v>
      </c>
      <c r="M17" s="191">
        <f t="shared" si="3"/>
        <v>32</v>
      </c>
      <c r="AQ17" s="190" t="s">
        <v>11</v>
      </c>
      <c r="AR17" s="223">
        <v>30</v>
      </c>
      <c r="AS17" s="223">
        <v>0</v>
      </c>
      <c r="AT17" s="301">
        <f t="shared" si="4"/>
        <v>30</v>
      </c>
      <c r="AU17" s="191">
        <v>35</v>
      </c>
      <c r="AV17" s="191">
        <v>1</v>
      </c>
      <c r="AW17" s="192">
        <f t="shared" si="5"/>
        <v>36</v>
      </c>
      <c r="AX17" s="191">
        <v>44</v>
      </c>
      <c r="AY17" s="191">
        <v>0</v>
      </c>
      <c r="AZ17" s="192">
        <f t="shared" si="6"/>
        <v>44</v>
      </c>
      <c r="BA17" s="191">
        <v>37</v>
      </c>
      <c r="BB17" s="191">
        <v>1</v>
      </c>
      <c r="BC17" s="191">
        <f t="shared" si="7"/>
        <v>38</v>
      </c>
    </row>
    <row r="18" spans="1:55" x14ac:dyDescent="0.25">
      <c r="A18" s="190" t="s">
        <v>86</v>
      </c>
      <c r="B18" s="223">
        <v>12</v>
      </c>
      <c r="C18" s="223">
        <v>24</v>
      </c>
      <c r="D18" s="301">
        <f t="shared" si="0"/>
        <v>36</v>
      </c>
      <c r="E18" s="223">
        <v>23</v>
      </c>
      <c r="F18" s="223">
        <v>26</v>
      </c>
      <c r="G18" s="301">
        <f t="shared" si="1"/>
        <v>49</v>
      </c>
      <c r="H18" s="223">
        <v>33</v>
      </c>
      <c r="I18" s="223">
        <v>28</v>
      </c>
      <c r="J18" s="301">
        <f t="shared" si="2"/>
        <v>61</v>
      </c>
      <c r="K18" s="191">
        <v>31</v>
      </c>
      <c r="L18" s="191">
        <v>27</v>
      </c>
      <c r="M18" s="191">
        <f t="shared" si="3"/>
        <v>58</v>
      </c>
      <c r="AQ18" s="190" t="s">
        <v>86</v>
      </c>
      <c r="AR18" s="223">
        <v>45</v>
      </c>
      <c r="AS18" s="223">
        <v>1</v>
      </c>
      <c r="AT18" s="301">
        <f t="shared" si="4"/>
        <v>46</v>
      </c>
      <c r="AU18" s="191">
        <v>31</v>
      </c>
      <c r="AV18" s="191">
        <v>1</v>
      </c>
      <c r="AW18" s="192">
        <f t="shared" si="5"/>
        <v>32</v>
      </c>
      <c r="AX18" s="191">
        <v>34</v>
      </c>
      <c r="AY18" s="191">
        <v>2</v>
      </c>
      <c r="AZ18" s="192">
        <f t="shared" si="6"/>
        <v>36</v>
      </c>
      <c r="BA18" s="191">
        <v>40</v>
      </c>
      <c r="BB18" s="191">
        <v>0</v>
      </c>
      <c r="BC18" s="191">
        <f t="shared" si="7"/>
        <v>40</v>
      </c>
    </row>
    <row r="19" spans="1:55" x14ac:dyDescent="0.25">
      <c r="A19" s="190" t="s">
        <v>5</v>
      </c>
      <c r="B19" s="223">
        <v>30</v>
      </c>
      <c r="C19" s="223">
        <v>12</v>
      </c>
      <c r="D19" s="301">
        <f t="shared" si="0"/>
        <v>42</v>
      </c>
      <c r="E19" s="223">
        <v>33</v>
      </c>
      <c r="F19" s="223">
        <v>14</v>
      </c>
      <c r="G19" s="301">
        <f t="shared" si="1"/>
        <v>47</v>
      </c>
      <c r="H19" s="223">
        <v>22</v>
      </c>
      <c r="I19" s="223">
        <v>11</v>
      </c>
      <c r="J19" s="301">
        <f t="shared" si="2"/>
        <v>33</v>
      </c>
      <c r="K19" s="191">
        <v>14</v>
      </c>
      <c r="L19" s="191">
        <v>10</v>
      </c>
      <c r="M19" s="191">
        <f t="shared" si="3"/>
        <v>24</v>
      </c>
      <c r="AQ19" s="190" t="s">
        <v>5</v>
      </c>
      <c r="AR19" s="223">
        <v>47</v>
      </c>
      <c r="AS19" s="223">
        <v>0</v>
      </c>
      <c r="AT19" s="301">
        <f t="shared" si="4"/>
        <v>47</v>
      </c>
      <c r="AU19" s="191">
        <v>51</v>
      </c>
      <c r="AV19" s="191">
        <v>1</v>
      </c>
      <c r="AW19" s="192">
        <f t="shared" si="5"/>
        <v>52</v>
      </c>
      <c r="AX19" s="191">
        <v>50</v>
      </c>
      <c r="AY19" s="191">
        <v>0</v>
      </c>
      <c r="AZ19" s="192">
        <f t="shared" si="6"/>
        <v>50</v>
      </c>
      <c r="BA19" s="191">
        <v>57</v>
      </c>
      <c r="BB19" s="191">
        <v>1</v>
      </c>
      <c r="BC19" s="191">
        <f t="shared" si="7"/>
        <v>58</v>
      </c>
    </row>
    <row r="20" spans="1:55" x14ac:dyDescent="0.25">
      <c r="A20" s="190" t="s">
        <v>23</v>
      </c>
      <c r="B20" s="223">
        <v>25</v>
      </c>
      <c r="C20" s="223">
        <v>22</v>
      </c>
      <c r="D20" s="301">
        <f t="shared" si="0"/>
        <v>47</v>
      </c>
      <c r="E20" s="223">
        <v>24</v>
      </c>
      <c r="F20" s="223">
        <v>21</v>
      </c>
      <c r="G20" s="301">
        <f t="shared" si="1"/>
        <v>45</v>
      </c>
      <c r="H20" s="223">
        <v>32</v>
      </c>
      <c r="I20" s="223">
        <v>23</v>
      </c>
      <c r="J20" s="301">
        <f t="shared" si="2"/>
        <v>55</v>
      </c>
      <c r="K20" s="191">
        <v>30</v>
      </c>
      <c r="L20" s="191">
        <v>16</v>
      </c>
      <c r="M20" s="191">
        <f t="shared" si="3"/>
        <v>46</v>
      </c>
      <c r="AQ20" s="190" t="s">
        <v>23</v>
      </c>
      <c r="AR20" s="223">
        <v>50</v>
      </c>
      <c r="AS20" s="223">
        <v>3</v>
      </c>
      <c r="AT20" s="301">
        <f t="shared" si="4"/>
        <v>53</v>
      </c>
      <c r="AU20" s="191">
        <v>52</v>
      </c>
      <c r="AV20" s="191">
        <v>0</v>
      </c>
      <c r="AW20" s="192">
        <f t="shared" si="5"/>
        <v>52</v>
      </c>
      <c r="AX20" s="191">
        <v>51</v>
      </c>
      <c r="AY20" s="191">
        <v>0</v>
      </c>
      <c r="AZ20" s="192">
        <f t="shared" si="6"/>
        <v>51</v>
      </c>
      <c r="BA20" s="191">
        <v>44</v>
      </c>
      <c r="BB20" s="191">
        <v>0</v>
      </c>
      <c r="BC20" s="191">
        <f t="shared" si="7"/>
        <v>44</v>
      </c>
    </row>
    <row r="21" spans="1:55" x14ac:dyDescent="0.25">
      <c r="A21" s="190" t="s">
        <v>87</v>
      </c>
      <c r="B21" s="223">
        <v>10</v>
      </c>
      <c r="C21" s="223">
        <v>12</v>
      </c>
      <c r="D21" s="301">
        <f t="shared" si="0"/>
        <v>22</v>
      </c>
      <c r="E21" s="223">
        <v>9</v>
      </c>
      <c r="F21" s="223">
        <v>8</v>
      </c>
      <c r="G21" s="301">
        <f t="shared" si="1"/>
        <v>17</v>
      </c>
      <c r="H21" s="223">
        <v>5</v>
      </c>
      <c r="I21" s="223">
        <v>6</v>
      </c>
      <c r="J21" s="301">
        <f t="shared" si="2"/>
        <v>11</v>
      </c>
      <c r="K21" s="191">
        <v>6</v>
      </c>
      <c r="L21" s="191">
        <v>7</v>
      </c>
      <c r="M21" s="191">
        <f t="shared" si="3"/>
        <v>13</v>
      </c>
      <c r="AQ21" s="190" t="s">
        <v>87</v>
      </c>
      <c r="AR21" s="223">
        <v>11</v>
      </c>
      <c r="AS21" s="223">
        <v>0</v>
      </c>
      <c r="AT21" s="301">
        <f t="shared" si="4"/>
        <v>11</v>
      </c>
      <c r="AU21" s="191">
        <v>16</v>
      </c>
      <c r="AV21" s="191">
        <v>0</v>
      </c>
      <c r="AW21" s="192">
        <f t="shared" si="5"/>
        <v>16</v>
      </c>
      <c r="AX21" s="191">
        <v>17</v>
      </c>
      <c r="AY21" s="191">
        <v>0</v>
      </c>
      <c r="AZ21" s="192">
        <f t="shared" si="6"/>
        <v>17</v>
      </c>
      <c r="BA21" s="191">
        <v>11</v>
      </c>
      <c r="BB21" s="191">
        <v>2</v>
      </c>
      <c r="BC21" s="191">
        <f t="shared" si="7"/>
        <v>13</v>
      </c>
    </row>
    <row r="22" spans="1:55" x14ac:dyDescent="0.25">
      <c r="A22" s="190" t="s">
        <v>129</v>
      </c>
      <c r="B22" s="223">
        <v>13</v>
      </c>
      <c r="C22" s="223">
        <v>17</v>
      </c>
      <c r="D22" s="301">
        <f t="shared" si="0"/>
        <v>30</v>
      </c>
      <c r="E22" s="223">
        <v>6</v>
      </c>
      <c r="F22" s="223">
        <v>16</v>
      </c>
      <c r="G22" s="301">
        <f t="shared" si="1"/>
        <v>22</v>
      </c>
      <c r="H22" s="223">
        <v>14</v>
      </c>
      <c r="I22" s="223">
        <v>10</v>
      </c>
      <c r="J22" s="301">
        <f t="shared" si="2"/>
        <v>24</v>
      </c>
      <c r="K22" s="191">
        <v>12</v>
      </c>
      <c r="L22" s="191">
        <v>13</v>
      </c>
      <c r="M22" s="191">
        <f t="shared" si="3"/>
        <v>25</v>
      </c>
      <c r="AQ22" s="190" t="s">
        <v>129</v>
      </c>
      <c r="AR22" s="223">
        <v>38</v>
      </c>
      <c r="AS22" s="223">
        <v>1</v>
      </c>
      <c r="AT22" s="301">
        <f t="shared" si="4"/>
        <v>39</v>
      </c>
      <c r="AU22" s="191">
        <v>26</v>
      </c>
      <c r="AV22" s="191">
        <v>1</v>
      </c>
      <c r="AW22" s="192">
        <f t="shared" si="5"/>
        <v>27</v>
      </c>
      <c r="AX22" s="191">
        <v>30</v>
      </c>
      <c r="AY22" s="191">
        <v>0</v>
      </c>
      <c r="AZ22" s="192">
        <f t="shared" si="6"/>
        <v>30</v>
      </c>
      <c r="BA22" s="191">
        <v>27</v>
      </c>
      <c r="BB22" s="191">
        <v>1</v>
      </c>
      <c r="BC22" s="191">
        <f t="shared" si="7"/>
        <v>28</v>
      </c>
    </row>
    <row r="23" spans="1:55" x14ac:dyDescent="0.25">
      <c r="A23" s="190" t="s">
        <v>130</v>
      </c>
      <c r="B23" s="223">
        <v>15</v>
      </c>
      <c r="C23" s="223">
        <v>21</v>
      </c>
      <c r="D23" s="301">
        <f t="shared" si="0"/>
        <v>36</v>
      </c>
      <c r="E23" s="223">
        <v>21</v>
      </c>
      <c r="F23" s="223">
        <v>23</v>
      </c>
      <c r="G23" s="301">
        <f t="shared" si="1"/>
        <v>44</v>
      </c>
      <c r="H23" s="223">
        <v>21</v>
      </c>
      <c r="I23" s="223">
        <v>22</v>
      </c>
      <c r="J23" s="301">
        <f t="shared" si="2"/>
        <v>43</v>
      </c>
      <c r="K23" s="191">
        <v>15</v>
      </c>
      <c r="L23" s="191">
        <v>12</v>
      </c>
      <c r="M23" s="191">
        <f t="shared" si="3"/>
        <v>27</v>
      </c>
      <c r="AQ23" s="190" t="s">
        <v>130</v>
      </c>
      <c r="AR23" s="223">
        <v>39</v>
      </c>
      <c r="AS23" s="223">
        <v>3</v>
      </c>
      <c r="AT23" s="301">
        <f t="shared" si="4"/>
        <v>42</v>
      </c>
      <c r="AU23" s="191">
        <v>47</v>
      </c>
      <c r="AV23" s="191">
        <v>2</v>
      </c>
      <c r="AW23" s="192">
        <f t="shared" si="5"/>
        <v>49</v>
      </c>
      <c r="AX23" s="191">
        <v>42</v>
      </c>
      <c r="AY23" s="191">
        <v>0</v>
      </c>
      <c r="AZ23" s="192">
        <f t="shared" si="6"/>
        <v>42</v>
      </c>
      <c r="BA23" s="191">
        <v>39</v>
      </c>
      <c r="BB23" s="191">
        <v>1</v>
      </c>
      <c r="BC23" s="191">
        <f t="shared" si="7"/>
        <v>40</v>
      </c>
    </row>
    <row r="24" spans="1:55" x14ac:dyDescent="0.25">
      <c r="A24" s="190" t="s">
        <v>131</v>
      </c>
      <c r="B24" s="223">
        <v>14</v>
      </c>
      <c r="C24" s="223">
        <v>12</v>
      </c>
      <c r="D24" s="301">
        <f t="shared" si="0"/>
        <v>26</v>
      </c>
      <c r="E24" s="223">
        <v>20</v>
      </c>
      <c r="F24" s="223">
        <v>18</v>
      </c>
      <c r="G24" s="301">
        <f t="shared" si="1"/>
        <v>38</v>
      </c>
      <c r="H24" s="223">
        <v>14</v>
      </c>
      <c r="I24" s="223">
        <v>10</v>
      </c>
      <c r="J24" s="301">
        <f t="shared" si="2"/>
        <v>24</v>
      </c>
      <c r="K24" s="191">
        <v>17</v>
      </c>
      <c r="L24" s="191">
        <v>9</v>
      </c>
      <c r="M24" s="191">
        <f t="shared" si="3"/>
        <v>26</v>
      </c>
      <c r="AQ24" s="190" t="s">
        <v>131</v>
      </c>
      <c r="AR24" s="223">
        <v>17</v>
      </c>
      <c r="AS24" s="223">
        <v>1</v>
      </c>
      <c r="AT24" s="301">
        <f t="shared" si="4"/>
        <v>18</v>
      </c>
      <c r="AU24" s="191">
        <v>19</v>
      </c>
      <c r="AV24" s="191">
        <v>1</v>
      </c>
      <c r="AW24" s="192">
        <f t="shared" si="5"/>
        <v>20</v>
      </c>
      <c r="AX24" s="191">
        <v>17</v>
      </c>
      <c r="AY24" s="191">
        <v>0</v>
      </c>
      <c r="AZ24" s="192">
        <f t="shared" si="6"/>
        <v>17</v>
      </c>
      <c r="BA24" s="191">
        <v>24</v>
      </c>
      <c r="BB24" s="191">
        <v>1</v>
      </c>
      <c r="BC24" s="191">
        <f t="shared" si="7"/>
        <v>25</v>
      </c>
    </row>
    <row r="25" spans="1:55" x14ac:dyDescent="0.25">
      <c r="A25" s="190" t="s">
        <v>125</v>
      </c>
      <c r="B25" s="223">
        <v>8</v>
      </c>
      <c r="C25" s="223">
        <v>7</v>
      </c>
      <c r="D25" s="301">
        <f t="shared" si="0"/>
        <v>15</v>
      </c>
      <c r="E25" s="223">
        <v>10</v>
      </c>
      <c r="F25" s="223">
        <v>7</v>
      </c>
      <c r="G25" s="301">
        <f t="shared" si="1"/>
        <v>17</v>
      </c>
      <c r="H25" s="223">
        <v>9</v>
      </c>
      <c r="I25" s="223">
        <v>7</v>
      </c>
      <c r="J25" s="301">
        <f t="shared" si="2"/>
        <v>16</v>
      </c>
      <c r="K25" s="191">
        <v>5</v>
      </c>
      <c r="L25" s="191">
        <v>4</v>
      </c>
      <c r="M25" s="191">
        <f t="shared" si="3"/>
        <v>9</v>
      </c>
      <c r="AQ25" s="190" t="s">
        <v>125</v>
      </c>
      <c r="AR25" s="223">
        <v>0</v>
      </c>
      <c r="AS25" s="223">
        <v>0</v>
      </c>
      <c r="AT25" s="301">
        <f t="shared" si="4"/>
        <v>0</v>
      </c>
      <c r="AU25" s="191">
        <v>4</v>
      </c>
      <c r="AV25" s="191">
        <v>0</v>
      </c>
      <c r="AW25" s="192">
        <f t="shared" si="5"/>
        <v>4</v>
      </c>
      <c r="AX25" s="191">
        <v>10</v>
      </c>
      <c r="AY25" s="191">
        <v>0</v>
      </c>
      <c r="AZ25" s="192">
        <f t="shared" si="6"/>
        <v>10</v>
      </c>
      <c r="BA25" s="191">
        <v>12</v>
      </c>
      <c r="BB25" s="191">
        <v>0</v>
      </c>
      <c r="BC25" s="191">
        <f t="shared" si="7"/>
        <v>12</v>
      </c>
    </row>
    <row r="26" spans="1:55" x14ac:dyDescent="0.25">
      <c r="A26" s="190" t="s">
        <v>9</v>
      </c>
      <c r="B26" s="223">
        <v>22</v>
      </c>
      <c r="C26" s="223">
        <v>14</v>
      </c>
      <c r="D26" s="301">
        <f t="shared" si="0"/>
        <v>36</v>
      </c>
      <c r="E26" s="223">
        <v>25</v>
      </c>
      <c r="F26" s="223">
        <v>13</v>
      </c>
      <c r="G26" s="301">
        <f t="shared" si="1"/>
        <v>38</v>
      </c>
      <c r="H26" s="223">
        <v>34</v>
      </c>
      <c r="I26" s="223">
        <v>15</v>
      </c>
      <c r="J26" s="301">
        <f t="shared" si="2"/>
        <v>49</v>
      </c>
      <c r="K26" s="191">
        <v>27</v>
      </c>
      <c r="L26" s="191">
        <v>15</v>
      </c>
      <c r="M26" s="191">
        <f t="shared" si="3"/>
        <v>42</v>
      </c>
      <c r="AQ26" s="190" t="s">
        <v>9</v>
      </c>
      <c r="AR26" s="223">
        <v>25</v>
      </c>
      <c r="AS26" s="223">
        <v>0</v>
      </c>
      <c r="AT26" s="301">
        <f t="shared" si="4"/>
        <v>25</v>
      </c>
      <c r="AU26" s="191">
        <v>25</v>
      </c>
      <c r="AV26" s="191">
        <v>1</v>
      </c>
      <c r="AW26" s="192">
        <f t="shared" si="5"/>
        <v>26</v>
      </c>
      <c r="AX26" s="191">
        <v>32</v>
      </c>
      <c r="AY26" s="191">
        <v>0</v>
      </c>
      <c r="AZ26" s="192">
        <f t="shared" si="6"/>
        <v>32</v>
      </c>
      <c r="BA26" s="191">
        <v>33</v>
      </c>
      <c r="BB26" s="191">
        <v>0</v>
      </c>
      <c r="BC26" s="191">
        <f t="shared" si="7"/>
        <v>33</v>
      </c>
    </row>
    <row r="27" spans="1:55" x14ac:dyDescent="0.25">
      <c r="A27" s="190" t="s">
        <v>12</v>
      </c>
      <c r="B27" s="223">
        <v>18</v>
      </c>
      <c r="C27" s="223">
        <v>11</v>
      </c>
      <c r="D27" s="301">
        <f t="shared" si="0"/>
        <v>29</v>
      </c>
      <c r="E27" s="223">
        <v>10</v>
      </c>
      <c r="F27" s="223">
        <v>6</v>
      </c>
      <c r="G27" s="301">
        <f t="shared" si="1"/>
        <v>16</v>
      </c>
      <c r="H27" s="223">
        <v>21</v>
      </c>
      <c r="I27" s="223">
        <v>8</v>
      </c>
      <c r="J27" s="301">
        <f t="shared" si="2"/>
        <v>29</v>
      </c>
      <c r="K27" s="191">
        <v>28</v>
      </c>
      <c r="L27" s="191">
        <v>9</v>
      </c>
      <c r="M27" s="191">
        <f t="shared" si="3"/>
        <v>37</v>
      </c>
      <c r="AQ27" s="190" t="s">
        <v>12</v>
      </c>
      <c r="AR27" s="223">
        <v>19</v>
      </c>
      <c r="AS27" s="223">
        <v>1</v>
      </c>
      <c r="AT27" s="301">
        <f t="shared" si="4"/>
        <v>20</v>
      </c>
      <c r="AU27" s="191">
        <v>14</v>
      </c>
      <c r="AV27" s="191">
        <v>0</v>
      </c>
      <c r="AW27" s="192">
        <f t="shared" si="5"/>
        <v>14</v>
      </c>
      <c r="AX27" s="191">
        <v>19</v>
      </c>
      <c r="AY27" s="191">
        <v>0</v>
      </c>
      <c r="AZ27" s="192">
        <f t="shared" si="6"/>
        <v>19</v>
      </c>
      <c r="BA27" s="191">
        <v>23</v>
      </c>
      <c r="BB27" s="191">
        <v>0</v>
      </c>
      <c r="BC27" s="191">
        <f t="shared" si="7"/>
        <v>23</v>
      </c>
    </row>
    <row r="28" spans="1:55" x14ac:dyDescent="0.25">
      <c r="A28" s="190" t="s">
        <v>117</v>
      </c>
      <c r="B28" s="223">
        <v>10</v>
      </c>
      <c r="C28" s="223">
        <v>10</v>
      </c>
      <c r="D28" s="301">
        <f t="shared" si="0"/>
        <v>20</v>
      </c>
      <c r="E28" s="223">
        <v>12</v>
      </c>
      <c r="F28" s="223">
        <v>8</v>
      </c>
      <c r="G28" s="301">
        <f t="shared" si="1"/>
        <v>20</v>
      </c>
      <c r="H28" s="223">
        <v>11</v>
      </c>
      <c r="I28" s="223">
        <v>7</v>
      </c>
      <c r="J28" s="301">
        <f t="shared" si="2"/>
        <v>18</v>
      </c>
      <c r="K28" s="191">
        <v>10</v>
      </c>
      <c r="L28" s="191">
        <v>8</v>
      </c>
      <c r="M28" s="191">
        <f t="shared" si="3"/>
        <v>18</v>
      </c>
      <c r="AQ28" s="190" t="s">
        <v>117</v>
      </c>
      <c r="AR28" s="223">
        <v>10</v>
      </c>
      <c r="AS28" s="223">
        <v>1</v>
      </c>
      <c r="AT28" s="301">
        <f t="shared" si="4"/>
        <v>11</v>
      </c>
      <c r="AU28" s="191">
        <v>18</v>
      </c>
      <c r="AV28" s="191">
        <v>0</v>
      </c>
      <c r="AW28" s="192">
        <f t="shared" si="5"/>
        <v>18</v>
      </c>
      <c r="AX28" s="191">
        <v>18</v>
      </c>
      <c r="AY28" s="191">
        <v>2</v>
      </c>
      <c r="AZ28" s="192">
        <f t="shared" si="6"/>
        <v>20</v>
      </c>
      <c r="BA28" s="191">
        <v>18</v>
      </c>
      <c r="BB28" s="191">
        <v>0</v>
      </c>
      <c r="BC28" s="191">
        <f t="shared" si="7"/>
        <v>18</v>
      </c>
    </row>
    <row r="29" spans="1:55" x14ac:dyDescent="0.25">
      <c r="A29" s="190" t="s">
        <v>132</v>
      </c>
      <c r="B29" s="223">
        <v>4</v>
      </c>
      <c r="C29" s="223">
        <v>2</v>
      </c>
      <c r="D29" s="301">
        <f t="shared" si="0"/>
        <v>6</v>
      </c>
      <c r="E29" s="223">
        <v>4</v>
      </c>
      <c r="F29" s="223">
        <v>4</v>
      </c>
      <c r="G29" s="301">
        <f t="shared" si="1"/>
        <v>8</v>
      </c>
      <c r="H29" s="223">
        <v>3</v>
      </c>
      <c r="I29" s="223">
        <v>0</v>
      </c>
      <c r="J29" s="301">
        <f t="shared" si="2"/>
        <v>3</v>
      </c>
      <c r="K29" s="191">
        <v>3</v>
      </c>
      <c r="L29" s="191">
        <v>3</v>
      </c>
      <c r="M29" s="191">
        <f t="shared" si="3"/>
        <v>6</v>
      </c>
      <c r="AQ29" s="190" t="s">
        <v>132</v>
      </c>
      <c r="AR29" s="223">
        <v>7</v>
      </c>
      <c r="AS29" s="223">
        <v>0</v>
      </c>
      <c r="AT29" s="301">
        <f t="shared" si="4"/>
        <v>7</v>
      </c>
      <c r="AU29" s="191">
        <v>6</v>
      </c>
      <c r="AV29" s="191">
        <v>0</v>
      </c>
      <c r="AW29" s="192">
        <f t="shared" si="5"/>
        <v>6</v>
      </c>
      <c r="AX29" s="191">
        <v>9</v>
      </c>
      <c r="AY29" s="191">
        <v>0</v>
      </c>
      <c r="AZ29" s="192">
        <f t="shared" si="6"/>
        <v>9</v>
      </c>
      <c r="BA29" s="191">
        <v>9</v>
      </c>
      <c r="BB29" s="191">
        <v>0</v>
      </c>
      <c r="BC29" s="191">
        <f t="shared" si="7"/>
        <v>9</v>
      </c>
    </row>
    <row r="30" spans="1:55" x14ac:dyDescent="0.25">
      <c r="A30" s="190" t="s">
        <v>114</v>
      </c>
      <c r="B30" s="223">
        <v>8</v>
      </c>
      <c r="C30" s="223">
        <v>6</v>
      </c>
      <c r="D30" s="301">
        <f t="shared" si="0"/>
        <v>14</v>
      </c>
      <c r="E30" s="223">
        <v>15</v>
      </c>
      <c r="F30" s="223">
        <v>6</v>
      </c>
      <c r="G30" s="301">
        <f t="shared" si="1"/>
        <v>21</v>
      </c>
      <c r="H30" s="223">
        <v>11</v>
      </c>
      <c r="I30" s="223">
        <v>8</v>
      </c>
      <c r="J30" s="301">
        <f t="shared" si="2"/>
        <v>19</v>
      </c>
      <c r="K30" s="191">
        <v>19</v>
      </c>
      <c r="L30" s="191">
        <v>6</v>
      </c>
      <c r="M30" s="191">
        <f t="shared" si="3"/>
        <v>25</v>
      </c>
      <c r="AQ30" s="190" t="s">
        <v>114</v>
      </c>
      <c r="AR30" s="223">
        <v>14</v>
      </c>
      <c r="AS30" s="223">
        <v>0</v>
      </c>
      <c r="AT30" s="301">
        <f t="shared" si="4"/>
        <v>14</v>
      </c>
      <c r="AU30" s="191">
        <v>17</v>
      </c>
      <c r="AV30" s="191">
        <v>1</v>
      </c>
      <c r="AW30" s="192">
        <f t="shared" si="5"/>
        <v>18</v>
      </c>
      <c r="AX30" s="191">
        <v>20</v>
      </c>
      <c r="AY30" s="191">
        <v>0</v>
      </c>
      <c r="AZ30" s="192">
        <f t="shared" si="6"/>
        <v>20</v>
      </c>
      <c r="BA30" s="191">
        <v>18</v>
      </c>
      <c r="BB30" s="191">
        <v>0</v>
      </c>
      <c r="BC30" s="191">
        <f t="shared" si="7"/>
        <v>18</v>
      </c>
    </row>
    <row r="31" spans="1:55" x14ac:dyDescent="0.25">
      <c r="A31" s="190" t="s">
        <v>121</v>
      </c>
      <c r="B31" s="223">
        <v>6</v>
      </c>
      <c r="C31" s="223">
        <v>6</v>
      </c>
      <c r="D31" s="301">
        <f t="shared" si="0"/>
        <v>12</v>
      </c>
      <c r="E31" s="223">
        <v>7</v>
      </c>
      <c r="F31" s="223">
        <v>1</v>
      </c>
      <c r="G31" s="301">
        <f t="shared" si="1"/>
        <v>8</v>
      </c>
      <c r="H31" s="223">
        <v>8</v>
      </c>
      <c r="I31" s="223">
        <v>6</v>
      </c>
      <c r="J31" s="301">
        <f t="shared" si="2"/>
        <v>14</v>
      </c>
      <c r="K31" s="191">
        <v>9</v>
      </c>
      <c r="L31" s="191">
        <v>5</v>
      </c>
      <c r="M31" s="191">
        <f t="shared" si="3"/>
        <v>14</v>
      </c>
      <c r="AQ31" s="190" t="s">
        <v>121</v>
      </c>
      <c r="AR31" s="223">
        <v>11</v>
      </c>
      <c r="AS31" s="223">
        <v>0</v>
      </c>
      <c r="AT31" s="301">
        <f t="shared" si="4"/>
        <v>11</v>
      </c>
      <c r="AU31" s="191">
        <v>10</v>
      </c>
      <c r="AV31" s="191">
        <v>0</v>
      </c>
      <c r="AW31" s="192">
        <f t="shared" si="5"/>
        <v>10</v>
      </c>
      <c r="AX31" s="191">
        <v>13</v>
      </c>
      <c r="AY31" s="191">
        <v>2</v>
      </c>
      <c r="AZ31" s="192">
        <f t="shared" si="6"/>
        <v>15</v>
      </c>
      <c r="BA31" s="191">
        <v>15</v>
      </c>
      <c r="BB31" s="191">
        <v>0</v>
      </c>
      <c r="BC31" s="191">
        <f t="shared" si="7"/>
        <v>15</v>
      </c>
    </row>
    <row r="32" spans="1:55" x14ac:dyDescent="0.25">
      <c r="A32" s="190" t="s">
        <v>113</v>
      </c>
      <c r="B32" s="223">
        <v>17</v>
      </c>
      <c r="C32" s="223">
        <v>7</v>
      </c>
      <c r="D32" s="301">
        <f t="shared" si="0"/>
        <v>24</v>
      </c>
      <c r="E32" s="223">
        <v>17</v>
      </c>
      <c r="F32" s="223">
        <v>15</v>
      </c>
      <c r="G32" s="301">
        <f t="shared" si="1"/>
        <v>32</v>
      </c>
      <c r="H32" s="223">
        <v>24</v>
      </c>
      <c r="I32" s="223">
        <v>18</v>
      </c>
      <c r="J32" s="301">
        <f t="shared" si="2"/>
        <v>42</v>
      </c>
      <c r="K32" s="191">
        <v>18</v>
      </c>
      <c r="L32" s="191">
        <v>15</v>
      </c>
      <c r="M32" s="191">
        <f t="shared" si="3"/>
        <v>33</v>
      </c>
      <c r="AQ32" s="190" t="s">
        <v>113</v>
      </c>
      <c r="AR32" s="223">
        <v>19</v>
      </c>
      <c r="AS32" s="223">
        <v>1</v>
      </c>
      <c r="AT32" s="301">
        <f t="shared" si="4"/>
        <v>20</v>
      </c>
      <c r="AU32" s="191">
        <v>21</v>
      </c>
      <c r="AV32" s="191">
        <v>0</v>
      </c>
      <c r="AW32" s="192">
        <f t="shared" si="5"/>
        <v>21</v>
      </c>
      <c r="AX32" s="191">
        <v>18</v>
      </c>
      <c r="AY32" s="191">
        <v>0</v>
      </c>
      <c r="AZ32" s="192">
        <f t="shared" si="6"/>
        <v>18</v>
      </c>
      <c r="BA32" s="191">
        <v>24</v>
      </c>
      <c r="BB32" s="191">
        <v>0</v>
      </c>
      <c r="BC32" s="191">
        <f t="shared" si="7"/>
        <v>24</v>
      </c>
    </row>
    <row r="33" spans="1:82" x14ac:dyDescent="0.25">
      <c r="A33" s="190" t="s">
        <v>103</v>
      </c>
      <c r="B33" s="223">
        <v>21</v>
      </c>
      <c r="C33" s="223">
        <v>31</v>
      </c>
      <c r="D33" s="301">
        <f t="shared" si="0"/>
        <v>52</v>
      </c>
      <c r="E33" s="223">
        <v>25</v>
      </c>
      <c r="F33" s="223">
        <v>34</v>
      </c>
      <c r="G33" s="301">
        <f t="shared" si="1"/>
        <v>59</v>
      </c>
      <c r="H33" s="223">
        <v>23</v>
      </c>
      <c r="I33" s="223">
        <v>23</v>
      </c>
      <c r="J33" s="301">
        <f t="shared" si="2"/>
        <v>46</v>
      </c>
      <c r="K33" s="191">
        <v>19</v>
      </c>
      <c r="L33" s="191">
        <v>35</v>
      </c>
      <c r="M33" s="191">
        <f t="shared" si="3"/>
        <v>54</v>
      </c>
      <c r="AQ33" s="190" t="s">
        <v>103</v>
      </c>
      <c r="AR33" s="223">
        <v>2</v>
      </c>
      <c r="AS33" s="223">
        <v>0</v>
      </c>
      <c r="AT33" s="301">
        <f t="shared" si="4"/>
        <v>2</v>
      </c>
      <c r="AU33" s="191">
        <v>2</v>
      </c>
      <c r="AV33" s="191">
        <v>0</v>
      </c>
      <c r="AW33" s="192">
        <f t="shared" si="5"/>
        <v>2</v>
      </c>
      <c r="AX33" s="191">
        <v>2</v>
      </c>
      <c r="AY33" s="191">
        <v>0</v>
      </c>
      <c r="AZ33" s="192">
        <f t="shared" si="6"/>
        <v>2</v>
      </c>
      <c r="BA33" s="191">
        <v>0</v>
      </c>
      <c r="BB33" s="191">
        <v>0</v>
      </c>
      <c r="BC33" s="191">
        <f t="shared" si="7"/>
        <v>0</v>
      </c>
    </row>
    <row r="34" spans="1:82" x14ac:dyDescent="0.25">
      <c r="A34" s="189" t="s">
        <v>144</v>
      </c>
      <c r="B34" s="223"/>
      <c r="C34" s="223"/>
      <c r="D34" s="301"/>
      <c r="E34" s="223"/>
      <c r="F34" s="223"/>
      <c r="G34" s="301"/>
      <c r="H34" s="223">
        <v>19</v>
      </c>
      <c r="I34" s="223">
        <v>10</v>
      </c>
      <c r="J34" s="301">
        <f t="shared" si="2"/>
        <v>29</v>
      </c>
      <c r="K34" s="191">
        <v>12</v>
      </c>
      <c r="L34" s="191">
        <v>13</v>
      </c>
      <c r="M34" s="191">
        <f t="shared" si="3"/>
        <v>25</v>
      </c>
      <c r="AQ34" s="190"/>
      <c r="AR34" s="223"/>
      <c r="AS34" s="223"/>
      <c r="AT34" s="301"/>
      <c r="AU34" s="191"/>
      <c r="AV34" s="191"/>
      <c r="AW34" s="192"/>
      <c r="AX34" s="191">
        <v>4</v>
      </c>
      <c r="AY34" s="191">
        <v>0</v>
      </c>
      <c r="AZ34" s="192">
        <f t="shared" si="6"/>
        <v>4</v>
      </c>
      <c r="BA34" s="191">
        <v>15</v>
      </c>
      <c r="BB34" s="191">
        <v>4</v>
      </c>
      <c r="BC34" s="191">
        <f t="shared" si="7"/>
        <v>19</v>
      </c>
    </row>
    <row r="35" spans="1:82" x14ac:dyDescent="0.25">
      <c r="A35" s="189" t="s">
        <v>145</v>
      </c>
      <c r="B35" s="223"/>
      <c r="C35" s="223"/>
      <c r="D35" s="301"/>
      <c r="E35" s="223"/>
      <c r="F35" s="223"/>
      <c r="G35" s="301"/>
      <c r="H35" s="223">
        <v>0</v>
      </c>
      <c r="I35" s="223">
        <v>3</v>
      </c>
      <c r="J35" s="301">
        <f t="shared" si="2"/>
        <v>3</v>
      </c>
      <c r="K35" s="191">
        <v>4</v>
      </c>
      <c r="L35" s="191">
        <v>2</v>
      </c>
      <c r="M35" s="191">
        <f t="shared" si="3"/>
        <v>6</v>
      </c>
      <c r="AQ35" s="190"/>
      <c r="AR35" s="223"/>
      <c r="AS35" s="223"/>
      <c r="AT35" s="301"/>
      <c r="AU35" s="191"/>
      <c r="AV35" s="191"/>
      <c r="AW35" s="192"/>
      <c r="AX35" s="191">
        <v>0</v>
      </c>
      <c r="AY35" s="191">
        <v>0</v>
      </c>
      <c r="AZ35" s="192">
        <f t="shared" si="6"/>
        <v>0</v>
      </c>
      <c r="BA35" s="191">
        <v>0</v>
      </c>
      <c r="BB35" s="191">
        <v>0</v>
      </c>
      <c r="BC35" s="191">
        <f t="shared" si="7"/>
        <v>0</v>
      </c>
    </row>
    <row r="36" spans="1:82" s="183" customFormat="1" x14ac:dyDescent="0.25">
      <c r="A36" s="299" t="s">
        <v>14</v>
      </c>
      <c r="B36" s="302">
        <f>SUM(B4:B33)</f>
        <v>448</v>
      </c>
      <c r="C36" s="302">
        <f t="shared" ref="C36:G36" si="8">SUM(C4:C33)</f>
        <v>411</v>
      </c>
      <c r="D36" s="302">
        <f t="shared" si="8"/>
        <v>859</v>
      </c>
      <c r="E36" s="302">
        <f t="shared" si="8"/>
        <v>464</v>
      </c>
      <c r="F36" s="302">
        <f t="shared" si="8"/>
        <v>426</v>
      </c>
      <c r="G36" s="302">
        <f t="shared" si="8"/>
        <v>890</v>
      </c>
      <c r="H36" s="302">
        <f>SUM(H4:H35)</f>
        <v>573</v>
      </c>
      <c r="I36" s="302">
        <f t="shared" ref="I36:M36" si="9">SUM(I4:I35)</f>
        <v>380</v>
      </c>
      <c r="J36" s="302">
        <f t="shared" si="9"/>
        <v>953</v>
      </c>
      <c r="K36" s="302">
        <f t="shared" si="9"/>
        <v>565</v>
      </c>
      <c r="L36" s="302">
        <f t="shared" si="9"/>
        <v>400</v>
      </c>
      <c r="M36" s="302">
        <f t="shared" si="9"/>
        <v>965</v>
      </c>
      <c r="AP36" s="305"/>
      <c r="AQ36" s="299" t="s">
        <v>14</v>
      </c>
      <c r="AR36" s="302">
        <f>SUM(AR4:AR33)</f>
        <v>651</v>
      </c>
      <c r="AS36" s="302">
        <f t="shared" ref="AS36" si="10">SUM(AS4:AS33)</f>
        <v>20</v>
      </c>
      <c r="AT36" s="302">
        <f>SUM(AT4:AT33)</f>
        <v>671</v>
      </c>
      <c r="AU36" s="302">
        <f t="shared" ref="AU36:AW36" si="11">SUM(AU4:AU33)</f>
        <v>696</v>
      </c>
      <c r="AV36" s="302">
        <f t="shared" si="11"/>
        <v>32</v>
      </c>
      <c r="AW36" s="302">
        <f t="shared" si="11"/>
        <v>728</v>
      </c>
      <c r="AX36" s="302">
        <f>SUM(AX4:AX35)</f>
        <v>765</v>
      </c>
      <c r="AY36" s="302">
        <f t="shared" ref="AY36:BC36" si="12">SUM(AY4:AY35)</f>
        <v>22</v>
      </c>
      <c r="AZ36" s="302">
        <f t="shared" si="12"/>
        <v>787</v>
      </c>
      <c r="BA36" s="302">
        <f t="shared" si="12"/>
        <v>813</v>
      </c>
      <c r="BB36" s="302">
        <f t="shared" si="12"/>
        <v>22</v>
      </c>
      <c r="BC36" s="302">
        <f t="shared" si="12"/>
        <v>835</v>
      </c>
    </row>
    <row r="37" spans="1:82" x14ac:dyDescent="0.25">
      <c r="A37" s="191"/>
      <c r="B37" s="191"/>
      <c r="C37" s="191"/>
      <c r="D37" s="191"/>
      <c r="E37" s="191"/>
      <c r="F37" s="191"/>
      <c r="G37" s="191"/>
      <c r="H37" s="191"/>
      <c r="I37" s="191"/>
      <c r="K37" s="191"/>
      <c r="L37" s="191"/>
      <c r="M37" s="191">
        <f>J36+G36+D36+M36</f>
        <v>3667</v>
      </c>
      <c r="AQ37" s="191"/>
      <c r="AR37" s="191"/>
      <c r="AS37" s="191"/>
      <c r="AT37" s="191"/>
      <c r="AU37" s="191"/>
      <c r="AV37" s="191"/>
      <c r="AW37" s="191"/>
      <c r="AX37" s="191"/>
      <c r="AY37" s="191"/>
      <c r="BA37" s="191"/>
      <c r="BB37" s="191"/>
      <c r="BC37" s="191">
        <f>AZ36+AW36+AT36+BC36</f>
        <v>3021</v>
      </c>
    </row>
    <row r="40" spans="1:82" x14ac:dyDescent="0.25">
      <c r="A40" s="291" t="s">
        <v>64</v>
      </c>
      <c r="B40" s="336">
        <v>45748</v>
      </c>
      <c r="C40" s="336"/>
      <c r="D40" s="336"/>
      <c r="E40" s="343">
        <v>45778</v>
      </c>
      <c r="F40" s="344"/>
      <c r="G40" s="345"/>
      <c r="H40" s="336">
        <v>45809</v>
      </c>
      <c r="I40" s="336"/>
      <c r="J40" s="336"/>
      <c r="K40" s="336">
        <v>45839</v>
      </c>
      <c r="L40" s="336"/>
      <c r="M40" s="336"/>
      <c r="N40" s="336">
        <v>45870</v>
      </c>
      <c r="O40" s="336"/>
      <c r="P40" s="336"/>
      <c r="Q40" s="336">
        <v>45901</v>
      </c>
      <c r="R40" s="336"/>
      <c r="S40" s="336"/>
      <c r="T40" s="336">
        <v>45931</v>
      </c>
      <c r="U40" s="336"/>
      <c r="V40" s="336"/>
      <c r="W40" s="336">
        <v>45962</v>
      </c>
      <c r="X40" s="336"/>
      <c r="Y40" s="336"/>
      <c r="Z40" s="336">
        <v>45992</v>
      </c>
      <c r="AA40" s="336"/>
      <c r="AB40" s="336"/>
      <c r="AC40" s="336">
        <v>46023</v>
      </c>
      <c r="AD40" s="336"/>
      <c r="AE40" s="336"/>
      <c r="AF40" s="336">
        <v>46054</v>
      </c>
      <c r="AG40" s="336"/>
      <c r="AH40" s="336"/>
      <c r="AI40" s="340">
        <v>46082</v>
      </c>
      <c r="AJ40" s="341"/>
      <c r="AK40" s="342"/>
      <c r="AL40" s="337" t="s">
        <v>44</v>
      </c>
      <c r="AM40" s="338"/>
      <c r="AN40" s="339"/>
      <c r="AQ40" s="291" t="s">
        <v>133</v>
      </c>
      <c r="AR40" s="336">
        <v>45748</v>
      </c>
      <c r="AS40" s="336"/>
      <c r="AT40" s="336"/>
      <c r="AU40" s="336">
        <v>45778</v>
      </c>
      <c r="AV40" s="336"/>
      <c r="AW40" s="336"/>
      <c r="AX40" s="336">
        <v>45809</v>
      </c>
      <c r="AY40" s="336"/>
      <c r="AZ40" s="336"/>
      <c r="BA40" s="336">
        <v>45839</v>
      </c>
      <c r="BB40" s="336"/>
      <c r="BC40" s="336"/>
      <c r="BD40" s="336">
        <v>45870</v>
      </c>
      <c r="BE40" s="336"/>
      <c r="BF40" s="336"/>
      <c r="BG40" s="336">
        <v>45901</v>
      </c>
      <c r="BH40" s="336"/>
      <c r="BI40" s="336"/>
      <c r="BJ40" s="336">
        <v>45931</v>
      </c>
      <c r="BK40" s="336"/>
      <c r="BL40" s="336"/>
      <c r="BM40" s="336">
        <v>45962</v>
      </c>
      <c r="BN40" s="336"/>
      <c r="BO40" s="336"/>
      <c r="BP40" s="336">
        <v>45992</v>
      </c>
      <c r="BQ40" s="336"/>
      <c r="BR40" s="336"/>
      <c r="BS40" s="336">
        <v>46023</v>
      </c>
      <c r="BT40" s="336"/>
      <c r="BU40" s="336"/>
      <c r="BV40" s="336">
        <v>46054</v>
      </c>
      <c r="BW40" s="336"/>
      <c r="BX40" s="336"/>
      <c r="BY40" s="346">
        <v>46082</v>
      </c>
      <c r="BZ40" s="346"/>
      <c r="CA40" s="346"/>
      <c r="CB40" s="347" t="s">
        <v>44</v>
      </c>
      <c r="CC40" s="347"/>
      <c r="CD40" s="347"/>
    </row>
    <row r="41" spans="1:82" x14ac:dyDescent="0.25">
      <c r="A41" s="176" t="s">
        <v>102</v>
      </c>
      <c r="B41" s="187" t="s">
        <v>15</v>
      </c>
      <c r="C41" s="187" t="s">
        <v>16</v>
      </c>
      <c r="D41" s="187" t="s">
        <v>32</v>
      </c>
      <c r="E41" s="187" t="s">
        <v>15</v>
      </c>
      <c r="F41" s="187" t="s">
        <v>16</v>
      </c>
      <c r="G41" s="187" t="s">
        <v>32</v>
      </c>
      <c r="H41" s="187" t="s">
        <v>15</v>
      </c>
      <c r="I41" s="187" t="s">
        <v>16</v>
      </c>
      <c r="J41" s="187" t="s">
        <v>32</v>
      </c>
      <c r="K41" s="187" t="s">
        <v>15</v>
      </c>
      <c r="L41" s="187" t="s">
        <v>16</v>
      </c>
      <c r="M41" s="187" t="s">
        <v>32</v>
      </c>
      <c r="N41" s="187" t="s">
        <v>15</v>
      </c>
      <c r="O41" s="187" t="s">
        <v>16</v>
      </c>
      <c r="P41" s="187" t="s">
        <v>32</v>
      </c>
      <c r="Q41" s="187" t="s">
        <v>15</v>
      </c>
      <c r="R41" s="187" t="s">
        <v>16</v>
      </c>
      <c r="S41" s="187" t="s">
        <v>32</v>
      </c>
      <c r="T41" s="187" t="s">
        <v>15</v>
      </c>
      <c r="U41" s="187" t="s">
        <v>16</v>
      </c>
      <c r="V41" s="187" t="s">
        <v>32</v>
      </c>
      <c r="W41" s="187" t="s">
        <v>15</v>
      </c>
      <c r="X41" s="187" t="s">
        <v>16</v>
      </c>
      <c r="Y41" s="187" t="s">
        <v>32</v>
      </c>
      <c r="Z41" s="187" t="s">
        <v>15</v>
      </c>
      <c r="AA41" s="187" t="s">
        <v>16</v>
      </c>
      <c r="AB41" s="187" t="s">
        <v>32</v>
      </c>
      <c r="AC41" s="187" t="s">
        <v>15</v>
      </c>
      <c r="AD41" s="187" t="s">
        <v>16</v>
      </c>
      <c r="AE41" s="187" t="s">
        <v>32</v>
      </c>
      <c r="AF41" s="187" t="s">
        <v>15</v>
      </c>
      <c r="AG41" s="187" t="s">
        <v>16</v>
      </c>
      <c r="AH41" s="187" t="s">
        <v>32</v>
      </c>
      <c r="AI41" s="177" t="s">
        <v>15</v>
      </c>
      <c r="AJ41" s="177" t="s">
        <v>16</v>
      </c>
      <c r="AK41" s="177" t="s">
        <v>14</v>
      </c>
      <c r="AL41" s="177" t="s">
        <v>15</v>
      </c>
      <c r="AM41" s="177" t="s">
        <v>16</v>
      </c>
      <c r="AN41" s="177" t="s">
        <v>14</v>
      </c>
      <c r="AO41" s="174" t="s">
        <v>65</v>
      </c>
      <c r="AQ41" s="176" t="s">
        <v>102</v>
      </c>
      <c r="AR41" s="187" t="s">
        <v>15</v>
      </c>
      <c r="AS41" s="187" t="s">
        <v>16</v>
      </c>
      <c r="AT41" s="187" t="s">
        <v>32</v>
      </c>
      <c r="AU41" s="187" t="s">
        <v>15</v>
      </c>
      <c r="AV41" s="187" t="s">
        <v>16</v>
      </c>
      <c r="AW41" s="187" t="s">
        <v>32</v>
      </c>
      <c r="AX41" s="187" t="s">
        <v>15</v>
      </c>
      <c r="AY41" s="187" t="s">
        <v>16</v>
      </c>
      <c r="AZ41" s="187" t="s">
        <v>32</v>
      </c>
      <c r="BA41" s="187" t="s">
        <v>15</v>
      </c>
      <c r="BB41" s="187" t="s">
        <v>16</v>
      </c>
      <c r="BC41" s="187" t="s">
        <v>32</v>
      </c>
      <c r="BD41" s="187" t="s">
        <v>15</v>
      </c>
      <c r="BE41" s="187" t="s">
        <v>16</v>
      </c>
      <c r="BF41" s="187" t="s">
        <v>32</v>
      </c>
      <c r="BG41" s="187" t="s">
        <v>15</v>
      </c>
      <c r="BH41" s="187" t="s">
        <v>16</v>
      </c>
      <c r="BI41" s="187" t="s">
        <v>32</v>
      </c>
      <c r="BJ41" s="187" t="s">
        <v>15</v>
      </c>
      <c r="BK41" s="187" t="s">
        <v>16</v>
      </c>
      <c r="BL41" s="187" t="s">
        <v>32</v>
      </c>
      <c r="BM41" s="187" t="s">
        <v>15</v>
      </c>
      <c r="BN41" s="187" t="s">
        <v>16</v>
      </c>
      <c r="BO41" s="187" t="s">
        <v>32</v>
      </c>
      <c r="BP41" s="187" t="s">
        <v>15</v>
      </c>
      <c r="BQ41" s="187" t="s">
        <v>16</v>
      </c>
      <c r="BR41" s="187" t="s">
        <v>32</v>
      </c>
      <c r="BS41" s="187" t="s">
        <v>15</v>
      </c>
      <c r="BT41" s="187" t="s">
        <v>16</v>
      </c>
      <c r="BU41" s="187" t="s">
        <v>32</v>
      </c>
      <c r="BV41" s="187" t="s">
        <v>15</v>
      </c>
      <c r="BW41" s="187" t="s">
        <v>16</v>
      </c>
      <c r="BX41" s="187" t="s">
        <v>32</v>
      </c>
      <c r="BY41" s="177" t="s">
        <v>15</v>
      </c>
      <c r="BZ41" s="177" t="s">
        <v>16</v>
      </c>
      <c r="CA41" s="177" t="s">
        <v>14</v>
      </c>
      <c r="CB41" s="177" t="s">
        <v>15</v>
      </c>
      <c r="CC41" s="177" t="s">
        <v>16</v>
      </c>
      <c r="CD41" s="177" t="s">
        <v>14</v>
      </c>
    </row>
    <row r="42" spans="1:82" x14ac:dyDescent="0.25">
      <c r="A42" s="188" t="s">
        <v>4</v>
      </c>
      <c r="B42" s="235">
        <v>29</v>
      </c>
      <c r="C42" s="235">
        <v>36</v>
      </c>
      <c r="D42" s="236">
        <v>65</v>
      </c>
      <c r="E42" s="174">
        <v>32</v>
      </c>
      <c r="F42" s="174">
        <v>29</v>
      </c>
      <c r="G42" s="174">
        <f>E42+F42</f>
        <v>61</v>
      </c>
      <c r="H42" s="174">
        <v>27</v>
      </c>
      <c r="I42" s="174">
        <v>17</v>
      </c>
      <c r="J42" s="183">
        <f>H42+I42</f>
        <v>44</v>
      </c>
      <c r="K42" s="174">
        <v>28</v>
      </c>
      <c r="L42" s="174">
        <v>24</v>
      </c>
      <c r="M42" s="183">
        <f>K42+L42</f>
        <v>52</v>
      </c>
      <c r="N42" s="174">
        <v>27</v>
      </c>
      <c r="O42" s="174">
        <v>28</v>
      </c>
      <c r="P42" s="183">
        <f>N42+O42</f>
        <v>55</v>
      </c>
      <c r="Q42" s="174">
        <v>32</v>
      </c>
      <c r="R42" s="174">
        <v>31</v>
      </c>
      <c r="S42" s="183">
        <f>Q42+R42</f>
        <v>63</v>
      </c>
      <c r="T42" s="235">
        <v>38</v>
      </c>
      <c r="U42" s="235">
        <v>44</v>
      </c>
      <c r="V42" s="236">
        <f>T42+U42</f>
        <v>82</v>
      </c>
      <c r="W42" s="174">
        <v>25</v>
      </c>
      <c r="X42" s="174">
        <v>38</v>
      </c>
      <c r="Y42" s="183">
        <f>W42+X42</f>
        <v>63</v>
      </c>
      <c r="Z42" s="174">
        <v>26</v>
      </c>
      <c r="AA42" s="174">
        <v>25</v>
      </c>
      <c r="AB42" s="174">
        <f>Z42+AA42</f>
        <v>51</v>
      </c>
      <c r="AC42" s="174">
        <v>19</v>
      </c>
      <c r="AD42" s="174">
        <v>31</v>
      </c>
      <c r="AE42" s="183">
        <f>AC42+AD42</f>
        <v>50</v>
      </c>
      <c r="AF42" s="174">
        <v>24</v>
      </c>
      <c r="AG42" s="174">
        <v>41</v>
      </c>
      <c r="AH42" s="183">
        <f>AF42+AG42</f>
        <v>65</v>
      </c>
      <c r="AI42" s="174">
        <v>21</v>
      </c>
      <c r="AJ42" s="174">
        <v>20</v>
      </c>
      <c r="AK42" s="183">
        <f>AI42+AJ42</f>
        <v>41</v>
      </c>
      <c r="AL42" s="183">
        <f>B42+E42+H42+K42+N42+Q42+T42+W42+Z42+AC42+AF42+AI42</f>
        <v>328</v>
      </c>
      <c r="AM42" s="183">
        <f t="shared" ref="AM42" si="13">C42+F42+I42+L42+O42+R42+U42+X42+AA42+AD42+AG42+AJ42</f>
        <v>364</v>
      </c>
      <c r="AN42" s="183">
        <f>AL42+AM42</f>
        <v>692</v>
      </c>
      <c r="AO42" s="174">
        <v>12</v>
      </c>
      <c r="AQ42" s="192" t="str">
        <f>A42</f>
        <v>AHMEDABAD</v>
      </c>
      <c r="AR42" s="191">
        <v>60</v>
      </c>
      <c r="AS42" s="191">
        <v>1</v>
      </c>
      <c r="AT42" s="192">
        <f>AR42+AS42</f>
        <v>61</v>
      </c>
      <c r="AU42" s="191">
        <v>49</v>
      </c>
      <c r="AV42" s="191">
        <v>1</v>
      </c>
      <c r="AW42" s="192">
        <f>AU42+AV42</f>
        <v>50</v>
      </c>
      <c r="AX42" s="191">
        <v>61</v>
      </c>
      <c r="AY42" s="191">
        <v>0</v>
      </c>
      <c r="AZ42" s="192">
        <f>AX42+AY42</f>
        <v>61</v>
      </c>
      <c r="BA42" s="191">
        <v>64</v>
      </c>
      <c r="BB42" s="191">
        <v>4</v>
      </c>
      <c r="BC42" s="192">
        <f>BA42+BB42</f>
        <v>68</v>
      </c>
      <c r="BD42" s="191">
        <v>49</v>
      </c>
      <c r="BE42" s="191">
        <v>0</v>
      </c>
      <c r="BF42" s="192">
        <f>BD42+BE42</f>
        <v>49</v>
      </c>
      <c r="BG42" s="191">
        <v>57</v>
      </c>
      <c r="BH42" s="191">
        <v>0</v>
      </c>
      <c r="BI42" s="192">
        <f>BG42+BH42</f>
        <v>57</v>
      </c>
      <c r="BJ42" s="191">
        <v>62</v>
      </c>
      <c r="BK42" s="191">
        <v>1</v>
      </c>
      <c r="BL42" s="192">
        <f>BJ42+BK42</f>
        <v>63</v>
      </c>
      <c r="BM42" s="191">
        <v>60</v>
      </c>
      <c r="BN42" s="191">
        <v>1</v>
      </c>
      <c r="BO42" s="192">
        <f>BM42+BN42</f>
        <v>61</v>
      </c>
      <c r="BP42" s="191">
        <v>64</v>
      </c>
      <c r="BQ42" s="191">
        <v>1</v>
      </c>
      <c r="BR42" s="192">
        <f>BP42+BQ42</f>
        <v>65</v>
      </c>
      <c r="BS42" s="191">
        <v>52</v>
      </c>
      <c r="BT42" s="191">
        <v>3</v>
      </c>
      <c r="BU42" s="192">
        <f>BS42+BT42</f>
        <v>55</v>
      </c>
      <c r="BV42" s="191">
        <v>47</v>
      </c>
      <c r="BW42" s="191">
        <v>1</v>
      </c>
      <c r="BX42" s="192">
        <f>BV42+BW42</f>
        <v>48</v>
      </c>
      <c r="BY42" s="191">
        <v>52</v>
      </c>
      <c r="BZ42" s="191">
        <v>1</v>
      </c>
      <c r="CA42" s="192">
        <f>BY42+BZ42</f>
        <v>53</v>
      </c>
      <c r="CB42" s="192">
        <f>AR42+AU42+AX42+BA42+BD42+BG42+BJ42+BM42+BP42+BS42+BV42+BY42</f>
        <v>677</v>
      </c>
      <c r="CC42" s="192">
        <f t="shared" ref="CC42:CD42" si="14">AS42+AV42+AY42+BB42+BE42+BH42+BK42+BN42+BQ42+BT42+BW42+BZ42</f>
        <v>14</v>
      </c>
      <c r="CD42" s="192">
        <f t="shared" si="14"/>
        <v>691</v>
      </c>
    </row>
    <row r="43" spans="1:82" x14ac:dyDescent="0.25">
      <c r="A43" s="188" t="s">
        <v>8</v>
      </c>
      <c r="B43" s="235">
        <v>14</v>
      </c>
      <c r="C43" s="235">
        <v>11</v>
      </c>
      <c r="D43" s="236">
        <v>25</v>
      </c>
      <c r="E43" s="174">
        <v>14</v>
      </c>
      <c r="F43" s="174">
        <v>11</v>
      </c>
      <c r="G43" s="174">
        <f t="shared" ref="G43:G60" si="15">E43+F43</f>
        <v>25</v>
      </c>
      <c r="H43" s="174">
        <v>7</v>
      </c>
      <c r="I43" s="174">
        <v>13</v>
      </c>
      <c r="J43" s="183">
        <f t="shared" ref="J43:J63" si="16">H43+I43</f>
        <v>20</v>
      </c>
      <c r="K43" s="174">
        <v>17</v>
      </c>
      <c r="L43" s="174">
        <v>17</v>
      </c>
      <c r="M43" s="183">
        <f t="shared" ref="M43:M64" si="17">K43+L43</f>
        <v>34</v>
      </c>
      <c r="N43" s="174">
        <v>16</v>
      </c>
      <c r="O43" s="174">
        <v>19</v>
      </c>
      <c r="P43" s="183">
        <f t="shared" ref="P43:P64" si="18">N43+O43</f>
        <v>35</v>
      </c>
      <c r="Q43" s="174">
        <v>21</v>
      </c>
      <c r="R43" s="174">
        <v>20</v>
      </c>
      <c r="S43" s="183">
        <f t="shared" ref="S43:S65" si="19">Q43+R43</f>
        <v>41</v>
      </c>
      <c r="T43" s="235">
        <v>18</v>
      </c>
      <c r="U43" s="235">
        <v>14</v>
      </c>
      <c r="V43" s="236">
        <f t="shared" ref="V43:V66" si="20">T43+U43</f>
        <v>32</v>
      </c>
      <c r="W43" s="174">
        <v>18</v>
      </c>
      <c r="X43" s="174">
        <v>24</v>
      </c>
      <c r="Y43" s="183">
        <f t="shared" ref="Y43:Y66" si="21">W43+X43</f>
        <v>42</v>
      </c>
      <c r="Z43" s="174">
        <v>13</v>
      </c>
      <c r="AA43" s="174">
        <v>16</v>
      </c>
      <c r="AB43" s="174">
        <f t="shared" ref="AB43:AB67" si="22">Z43+AA43</f>
        <v>29</v>
      </c>
      <c r="AC43" s="174">
        <v>14</v>
      </c>
      <c r="AD43" s="174">
        <v>15</v>
      </c>
      <c r="AE43" s="183">
        <f t="shared" ref="AE43:AE68" si="23">AC43+AD43</f>
        <v>29</v>
      </c>
      <c r="AF43" s="174">
        <v>13</v>
      </c>
      <c r="AG43" s="174">
        <v>19</v>
      </c>
      <c r="AH43" s="183">
        <f t="shared" ref="AH43:AH68" si="24">AF43+AG43</f>
        <v>32</v>
      </c>
      <c r="AI43" s="174">
        <v>12</v>
      </c>
      <c r="AJ43" s="174">
        <v>18</v>
      </c>
      <c r="AK43" s="183">
        <f t="shared" ref="AK43:AK69" si="25">AI43+AJ43</f>
        <v>30</v>
      </c>
      <c r="AL43" s="183">
        <f t="shared" ref="AL43:AL69" si="26">B43+E43+H43+K43+N43+Q43+T43+W43+Z43+AC43+AF43+AI43</f>
        <v>177</v>
      </c>
      <c r="AM43" s="183">
        <f t="shared" ref="AM43:AM69" si="27">C43+F43+I43+L43+O43+R43+U43+X43+AA43+AD43+AG43+AJ43</f>
        <v>197</v>
      </c>
      <c r="AN43" s="183">
        <f t="shared" ref="AN43:AN69" si="28">AL43+AM43</f>
        <v>374</v>
      </c>
      <c r="AO43" s="174">
        <v>12</v>
      </c>
      <c r="AQ43" s="192" t="str">
        <f t="shared" ref="AQ43:AQ70" si="29">A43</f>
        <v>BANGALORE</v>
      </c>
      <c r="AR43" s="191">
        <v>16</v>
      </c>
      <c r="AS43" s="191">
        <v>1</v>
      </c>
      <c r="AT43" s="192">
        <f t="shared" ref="AT43:AT69" si="30">AR43+AS43</f>
        <v>17</v>
      </c>
      <c r="AU43" s="191">
        <v>22</v>
      </c>
      <c r="AV43" s="191">
        <v>1</v>
      </c>
      <c r="AW43" s="192">
        <f t="shared" ref="AW43:AW69" si="31">AU43+AV43</f>
        <v>23</v>
      </c>
      <c r="AX43" s="191">
        <v>16</v>
      </c>
      <c r="AY43" s="191">
        <v>1</v>
      </c>
      <c r="AZ43" s="192">
        <f t="shared" ref="AZ43:AZ69" si="32">AX43+AY43</f>
        <v>17</v>
      </c>
      <c r="BA43" s="191">
        <v>18</v>
      </c>
      <c r="BB43" s="191">
        <v>1</v>
      </c>
      <c r="BC43" s="192">
        <f t="shared" ref="BC43:BC69" si="33">BA43+BB43</f>
        <v>19</v>
      </c>
      <c r="BD43" s="191">
        <v>24</v>
      </c>
      <c r="BE43" s="191">
        <v>4</v>
      </c>
      <c r="BF43" s="192">
        <f t="shared" ref="BF43:BF69" si="34">BD43+BE43</f>
        <v>28</v>
      </c>
      <c r="BG43" s="191">
        <v>21</v>
      </c>
      <c r="BH43" s="191">
        <v>1</v>
      </c>
      <c r="BI43" s="192">
        <f t="shared" ref="BI43:BI69" si="35">BG43+BH43</f>
        <v>22</v>
      </c>
      <c r="BJ43" s="191">
        <v>17</v>
      </c>
      <c r="BK43" s="191">
        <v>0</v>
      </c>
      <c r="BL43" s="192">
        <f t="shared" ref="BL43:BL69" si="36">BJ43+BK43</f>
        <v>17</v>
      </c>
      <c r="BM43" s="191">
        <v>22</v>
      </c>
      <c r="BN43" s="191">
        <v>0</v>
      </c>
      <c r="BO43" s="192">
        <f t="shared" ref="BO43:BO69" si="37">BM43+BN43</f>
        <v>22</v>
      </c>
      <c r="BP43" s="191">
        <v>31</v>
      </c>
      <c r="BQ43" s="191">
        <v>3</v>
      </c>
      <c r="BR43" s="192">
        <f t="shared" ref="BR43:BR69" si="38">BP43+BQ43</f>
        <v>34</v>
      </c>
      <c r="BS43" s="191">
        <v>22</v>
      </c>
      <c r="BT43" s="191">
        <v>2</v>
      </c>
      <c r="BU43" s="192">
        <f t="shared" ref="BU43:BU69" si="39">BS43+BT43</f>
        <v>24</v>
      </c>
      <c r="BV43" s="191">
        <v>27</v>
      </c>
      <c r="BW43" s="191">
        <v>1</v>
      </c>
      <c r="BX43" s="192">
        <f t="shared" ref="BX43:BX69" si="40">BV43+BW43</f>
        <v>28</v>
      </c>
      <c r="BY43" s="191">
        <v>22</v>
      </c>
      <c r="BZ43" s="191">
        <v>2</v>
      </c>
      <c r="CA43" s="192">
        <f t="shared" ref="CA43:CA69" si="41">BY43+BZ43</f>
        <v>24</v>
      </c>
      <c r="CB43" s="192">
        <f t="shared" ref="CB43:CB69" si="42">AR43+AU43+AX43+BA43+BD43+BG43+BJ43+BM43+BP43+BS43+BV43+BY43</f>
        <v>258</v>
      </c>
      <c r="CC43" s="192">
        <f t="shared" ref="CC43:CC69" si="43">AS43+AV43+AY43+BB43+BE43+BH43+BK43+BN43+BQ43+BT43+BW43+BZ43</f>
        <v>17</v>
      </c>
      <c r="CD43" s="192">
        <f t="shared" ref="CD43:CD69" si="44">AT43+AW43+AZ43+BC43+BF43+BI43+BL43+BO43+BR43+BU43+BX43+CA43</f>
        <v>275</v>
      </c>
    </row>
    <row r="44" spans="1:82" x14ac:dyDescent="0.25">
      <c r="A44" s="188" t="s">
        <v>7</v>
      </c>
      <c r="B44" s="235">
        <v>9</v>
      </c>
      <c r="C44" s="235">
        <v>6</v>
      </c>
      <c r="D44" s="236">
        <v>15</v>
      </c>
      <c r="E44" s="174">
        <v>16</v>
      </c>
      <c r="F44" s="174">
        <v>13</v>
      </c>
      <c r="G44" s="174">
        <f t="shared" si="15"/>
        <v>29</v>
      </c>
      <c r="H44" s="174">
        <v>17</v>
      </c>
      <c r="I44" s="174">
        <v>15</v>
      </c>
      <c r="J44" s="183">
        <f t="shared" si="16"/>
        <v>32</v>
      </c>
      <c r="K44" s="174">
        <v>15</v>
      </c>
      <c r="L44" s="174">
        <v>9</v>
      </c>
      <c r="M44" s="183">
        <f t="shared" si="17"/>
        <v>24</v>
      </c>
      <c r="N44" s="174">
        <v>19</v>
      </c>
      <c r="O44" s="174">
        <v>15</v>
      </c>
      <c r="P44" s="183">
        <f t="shared" si="18"/>
        <v>34</v>
      </c>
      <c r="Q44" s="174">
        <v>22</v>
      </c>
      <c r="R44" s="174">
        <v>18</v>
      </c>
      <c r="S44" s="183">
        <f t="shared" si="19"/>
        <v>40</v>
      </c>
      <c r="T44" s="235">
        <v>18</v>
      </c>
      <c r="U44" s="235">
        <v>10</v>
      </c>
      <c r="V44" s="236">
        <f t="shared" si="20"/>
        <v>28</v>
      </c>
      <c r="W44" s="174">
        <v>16</v>
      </c>
      <c r="X44" s="174">
        <v>19</v>
      </c>
      <c r="Y44" s="183">
        <f t="shared" si="21"/>
        <v>35</v>
      </c>
      <c r="Z44" s="174">
        <v>18</v>
      </c>
      <c r="AA44" s="174">
        <v>11</v>
      </c>
      <c r="AB44" s="174">
        <f t="shared" si="22"/>
        <v>29</v>
      </c>
      <c r="AC44" s="174">
        <v>21</v>
      </c>
      <c r="AD44" s="174">
        <v>15</v>
      </c>
      <c r="AE44" s="183">
        <f t="shared" si="23"/>
        <v>36</v>
      </c>
      <c r="AF44" s="174">
        <v>12</v>
      </c>
      <c r="AG44" s="174">
        <v>16</v>
      </c>
      <c r="AH44" s="183">
        <f t="shared" si="24"/>
        <v>28</v>
      </c>
      <c r="AI44" s="174">
        <v>16</v>
      </c>
      <c r="AJ44" s="174">
        <v>18</v>
      </c>
      <c r="AK44" s="183">
        <f t="shared" si="25"/>
        <v>34</v>
      </c>
      <c r="AL44" s="183">
        <f t="shared" si="26"/>
        <v>199</v>
      </c>
      <c r="AM44" s="183">
        <f t="shared" si="27"/>
        <v>165</v>
      </c>
      <c r="AN44" s="183">
        <f t="shared" si="28"/>
        <v>364</v>
      </c>
      <c r="AO44" s="174">
        <v>12</v>
      </c>
      <c r="AQ44" s="192" t="str">
        <f t="shared" si="29"/>
        <v>CHANDIGARH</v>
      </c>
      <c r="AR44" s="191">
        <v>21</v>
      </c>
      <c r="AS44" s="191">
        <v>0</v>
      </c>
      <c r="AT44" s="192">
        <f t="shared" si="30"/>
        <v>21</v>
      </c>
      <c r="AU44" s="191">
        <v>25</v>
      </c>
      <c r="AV44" s="191">
        <v>0</v>
      </c>
      <c r="AW44" s="192">
        <f t="shared" si="31"/>
        <v>25</v>
      </c>
      <c r="AX44" s="191">
        <v>25</v>
      </c>
      <c r="AY44" s="191">
        <v>1</v>
      </c>
      <c r="AZ44" s="192">
        <f t="shared" si="32"/>
        <v>26</v>
      </c>
      <c r="BA44" s="191">
        <v>26</v>
      </c>
      <c r="BB44" s="191">
        <v>1</v>
      </c>
      <c r="BC44" s="192">
        <f t="shared" si="33"/>
        <v>27</v>
      </c>
      <c r="BD44" s="191">
        <v>37</v>
      </c>
      <c r="BE44" s="191">
        <v>1</v>
      </c>
      <c r="BF44" s="192">
        <f t="shared" si="34"/>
        <v>38</v>
      </c>
      <c r="BG44" s="191">
        <v>38</v>
      </c>
      <c r="BH44" s="191">
        <v>0</v>
      </c>
      <c r="BI44" s="192">
        <f t="shared" si="35"/>
        <v>38</v>
      </c>
      <c r="BJ44" s="191">
        <v>41</v>
      </c>
      <c r="BK44" s="191">
        <v>3</v>
      </c>
      <c r="BL44" s="192">
        <f t="shared" si="36"/>
        <v>44</v>
      </c>
      <c r="BM44" s="191">
        <v>34</v>
      </c>
      <c r="BN44" s="191">
        <v>1</v>
      </c>
      <c r="BO44" s="192">
        <f t="shared" si="37"/>
        <v>35</v>
      </c>
      <c r="BP44" s="191">
        <v>42</v>
      </c>
      <c r="BQ44" s="191">
        <v>0</v>
      </c>
      <c r="BR44" s="192">
        <f t="shared" si="38"/>
        <v>42</v>
      </c>
      <c r="BS44" s="191">
        <v>38</v>
      </c>
      <c r="BT44" s="191">
        <v>0</v>
      </c>
      <c r="BU44" s="192">
        <f t="shared" si="39"/>
        <v>38</v>
      </c>
      <c r="BV44" s="191">
        <v>38</v>
      </c>
      <c r="BW44" s="191">
        <v>0</v>
      </c>
      <c r="BX44" s="192">
        <f t="shared" si="40"/>
        <v>38</v>
      </c>
      <c r="BY44" s="191">
        <v>35</v>
      </c>
      <c r="BZ44" s="191">
        <v>0</v>
      </c>
      <c r="CA44" s="192">
        <f t="shared" si="41"/>
        <v>35</v>
      </c>
      <c r="CB44" s="192">
        <f t="shared" si="42"/>
        <v>400</v>
      </c>
      <c r="CC44" s="192">
        <f t="shared" si="43"/>
        <v>7</v>
      </c>
      <c r="CD44" s="192">
        <f t="shared" si="44"/>
        <v>407</v>
      </c>
    </row>
    <row r="45" spans="1:82" x14ac:dyDescent="0.25">
      <c r="A45" s="188" t="s">
        <v>13</v>
      </c>
      <c r="B45" s="235">
        <v>8</v>
      </c>
      <c r="C45" s="235">
        <v>9</v>
      </c>
      <c r="D45" s="236">
        <v>17</v>
      </c>
      <c r="E45" s="174">
        <v>10</v>
      </c>
      <c r="F45" s="174">
        <v>9</v>
      </c>
      <c r="G45" s="174">
        <f t="shared" si="15"/>
        <v>19</v>
      </c>
      <c r="H45" s="174">
        <v>5</v>
      </c>
      <c r="I45" s="174">
        <v>7</v>
      </c>
      <c r="J45" s="183">
        <f t="shared" si="16"/>
        <v>12</v>
      </c>
      <c r="K45" s="174">
        <v>7</v>
      </c>
      <c r="L45" s="174">
        <v>13</v>
      </c>
      <c r="M45" s="183">
        <f t="shared" si="17"/>
        <v>20</v>
      </c>
      <c r="N45" s="174">
        <v>14</v>
      </c>
      <c r="O45" s="174">
        <v>13</v>
      </c>
      <c r="P45" s="183">
        <f t="shared" si="18"/>
        <v>27</v>
      </c>
      <c r="Q45" s="174">
        <v>9</v>
      </c>
      <c r="R45" s="174">
        <v>13</v>
      </c>
      <c r="S45" s="183">
        <f t="shared" si="19"/>
        <v>22</v>
      </c>
      <c r="T45" s="235">
        <v>6</v>
      </c>
      <c r="U45" s="235">
        <v>11</v>
      </c>
      <c r="V45" s="236">
        <f t="shared" si="20"/>
        <v>17</v>
      </c>
      <c r="W45" s="174">
        <v>6</v>
      </c>
      <c r="X45" s="174">
        <v>9</v>
      </c>
      <c r="Y45" s="183">
        <f t="shared" si="21"/>
        <v>15</v>
      </c>
      <c r="Z45" s="174">
        <v>9</v>
      </c>
      <c r="AA45" s="174">
        <v>7</v>
      </c>
      <c r="AB45" s="174">
        <f t="shared" si="22"/>
        <v>16</v>
      </c>
      <c r="AC45" s="174">
        <v>4</v>
      </c>
      <c r="AD45" s="174">
        <v>8</v>
      </c>
      <c r="AE45" s="183">
        <f t="shared" si="23"/>
        <v>12</v>
      </c>
      <c r="AF45" s="174">
        <v>5</v>
      </c>
      <c r="AG45" s="174">
        <v>8</v>
      </c>
      <c r="AH45" s="183">
        <f t="shared" si="24"/>
        <v>13</v>
      </c>
      <c r="AI45" s="174">
        <v>13</v>
      </c>
      <c r="AJ45" s="174">
        <v>9</v>
      </c>
      <c r="AK45" s="183">
        <f t="shared" si="25"/>
        <v>22</v>
      </c>
      <c r="AL45" s="183">
        <f t="shared" si="26"/>
        <v>96</v>
      </c>
      <c r="AM45" s="183">
        <f t="shared" si="27"/>
        <v>116</v>
      </c>
      <c r="AN45" s="183">
        <f t="shared" si="28"/>
        <v>212</v>
      </c>
      <c r="AO45" s="174">
        <v>12</v>
      </c>
      <c r="AQ45" s="192" t="str">
        <f t="shared" si="29"/>
        <v>CHENNAI</v>
      </c>
      <c r="AR45" s="191">
        <v>9</v>
      </c>
      <c r="AS45" s="191">
        <v>0</v>
      </c>
      <c r="AT45" s="192">
        <f t="shared" si="30"/>
        <v>9</v>
      </c>
      <c r="AU45" s="191">
        <v>17</v>
      </c>
      <c r="AV45" s="191">
        <v>0</v>
      </c>
      <c r="AW45" s="192">
        <f t="shared" si="31"/>
        <v>17</v>
      </c>
      <c r="AX45" s="191">
        <v>14</v>
      </c>
      <c r="AY45" s="191">
        <v>1</v>
      </c>
      <c r="AZ45" s="192">
        <f t="shared" si="32"/>
        <v>15</v>
      </c>
      <c r="BA45" s="191">
        <v>13</v>
      </c>
      <c r="BB45" s="191">
        <v>0</v>
      </c>
      <c r="BC45" s="192">
        <f t="shared" si="33"/>
        <v>13</v>
      </c>
      <c r="BD45" s="191">
        <v>13</v>
      </c>
      <c r="BE45" s="191">
        <v>0</v>
      </c>
      <c r="BF45" s="192">
        <f t="shared" si="34"/>
        <v>13</v>
      </c>
      <c r="BG45" s="191">
        <v>20</v>
      </c>
      <c r="BH45" s="191">
        <v>1</v>
      </c>
      <c r="BI45" s="192">
        <f t="shared" si="35"/>
        <v>21</v>
      </c>
      <c r="BJ45" s="191">
        <v>20</v>
      </c>
      <c r="BK45" s="191">
        <v>0</v>
      </c>
      <c r="BL45" s="192">
        <f t="shared" si="36"/>
        <v>20</v>
      </c>
      <c r="BM45" s="191">
        <v>13</v>
      </c>
      <c r="BN45" s="191">
        <v>2</v>
      </c>
      <c r="BO45" s="192">
        <f t="shared" si="37"/>
        <v>15</v>
      </c>
      <c r="BP45" s="191">
        <v>15</v>
      </c>
      <c r="BQ45" s="191">
        <v>0</v>
      </c>
      <c r="BR45" s="192">
        <f t="shared" si="38"/>
        <v>15</v>
      </c>
      <c r="BS45" s="191">
        <v>15</v>
      </c>
      <c r="BT45" s="191">
        <v>0</v>
      </c>
      <c r="BU45" s="192">
        <f t="shared" si="39"/>
        <v>15</v>
      </c>
      <c r="BV45" s="191">
        <v>8</v>
      </c>
      <c r="BW45" s="191">
        <v>0</v>
      </c>
      <c r="BX45" s="192">
        <f t="shared" si="40"/>
        <v>8</v>
      </c>
      <c r="BY45" s="191">
        <v>10</v>
      </c>
      <c r="BZ45" s="191">
        <v>0</v>
      </c>
      <c r="CA45" s="192">
        <f t="shared" si="41"/>
        <v>10</v>
      </c>
      <c r="CB45" s="192">
        <f t="shared" si="42"/>
        <v>167</v>
      </c>
      <c r="CC45" s="192">
        <f t="shared" si="43"/>
        <v>4</v>
      </c>
      <c r="CD45" s="192">
        <f t="shared" si="44"/>
        <v>171</v>
      </c>
    </row>
    <row r="46" spans="1:82" x14ac:dyDescent="0.25">
      <c r="A46" s="178" t="s">
        <v>127</v>
      </c>
      <c r="B46" s="235">
        <v>27</v>
      </c>
      <c r="C46" s="235">
        <v>31</v>
      </c>
      <c r="D46" s="236">
        <v>58</v>
      </c>
      <c r="E46" s="174">
        <v>20</v>
      </c>
      <c r="F46" s="174">
        <v>19</v>
      </c>
      <c r="G46" s="174">
        <f t="shared" si="15"/>
        <v>39</v>
      </c>
      <c r="H46" s="174">
        <v>13</v>
      </c>
      <c r="I46" s="174">
        <v>18</v>
      </c>
      <c r="J46" s="183">
        <f t="shared" si="16"/>
        <v>31</v>
      </c>
      <c r="K46" s="174">
        <v>16</v>
      </c>
      <c r="L46" s="174">
        <v>20</v>
      </c>
      <c r="M46" s="183">
        <f t="shared" si="17"/>
        <v>36</v>
      </c>
      <c r="N46" s="174">
        <v>22</v>
      </c>
      <c r="O46" s="174">
        <v>24</v>
      </c>
      <c r="P46" s="183">
        <f t="shared" si="18"/>
        <v>46</v>
      </c>
      <c r="Q46" s="174">
        <v>32</v>
      </c>
      <c r="R46" s="174">
        <v>32</v>
      </c>
      <c r="S46" s="183">
        <f t="shared" si="19"/>
        <v>64</v>
      </c>
      <c r="T46" s="235">
        <v>29</v>
      </c>
      <c r="U46" s="235">
        <v>26</v>
      </c>
      <c r="V46" s="236">
        <f t="shared" si="20"/>
        <v>55</v>
      </c>
      <c r="W46" s="174">
        <v>31</v>
      </c>
      <c r="X46" s="174">
        <v>25</v>
      </c>
      <c r="Y46" s="183">
        <f t="shared" si="21"/>
        <v>56</v>
      </c>
      <c r="Z46" s="174">
        <v>22</v>
      </c>
      <c r="AA46" s="174">
        <v>29</v>
      </c>
      <c r="AB46" s="174">
        <f t="shared" si="22"/>
        <v>51</v>
      </c>
      <c r="AC46" s="174">
        <v>22</v>
      </c>
      <c r="AD46" s="174">
        <v>23</v>
      </c>
      <c r="AE46" s="183">
        <f t="shared" si="23"/>
        <v>45</v>
      </c>
      <c r="AF46" s="174">
        <v>26</v>
      </c>
      <c r="AG46" s="174">
        <v>19</v>
      </c>
      <c r="AH46" s="183">
        <f t="shared" si="24"/>
        <v>45</v>
      </c>
      <c r="AI46" s="174">
        <v>12</v>
      </c>
      <c r="AJ46" s="174">
        <v>17</v>
      </c>
      <c r="AK46" s="183">
        <f t="shared" si="25"/>
        <v>29</v>
      </c>
      <c r="AL46" s="183">
        <f t="shared" si="26"/>
        <v>272</v>
      </c>
      <c r="AM46" s="183">
        <f t="shared" si="27"/>
        <v>283</v>
      </c>
      <c r="AN46" s="183">
        <f t="shared" si="28"/>
        <v>555</v>
      </c>
      <c r="AO46" s="174">
        <v>12</v>
      </c>
      <c r="AQ46" s="192" t="str">
        <f t="shared" si="29"/>
        <v>DELHI-NFC</v>
      </c>
      <c r="AR46" s="191">
        <v>36</v>
      </c>
      <c r="AS46" s="191">
        <v>2</v>
      </c>
      <c r="AT46" s="192">
        <f t="shared" si="30"/>
        <v>38</v>
      </c>
      <c r="AU46" s="191">
        <v>38</v>
      </c>
      <c r="AV46" s="191">
        <v>2</v>
      </c>
      <c r="AW46" s="192">
        <f t="shared" si="31"/>
        <v>40</v>
      </c>
      <c r="AX46" s="191">
        <v>45</v>
      </c>
      <c r="AY46" s="191">
        <v>1</v>
      </c>
      <c r="AZ46" s="192">
        <f t="shared" si="32"/>
        <v>46</v>
      </c>
      <c r="BA46" s="191">
        <v>38</v>
      </c>
      <c r="BB46" s="191">
        <v>0</v>
      </c>
      <c r="BC46" s="192">
        <f t="shared" si="33"/>
        <v>38</v>
      </c>
      <c r="BD46" s="191">
        <v>39</v>
      </c>
      <c r="BE46" s="191">
        <v>0</v>
      </c>
      <c r="BF46" s="192">
        <f t="shared" si="34"/>
        <v>39</v>
      </c>
      <c r="BG46" s="191">
        <v>46</v>
      </c>
      <c r="BH46" s="191">
        <v>1</v>
      </c>
      <c r="BI46" s="192">
        <f t="shared" si="35"/>
        <v>47</v>
      </c>
      <c r="BJ46" s="191">
        <v>41</v>
      </c>
      <c r="BK46" s="191">
        <v>1</v>
      </c>
      <c r="BL46" s="192">
        <f t="shared" si="36"/>
        <v>42</v>
      </c>
      <c r="BM46" s="191">
        <v>46</v>
      </c>
      <c r="BN46" s="191">
        <v>0</v>
      </c>
      <c r="BO46" s="192">
        <f t="shared" si="37"/>
        <v>46</v>
      </c>
      <c r="BP46" s="191">
        <v>46</v>
      </c>
      <c r="BQ46" s="191">
        <v>1</v>
      </c>
      <c r="BR46" s="192">
        <f t="shared" si="38"/>
        <v>47</v>
      </c>
      <c r="BS46" s="191">
        <v>44</v>
      </c>
      <c r="BT46" s="191">
        <v>0</v>
      </c>
      <c r="BU46" s="192">
        <f t="shared" si="39"/>
        <v>44</v>
      </c>
      <c r="BV46" s="191">
        <v>32</v>
      </c>
      <c r="BW46" s="191">
        <v>5</v>
      </c>
      <c r="BX46" s="192">
        <f t="shared" si="40"/>
        <v>37</v>
      </c>
      <c r="BY46" s="191">
        <v>39</v>
      </c>
      <c r="BZ46" s="191">
        <v>2</v>
      </c>
      <c r="CA46" s="192">
        <f t="shared" si="41"/>
        <v>41</v>
      </c>
      <c r="CB46" s="192">
        <f t="shared" si="42"/>
        <v>490</v>
      </c>
      <c r="CC46" s="192">
        <f t="shared" si="43"/>
        <v>15</v>
      </c>
      <c r="CD46" s="192">
        <f t="shared" si="44"/>
        <v>505</v>
      </c>
    </row>
    <row r="47" spans="1:82" x14ac:dyDescent="0.25">
      <c r="A47" s="178" t="s">
        <v>3</v>
      </c>
      <c r="B47" s="235">
        <v>11</v>
      </c>
      <c r="C47" s="235">
        <v>18</v>
      </c>
      <c r="D47" s="236">
        <v>29</v>
      </c>
      <c r="E47" s="174">
        <v>25</v>
      </c>
      <c r="F47" s="174">
        <v>23</v>
      </c>
      <c r="G47" s="174">
        <f t="shared" si="15"/>
        <v>48</v>
      </c>
      <c r="H47" s="174">
        <v>18</v>
      </c>
      <c r="I47" s="174">
        <v>19</v>
      </c>
      <c r="J47" s="183">
        <f t="shared" si="16"/>
        <v>37</v>
      </c>
      <c r="K47" s="174">
        <v>24</v>
      </c>
      <c r="L47" s="174">
        <v>27</v>
      </c>
      <c r="M47" s="183">
        <f t="shared" si="17"/>
        <v>51</v>
      </c>
      <c r="N47" s="174">
        <v>29</v>
      </c>
      <c r="O47" s="174">
        <v>30</v>
      </c>
      <c r="P47" s="183">
        <f t="shared" si="18"/>
        <v>59</v>
      </c>
      <c r="Q47" s="174">
        <v>19</v>
      </c>
      <c r="R47" s="174">
        <v>25</v>
      </c>
      <c r="S47" s="183">
        <f t="shared" si="19"/>
        <v>44</v>
      </c>
      <c r="T47" s="235">
        <v>20</v>
      </c>
      <c r="U47" s="235">
        <v>31</v>
      </c>
      <c r="V47" s="236">
        <f t="shared" si="20"/>
        <v>51</v>
      </c>
      <c r="W47" s="174">
        <v>25</v>
      </c>
      <c r="X47" s="174">
        <v>32</v>
      </c>
      <c r="Y47" s="183">
        <f t="shared" si="21"/>
        <v>57</v>
      </c>
      <c r="Z47" s="174">
        <v>28</v>
      </c>
      <c r="AA47" s="174">
        <v>21</v>
      </c>
      <c r="AB47" s="174">
        <f t="shared" si="22"/>
        <v>49</v>
      </c>
      <c r="AC47" s="174">
        <v>20</v>
      </c>
      <c r="AD47" s="174">
        <v>19</v>
      </c>
      <c r="AE47" s="183">
        <f t="shared" si="23"/>
        <v>39</v>
      </c>
      <c r="AF47" s="174">
        <v>21</v>
      </c>
      <c r="AG47" s="174">
        <v>31</v>
      </c>
      <c r="AH47" s="183">
        <f t="shared" si="24"/>
        <v>52</v>
      </c>
      <c r="AI47" s="174">
        <v>21</v>
      </c>
      <c r="AJ47" s="174">
        <v>30</v>
      </c>
      <c r="AK47" s="183">
        <f t="shared" si="25"/>
        <v>51</v>
      </c>
      <c r="AL47" s="183">
        <f t="shared" si="26"/>
        <v>261</v>
      </c>
      <c r="AM47" s="183">
        <f t="shared" si="27"/>
        <v>306</v>
      </c>
      <c r="AN47" s="183">
        <f t="shared" si="28"/>
        <v>567</v>
      </c>
      <c r="AO47" s="174">
        <v>12</v>
      </c>
      <c r="AQ47" s="192" t="str">
        <f t="shared" si="29"/>
        <v>DELHI-PITAMPURA</v>
      </c>
      <c r="AR47" s="191">
        <v>29</v>
      </c>
      <c r="AS47" s="191">
        <v>0</v>
      </c>
      <c r="AT47" s="192">
        <f t="shared" si="30"/>
        <v>29</v>
      </c>
      <c r="AU47" s="191">
        <v>39</v>
      </c>
      <c r="AV47" s="191">
        <v>1</v>
      </c>
      <c r="AW47" s="192">
        <f t="shared" si="31"/>
        <v>40</v>
      </c>
      <c r="AX47" s="191">
        <v>28</v>
      </c>
      <c r="AY47" s="191">
        <v>3</v>
      </c>
      <c r="AZ47" s="192">
        <f t="shared" si="32"/>
        <v>31</v>
      </c>
      <c r="BA47" s="191">
        <v>28</v>
      </c>
      <c r="BB47" s="191">
        <v>1</v>
      </c>
      <c r="BC47" s="192">
        <f t="shared" si="33"/>
        <v>29</v>
      </c>
      <c r="BD47" s="191">
        <v>36</v>
      </c>
      <c r="BE47" s="191">
        <v>3</v>
      </c>
      <c r="BF47" s="192">
        <f t="shared" si="34"/>
        <v>39</v>
      </c>
      <c r="BG47" s="191">
        <v>41</v>
      </c>
      <c r="BH47" s="191">
        <v>1</v>
      </c>
      <c r="BI47" s="192">
        <f t="shared" si="35"/>
        <v>42</v>
      </c>
      <c r="BJ47" s="191">
        <v>54</v>
      </c>
      <c r="BK47" s="191">
        <v>0</v>
      </c>
      <c r="BL47" s="192">
        <f t="shared" si="36"/>
        <v>54</v>
      </c>
      <c r="BM47" s="191">
        <v>49</v>
      </c>
      <c r="BN47" s="191">
        <v>0</v>
      </c>
      <c r="BO47" s="192">
        <f t="shared" si="37"/>
        <v>49</v>
      </c>
      <c r="BP47" s="191">
        <v>64</v>
      </c>
      <c r="BQ47" s="191">
        <v>0</v>
      </c>
      <c r="BR47" s="192">
        <f t="shared" si="38"/>
        <v>64</v>
      </c>
      <c r="BS47" s="191">
        <v>50</v>
      </c>
      <c r="BT47" s="191">
        <v>2</v>
      </c>
      <c r="BU47" s="192">
        <f t="shared" si="39"/>
        <v>52</v>
      </c>
      <c r="BV47" s="191">
        <v>49</v>
      </c>
      <c r="BW47" s="191">
        <v>2</v>
      </c>
      <c r="BX47" s="192">
        <f t="shared" si="40"/>
        <v>51</v>
      </c>
      <c r="BY47" s="191">
        <v>46</v>
      </c>
      <c r="BZ47" s="191">
        <v>3</v>
      </c>
      <c r="CA47" s="192">
        <f t="shared" si="41"/>
        <v>49</v>
      </c>
      <c r="CB47" s="192">
        <f t="shared" si="42"/>
        <v>513</v>
      </c>
      <c r="CC47" s="192">
        <f t="shared" si="43"/>
        <v>16</v>
      </c>
      <c r="CD47" s="192">
        <f t="shared" si="44"/>
        <v>529</v>
      </c>
    </row>
    <row r="48" spans="1:82" x14ac:dyDescent="0.25">
      <c r="A48" s="178" t="s">
        <v>128</v>
      </c>
      <c r="B48" s="235">
        <v>27</v>
      </c>
      <c r="C48" s="235">
        <v>30</v>
      </c>
      <c r="D48" s="236">
        <v>57</v>
      </c>
      <c r="E48" s="174">
        <v>21</v>
      </c>
      <c r="F48" s="174">
        <v>22</v>
      </c>
      <c r="G48" s="174">
        <f t="shared" si="15"/>
        <v>43</v>
      </c>
      <c r="H48" s="174">
        <v>19</v>
      </c>
      <c r="I48" s="174">
        <v>24</v>
      </c>
      <c r="J48" s="183">
        <f t="shared" si="16"/>
        <v>43</v>
      </c>
      <c r="K48" s="174">
        <v>19</v>
      </c>
      <c r="L48" s="174">
        <v>24</v>
      </c>
      <c r="M48" s="183">
        <f t="shared" si="17"/>
        <v>43</v>
      </c>
      <c r="N48" s="174">
        <v>30</v>
      </c>
      <c r="O48" s="174">
        <v>26</v>
      </c>
      <c r="P48" s="183">
        <f t="shared" si="18"/>
        <v>56</v>
      </c>
      <c r="Q48" s="174">
        <v>33</v>
      </c>
      <c r="R48" s="174">
        <v>40</v>
      </c>
      <c r="S48" s="183">
        <f t="shared" si="19"/>
        <v>73</v>
      </c>
      <c r="T48" s="235">
        <v>25</v>
      </c>
      <c r="U48" s="235">
        <v>38</v>
      </c>
      <c r="V48" s="236">
        <f t="shared" si="20"/>
        <v>63</v>
      </c>
      <c r="W48" s="174">
        <v>23</v>
      </c>
      <c r="X48" s="174">
        <v>42</v>
      </c>
      <c r="Y48" s="183">
        <f t="shared" si="21"/>
        <v>65</v>
      </c>
      <c r="Z48" s="174">
        <v>23</v>
      </c>
      <c r="AA48" s="174">
        <v>37</v>
      </c>
      <c r="AB48" s="174">
        <f t="shared" si="22"/>
        <v>60</v>
      </c>
      <c r="AC48" s="174">
        <v>43</v>
      </c>
      <c r="AD48" s="174">
        <v>24</v>
      </c>
      <c r="AE48" s="183">
        <f t="shared" si="23"/>
        <v>67</v>
      </c>
      <c r="AF48" s="174">
        <v>27</v>
      </c>
      <c r="AG48" s="174">
        <v>34</v>
      </c>
      <c r="AH48" s="183">
        <f t="shared" si="24"/>
        <v>61</v>
      </c>
      <c r="AI48" s="174">
        <v>29</v>
      </c>
      <c r="AJ48" s="174">
        <v>30</v>
      </c>
      <c r="AK48" s="183">
        <f t="shared" si="25"/>
        <v>59</v>
      </c>
      <c r="AL48" s="183">
        <f t="shared" si="26"/>
        <v>319</v>
      </c>
      <c r="AM48" s="183">
        <f t="shared" si="27"/>
        <v>371</v>
      </c>
      <c r="AN48" s="183">
        <f t="shared" si="28"/>
        <v>690</v>
      </c>
      <c r="AO48" s="174">
        <v>12</v>
      </c>
      <c r="AQ48" s="192" t="str">
        <f t="shared" si="29"/>
        <v>DELHI-SOUTH EX</v>
      </c>
      <c r="AR48" s="191">
        <v>45</v>
      </c>
      <c r="AS48" s="191">
        <v>2</v>
      </c>
      <c r="AT48" s="192">
        <f t="shared" si="30"/>
        <v>47</v>
      </c>
      <c r="AU48" s="191">
        <v>48</v>
      </c>
      <c r="AV48" s="191">
        <v>3</v>
      </c>
      <c r="AW48" s="192">
        <f t="shared" si="31"/>
        <v>51</v>
      </c>
      <c r="AX48" s="191">
        <v>42</v>
      </c>
      <c r="AY48" s="191">
        <v>0</v>
      </c>
      <c r="AZ48" s="192">
        <f t="shared" si="32"/>
        <v>42</v>
      </c>
      <c r="BA48" s="191">
        <v>47</v>
      </c>
      <c r="BB48" s="191">
        <v>0</v>
      </c>
      <c r="BC48" s="192">
        <f t="shared" si="33"/>
        <v>47</v>
      </c>
      <c r="BD48" s="191">
        <v>36</v>
      </c>
      <c r="BE48" s="191">
        <v>0</v>
      </c>
      <c r="BF48" s="192">
        <f t="shared" si="34"/>
        <v>36</v>
      </c>
      <c r="BG48" s="191">
        <v>48</v>
      </c>
      <c r="BH48" s="191">
        <v>4</v>
      </c>
      <c r="BI48" s="192">
        <f t="shared" si="35"/>
        <v>52</v>
      </c>
      <c r="BJ48" s="191">
        <v>47</v>
      </c>
      <c r="BK48" s="191">
        <v>0</v>
      </c>
      <c r="BL48" s="192">
        <f t="shared" si="36"/>
        <v>47</v>
      </c>
      <c r="BM48" s="191">
        <v>47</v>
      </c>
      <c r="BN48" s="191">
        <v>2</v>
      </c>
      <c r="BO48" s="192">
        <f t="shared" si="37"/>
        <v>49</v>
      </c>
      <c r="BP48" s="191">
        <v>43</v>
      </c>
      <c r="BQ48" s="191">
        <v>1</v>
      </c>
      <c r="BR48" s="192">
        <f t="shared" si="38"/>
        <v>44</v>
      </c>
      <c r="BS48" s="191">
        <v>54</v>
      </c>
      <c r="BT48" s="191">
        <v>10</v>
      </c>
      <c r="BU48" s="192">
        <f t="shared" si="39"/>
        <v>64</v>
      </c>
      <c r="BV48" s="191">
        <v>58</v>
      </c>
      <c r="BW48" s="191">
        <v>6</v>
      </c>
      <c r="BX48" s="192">
        <f t="shared" si="40"/>
        <v>64</v>
      </c>
      <c r="BY48" s="191">
        <v>60</v>
      </c>
      <c r="BZ48" s="191">
        <v>9</v>
      </c>
      <c r="CA48" s="192">
        <f t="shared" si="41"/>
        <v>69</v>
      </c>
      <c r="CB48" s="192">
        <f t="shared" si="42"/>
        <v>575</v>
      </c>
      <c r="CC48" s="192">
        <f t="shared" si="43"/>
        <v>37</v>
      </c>
      <c r="CD48" s="192">
        <f t="shared" si="44"/>
        <v>612</v>
      </c>
    </row>
    <row r="49" spans="1:82" x14ac:dyDescent="0.25">
      <c r="A49" s="188" t="s">
        <v>10</v>
      </c>
      <c r="B49" s="235">
        <v>11</v>
      </c>
      <c r="C49" s="235">
        <v>11</v>
      </c>
      <c r="D49" s="236">
        <v>22</v>
      </c>
      <c r="E49" s="174">
        <v>15</v>
      </c>
      <c r="F49" s="174">
        <v>22</v>
      </c>
      <c r="G49" s="174">
        <f t="shared" si="15"/>
        <v>37</v>
      </c>
      <c r="H49" s="174">
        <v>25</v>
      </c>
      <c r="I49" s="174">
        <v>15</v>
      </c>
      <c r="J49" s="183">
        <f t="shared" si="16"/>
        <v>40</v>
      </c>
      <c r="K49" s="174">
        <v>23</v>
      </c>
      <c r="L49" s="174">
        <v>22</v>
      </c>
      <c r="M49" s="183">
        <f t="shared" si="17"/>
        <v>45</v>
      </c>
      <c r="N49" s="174">
        <v>22</v>
      </c>
      <c r="O49" s="174">
        <v>23</v>
      </c>
      <c r="P49" s="183">
        <f t="shared" si="18"/>
        <v>45</v>
      </c>
      <c r="Q49" s="174">
        <v>19</v>
      </c>
      <c r="R49" s="174">
        <v>20</v>
      </c>
      <c r="S49" s="183">
        <f t="shared" si="19"/>
        <v>39</v>
      </c>
      <c r="T49" s="235">
        <v>21</v>
      </c>
      <c r="U49" s="235">
        <v>13</v>
      </c>
      <c r="V49" s="236">
        <f t="shared" si="20"/>
        <v>34</v>
      </c>
      <c r="W49" s="174">
        <v>9</v>
      </c>
      <c r="X49" s="174">
        <v>24</v>
      </c>
      <c r="Y49" s="183">
        <f t="shared" si="21"/>
        <v>33</v>
      </c>
      <c r="Z49" s="174">
        <v>18</v>
      </c>
      <c r="AA49" s="174">
        <v>15</v>
      </c>
      <c r="AB49" s="174">
        <f t="shared" si="22"/>
        <v>33</v>
      </c>
      <c r="AC49" s="174">
        <v>16</v>
      </c>
      <c r="AD49" s="174">
        <v>15</v>
      </c>
      <c r="AE49" s="183">
        <f t="shared" si="23"/>
        <v>31</v>
      </c>
      <c r="AF49" s="174">
        <v>14</v>
      </c>
      <c r="AG49" s="174">
        <v>21</v>
      </c>
      <c r="AH49" s="183">
        <f t="shared" si="24"/>
        <v>35</v>
      </c>
      <c r="AI49" s="174">
        <v>17</v>
      </c>
      <c r="AJ49" s="174">
        <v>15</v>
      </c>
      <c r="AK49" s="183">
        <f t="shared" si="25"/>
        <v>32</v>
      </c>
      <c r="AL49" s="183">
        <f t="shared" si="26"/>
        <v>210</v>
      </c>
      <c r="AM49" s="183">
        <f t="shared" si="27"/>
        <v>216</v>
      </c>
      <c r="AN49" s="183">
        <f t="shared" si="28"/>
        <v>426</v>
      </c>
      <c r="AO49" s="174">
        <v>12</v>
      </c>
      <c r="AQ49" s="192" t="str">
        <f t="shared" si="29"/>
        <v>HYDERABAD</v>
      </c>
      <c r="AR49" s="191">
        <v>23</v>
      </c>
      <c r="AS49" s="191">
        <v>0</v>
      </c>
      <c r="AT49" s="192">
        <f t="shared" si="30"/>
        <v>23</v>
      </c>
      <c r="AU49" s="191">
        <v>21</v>
      </c>
      <c r="AV49" s="191">
        <v>1</v>
      </c>
      <c r="AW49" s="192">
        <f t="shared" si="31"/>
        <v>22</v>
      </c>
      <c r="AX49" s="191">
        <v>16</v>
      </c>
      <c r="AY49" s="191">
        <v>0</v>
      </c>
      <c r="AZ49" s="192">
        <f t="shared" si="32"/>
        <v>16</v>
      </c>
      <c r="BA49" s="191">
        <v>25</v>
      </c>
      <c r="BB49" s="191">
        <v>0</v>
      </c>
      <c r="BC49" s="192">
        <f t="shared" si="33"/>
        <v>25</v>
      </c>
      <c r="BD49" s="191">
        <v>23</v>
      </c>
      <c r="BE49" s="191">
        <v>0</v>
      </c>
      <c r="BF49" s="192">
        <f t="shared" si="34"/>
        <v>23</v>
      </c>
      <c r="BG49" s="191">
        <v>27</v>
      </c>
      <c r="BH49" s="191">
        <v>1</v>
      </c>
      <c r="BI49" s="192">
        <f t="shared" si="35"/>
        <v>28</v>
      </c>
      <c r="BJ49" s="191">
        <v>30</v>
      </c>
      <c r="BK49" s="191">
        <v>1</v>
      </c>
      <c r="BL49" s="192">
        <f t="shared" si="36"/>
        <v>31</v>
      </c>
      <c r="BM49" s="191">
        <v>29</v>
      </c>
      <c r="BN49" s="191">
        <v>1</v>
      </c>
      <c r="BO49" s="192">
        <f t="shared" si="37"/>
        <v>30</v>
      </c>
      <c r="BP49" s="191">
        <v>24</v>
      </c>
      <c r="BQ49" s="191">
        <v>0</v>
      </c>
      <c r="BR49" s="192">
        <f t="shared" si="38"/>
        <v>24</v>
      </c>
      <c r="BS49" s="191">
        <v>23</v>
      </c>
      <c r="BT49" s="191">
        <v>0</v>
      </c>
      <c r="BU49" s="192">
        <f t="shared" si="39"/>
        <v>23</v>
      </c>
      <c r="BV49" s="191">
        <v>26</v>
      </c>
      <c r="BW49" s="191">
        <v>0</v>
      </c>
      <c r="BX49" s="192">
        <f t="shared" si="40"/>
        <v>26</v>
      </c>
      <c r="BY49" s="191">
        <v>28</v>
      </c>
      <c r="BZ49" s="191">
        <v>0</v>
      </c>
      <c r="CA49" s="192">
        <f t="shared" si="41"/>
        <v>28</v>
      </c>
      <c r="CB49" s="192">
        <f t="shared" si="42"/>
        <v>295</v>
      </c>
      <c r="CC49" s="192">
        <f t="shared" si="43"/>
        <v>4</v>
      </c>
      <c r="CD49" s="192">
        <f t="shared" si="44"/>
        <v>299</v>
      </c>
    </row>
    <row r="50" spans="1:82" x14ac:dyDescent="0.25">
      <c r="A50" s="188" t="s">
        <v>11</v>
      </c>
      <c r="B50" s="235">
        <v>15</v>
      </c>
      <c r="C50" s="235">
        <v>14</v>
      </c>
      <c r="D50" s="236">
        <v>29</v>
      </c>
      <c r="E50" s="174">
        <v>23</v>
      </c>
      <c r="F50" s="174">
        <v>18</v>
      </c>
      <c r="G50" s="174">
        <f t="shared" si="15"/>
        <v>41</v>
      </c>
      <c r="H50" s="174">
        <v>27</v>
      </c>
      <c r="I50" s="174">
        <v>27</v>
      </c>
      <c r="J50" s="183">
        <f t="shared" si="16"/>
        <v>54</v>
      </c>
      <c r="K50" s="174">
        <v>27</v>
      </c>
      <c r="L50" s="174">
        <v>15</v>
      </c>
      <c r="M50" s="183">
        <f t="shared" si="17"/>
        <v>42</v>
      </c>
      <c r="N50" s="174">
        <v>23</v>
      </c>
      <c r="O50" s="174">
        <v>21</v>
      </c>
      <c r="P50" s="183">
        <f t="shared" si="18"/>
        <v>44</v>
      </c>
      <c r="Q50" s="174">
        <v>32</v>
      </c>
      <c r="R50" s="174">
        <v>25</v>
      </c>
      <c r="S50" s="183">
        <f t="shared" si="19"/>
        <v>57</v>
      </c>
      <c r="T50" s="235">
        <v>17</v>
      </c>
      <c r="U50" s="235">
        <v>28</v>
      </c>
      <c r="V50" s="236">
        <f t="shared" si="20"/>
        <v>45</v>
      </c>
      <c r="W50" s="174">
        <v>21</v>
      </c>
      <c r="X50" s="174">
        <v>12</v>
      </c>
      <c r="Y50" s="183">
        <f t="shared" si="21"/>
        <v>33</v>
      </c>
      <c r="Z50" s="174">
        <v>19</v>
      </c>
      <c r="AA50" s="174">
        <v>29</v>
      </c>
      <c r="AB50" s="174">
        <f t="shared" si="22"/>
        <v>48</v>
      </c>
      <c r="AC50" s="174">
        <v>15</v>
      </c>
      <c r="AD50" s="174">
        <v>24</v>
      </c>
      <c r="AE50" s="183">
        <f t="shared" si="23"/>
        <v>39</v>
      </c>
      <c r="AF50" s="174">
        <v>25</v>
      </c>
      <c r="AG50" s="174">
        <v>23</v>
      </c>
      <c r="AH50" s="183">
        <f t="shared" si="24"/>
        <v>48</v>
      </c>
      <c r="AI50" s="174">
        <v>11</v>
      </c>
      <c r="AJ50" s="174">
        <v>14</v>
      </c>
      <c r="AK50" s="183">
        <f t="shared" si="25"/>
        <v>25</v>
      </c>
      <c r="AL50" s="183">
        <f t="shared" si="26"/>
        <v>255</v>
      </c>
      <c r="AM50" s="183">
        <f t="shared" si="27"/>
        <v>250</v>
      </c>
      <c r="AN50" s="183">
        <f t="shared" si="28"/>
        <v>505</v>
      </c>
      <c r="AO50" s="174">
        <v>12</v>
      </c>
      <c r="AQ50" s="192" t="str">
        <f t="shared" si="29"/>
        <v>INDORE</v>
      </c>
      <c r="AR50" s="191">
        <v>24</v>
      </c>
      <c r="AS50" s="191">
        <v>0</v>
      </c>
      <c r="AT50" s="192">
        <f t="shared" si="30"/>
        <v>24</v>
      </c>
      <c r="AU50" s="191">
        <v>25</v>
      </c>
      <c r="AV50" s="191">
        <v>1</v>
      </c>
      <c r="AW50" s="192">
        <f t="shared" si="31"/>
        <v>26</v>
      </c>
      <c r="AX50" s="191">
        <v>32</v>
      </c>
      <c r="AY50" s="191">
        <v>0</v>
      </c>
      <c r="AZ50" s="192">
        <f t="shared" si="32"/>
        <v>32</v>
      </c>
      <c r="BA50" s="191">
        <v>35</v>
      </c>
      <c r="BB50" s="191">
        <v>1</v>
      </c>
      <c r="BC50" s="192">
        <f t="shared" si="33"/>
        <v>36</v>
      </c>
      <c r="BD50" s="191">
        <v>45</v>
      </c>
      <c r="BE50" s="191">
        <v>0</v>
      </c>
      <c r="BF50" s="192">
        <f t="shared" si="34"/>
        <v>45</v>
      </c>
      <c r="BG50" s="191">
        <v>51</v>
      </c>
      <c r="BH50" s="191">
        <v>0</v>
      </c>
      <c r="BI50" s="192">
        <f t="shared" si="35"/>
        <v>51</v>
      </c>
      <c r="BJ50" s="191">
        <v>59</v>
      </c>
      <c r="BK50" s="191">
        <v>2</v>
      </c>
      <c r="BL50" s="192">
        <f t="shared" si="36"/>
        <v>61</v>
      </c>
      <c r="BM50" s="191">
        <v>23</v>
      </c>
      <c r="BN50" s="191">
        <v>0</v>
      </c>
      <c r="BO50" s="192">
        <f t="shared" si="37"/>
        <v>23</v>
      </c>
      <c r="BP50" s="191">
        <v>39</v>
      </c>
      <c r="BQ50" s="191">
        <v>0</v>
      </c>
      <c r="BR50" s="192">
        <f t="shared" si="38"/>
        <v>39</v>
      </c>
      <c r="BS50" s="191">
        <v>39</v>
      </c>
      <c r="BT50" s="191">
        <v>1</v>
      </c>
      <c r="BU50" s="192">
        <f t="shared" si="39"/>
        <v>40</v>
      </c>
      <c r="BV50" s="191">
        <v>46</v>
      </c>
      <c r="BW50" s="191">
        <v>1</v>
      </c>
      <c r="BX50" s="192">
        <f t="shared" si="40"/>
        <v>47</v>
      </c>
      <c r="BY50" s="191">
        <v>40</v>
      </c>
      <c r="BZ50" s="191">
        <v>1</v>
      </c>
      <c r="CA50" s="192">
        <f t="shared" si="41"/>
        <v>41</v>
      </c>
      <c r="CB50" s="192">
        <f t="shared" si="42"/>
        <v>458</v>
      </c>
      <c r="CC50" s="192">
        <f t="shared" si="43"/>
        <v>7</v>
      </c>
      <c r="CD50" s="192">
        <f t="shared" si="44"/>
        <v>465</v>
      </c>
    </row>
    <row r="51" spans="1:82" x14ac:dyDescent="0.25">
      <c r="A51" s="188" t="s">
        <v>5</v>
      </c>
      <c r="B51" s="235">
        <v>25</v>
      </c>
      <c r="C51" s="235">
        <v>14</v>
      </c>
      <c r="D51" s="236">
        <v>39</v>
      </c>
      <c r="E51" s="174">
        <v>29</v>
      </c>
      <c r="F51" s="174">
        <v>12</v>
      </c>
      <c r="G51" s="174">
        <f t="shared" si="15"/>
        <v>41</v>
      </c>
      <c r="H51" s="174">
        <v>31</v>
      </c>
      <c r="I51" s="174">
        <v>16</v>
      </c>
      <c r="J51" s="183">
        <f t="shared" si="16"/>
        <v>47</v>
      </c>
      <c r="K51" s="174">
        <v>32</v>
      </c>
      <c r="L51" s="174">
        <v>16</v>
      </c>
      <c r="M51" s="183">
        <f t="shared" si="17"/>
        <v>48</v>
      </c>
      <c r="N51" s="174">
        <v>33</v>
      </c>
      <c r="O51" s="174">
        <v>25</v>
      </c>
      <c r="P51" s="183">
        <f t="shared" si="18"/>
        <v>58</v>
      </c>
      <c r="Q51" s="174">
        <v>35</v>
      </c>
      <c r="R51" s="174">
        <v>18</v>
      </c>
      <c r="S51" s="183">
        <f t="shared" si="19"/>
        <v>53</v>
      </c>
      <c r="T51" s="235">
        <v>30</v>
      </c>
      <c r="U51" s="235">
        <v>27</v>
      </c>
      <c r="V51" s="236">
        <f t="shared" si="20"/>
        <v>57</v>
      </c>
      <c r="W51" s="174">
        <v>35</v>
      </c>
      <c r="X51" s="174">
        <v>25</v>
      </c>
      <c r="Y51" s="183">
        <f t="shared" si="21"/>
        <v>60</v>
      </c>
      <c r="Z51" s="174">
        <v>31</v>
      </c>
      <c r="AA51" s="174">
        <v>16</v>
      </c>
      <c r="AB51" s="174">
        <f t="shared" si="22"/>
        <v>47</v>
      </c>
      <c r="AC51" s="174">
        <v>23</v>
      </c>
      <c r="AD51" s="174">
        <v>15</v>
      </c>
      <c r="AE51" s="183">
        <f t="shared" si="23"/>
        <v>38</v>
      </c>
      <c r="AF51" s="174">
        <v>25</v>
      </c>
      <c r="AG51" s="174">
        <v>18</v>
      </c>
      <c r="AH51" s="183">
        <f t="shared" si="24"/>
        <v>43</v>
      </c>
      <c r="AI51" s="174">
        <v>27</v>
      </c>
      <c r="AJ51" s="174">
        <v>22</v>
      </c>
      <c r="AK51" s="183">
        <f t="shared" si="25"/>
        <v>49</v>
      </c>
      <c r="AL51" s="183">
        <f t="shared" si="26"/>
        <v>356</v>
      </c>
      <c r="AM51" s="183">
        <f t="shared" si="27"/>
        <v>224</v>
      </c>
      <c r="AN51" s="183">
        <f t="shared" si="28"/>
        <v>580</v>
      </c>
      <c r="AO51" s="174">
        <v>12</v>
      </c>
      <c r="AQ51" s="192" t="str">
        <f t="shared" si="29"/>
        <v>KOLKATA</v>
      </c>
      <c r="AR51" s="191">
        <v>37</v>
      </c>
      <c r="AS51" s="191">
        <v>1</v>
      </c>
      <c r="AT51" s="192">
        <f t="shared" si="30"/>
        <v>38</v>
      </c>
      <c r="AU51" s="191">
        <v>46</v>
      </c>
      <c r="AV51" s="191">
        <v>0</v>
      </c>
      <c r="AW51" s="192">
        <f t="shared" si="31"/>
        <v>46</v>
      </c>
      <c r="AX51" s="191">
        <v>44</v>
      </c>
      <c r="AY51" s="191">
        <v>0</v>
      </c>
      <c r="AZ51" s="192">
        <f t="shared" si="32"/>
        <v>44</v>
      </c>
      <c r="BA51" s="191">
        <v>50</v>
      </c>
      <c r="BB51" s="191">
        <v>1</v>
      </c>
      <c r="BC51" s="192">
        <f t="shared" si="33"/>
        <v>51</v>
      </c>
      <c r="BD51" s="191">
        <v>55</v>
      </c>
      <c r="BE51" s="191">
        <v>3</v>
      </c>
      <c r="BF51" s="192">
        <f t="shared" si="34"/>
        <v>58</v>
      </c>
      <c r="BG51" s="191">
        <v>64</v>
      </c>
      <c r="BH51" s="191">
        <v>2</v>
      </c>
      <c r="BI51" s="192">
        <f t="shared" si="35"/>
        <v>66</v>
      </c>
      <c r="BJ51" s="191">
        <v>68</v>
      </c>
      <c r="BK51" s="191">
        <v>1</v>
      </c>
      <c r="BL51" s="192">
        <f t="shared" si="36"/>
        <v>69</v>
      </c>
      <c r="BM51" s="191">
        <v>57</v>
      </c>
      <c r="BN51" s="191">
        <v>1</v>
      </c>
      <c r="BO51" s="192">
        <f t="shared" si="37"/>
        <v>58</v>
      </c>
      <c r="BP51" s="191">
        <v>67</v>
      </c>
      <c r="BQ51" s="191">
        <v>0</v>
      </c>
      <c r="BR51" s="192">
        <f t="shared" si="38"/>
        <v>67</v>
      </c>
      <c r="BS51" s="191">
        <v>68</v>
      </c>
      <c r="BT51" s="191">
        <v>0</v>
      </c>
      <c r="BU51" s="192">
        <f t="shared" si="39"/>
        <v>68</v>
      </c>
      <c r="BV51" s="191">
        <v>51</v>
      </c>
      <c r="BW51" s="191">
        <v>0</v>
      </c>
      <c r="BX51" s="192">
        <f t="shared" si="40"/>
        <v>51</v>
      </c>
      <c r="BY51" s="191">
        <v>57</v>
      </c>
      <c r="BZ51" s="191">
        <v>1</v>
      </c>
      <c r="CA51" s="192">
        <f t="shared" si="41"/>
        <v>58</v>
      </c>
      <c r="CB51" s="192">
        <f t="shared" si="42"/>
        <v>664</v>
      </c>
      <c r="CC51" s="192">
        <f t="shared" si="43"/>
        <v>10</v>
      </c>
      <c r="CD51" s="192">
        <f t="shared" si="44"/>
        <v>674</v>
      </c>
    </row>
    <row r="52" spans="1:82" x14ac:dyDescent="0.25">
      <c r="A52" s="188" t="s">
        <v>23</v>
      </c>
      <c r="B52" s="235">
        <v>24</v>
      </c>
      <c r="C52" s="235">
        <v>31</v>
      </c>
      <c r="D52" s="236">
        <v>55</v>
      </c>
      <c r="E52" s="174">
        <v>28</v>
      </c>
      <c r="F52" s="174">
        <v>23</v>
      </c>
      <c r="G52" s="174">
        <f t="shared" si="15"/>
        <v>51</v>
      </c>
      <c r="H52" s="174">
        <v>36</v>
      </c>
      <c r="I52" s="174">
        <v>29</v>
      </c>
      <c r="J52" s="183">
        <f t="shared" si="16"/>
        <v>65</v>
      </c>
      <c r="K52" s="174">
        <v>38</v>
      </c>
      <c r="L52" s="174">
        <v>30</v>
      </c>
      <c r="M52" s="183">
        <f t="shared" si="17"/>
        <v>68</v>
      </c>
      <c r="N52" s="174">
        <v>45</v>
      </c>
      <c r="O52" s="174">
        <v>37</v>
      </c>
      <c r="P52" s="183">
        <f t="shared" si="18"/>
        <v>82</v>
      </c>
      <c r="Q52" s="174">
        <v>34</v>
      </c>
      <c r="R52" s="174">
        <v>38</v>
      </c>
      <c r="S52" s="183">
        <f t="shared" si="19"/>
        <v>72</v>
      </c>
      <c r="T52" s="235">
        <v>29</v>
      </c>
      <c r="U52" s="235">
        <v>33</v>
      </c>
      <c r="V52" s="236">
        <f t="shared" si="20"/>
        <v>62</v>
      </c>
      <c r="W52" s="174">
        <v>36</v>
      </c>
      <c r="X52" s="174">
        <v>35</v>
      </c>
      <c r="Y52" s="183">
        <f t="shared" si="21"/>
        <v>71</v>
      </c>
      <c r="Z52" s="174">
        <v>29</v>
      </c>
      <c r="AA52" s="174">
        <v>36</v>
      </c>
      <c r="AB52" s="174">
        <f t="shared" si="22"/>
        <v>65</v>
      </c>
      <c r="AC52" s="174">
        <v>22</v>
      </c>
      <c r="AD52" s="174">
        <v>32</v>
      </c>
      <c r="AE52" s="183">
        <f t="shared" si="23"/>
        <v>54</v>
      </c>
      <c r="AF52" s="174">
        <v>33</v>
      </c>
      <c r="AG52" s="174">
        <v>40</v>
      </c>
      <c r="AH52" s="183">
        <f t="shared" si="24"/>
        <v>73</v>
      </c>
      <c r="AI52" s="174">
        <v>25</v>
      </c>
      <c r="AJ52" s="174">
        <v>25</v>
      </c>
      <c r="AK52" s="183">
        <f t="shared" si="25"/>
        <v>50</v>
      </c>
      <c r="AL52" s="183">
        <f t="shared" si="26"/>
        <v>379</v>
      </c>
      <c r="AM52" s="183">
        <f t="shared" si="27"/>
        <v>389</v>
      </c>
      <c r="AN52" s="183">
        <f t="shared" si="28"/>
        <v>768</v>
      </c>
      <c r="AO52" s="174">
        <v>12</v>
      </c>
      <c r="AQ52" s="192" t="str">
        <f t="shared" si="29"/>
        <v>LUCKNOW</v>
      </c>
      <c r="AR52" s="191">
        <v>39</v>
      </c>
      <c r="AS52" s="191">
        <v>0</v>
      </c>
      <c r="AT52" s="192">
        <f t="shared" si="30"/>
        <v>39</v>
      </c>
      <c r="AU52" s="191">
        <v>40</v>
      </c>
      <c r="AV52" s="191">
        <v>0</v>
      </c>
      <c r="AW52" s="192">
        <f t="shared" si="31"/>
        <v>40</v>
      </c>
      <c r="AX52" s="191">
        <v>42</v>
      </c>
      <c r="AY52" s="191">
        <v>2</v>
      </c>
      <c r="AZ52" s="192">
        <f t="shared" si="32"/>
        <v>44</v>
      </c>
      <c r="BA52" s="191">
        <v>51</v>
      </c>
      <c r="BB52" s="191">
        <v>0</v>
      </c>
      <c r="BC52" s="192">
        <f t="shared" si="33"/>
        <v>51</v>
      </c>
      <c r="BD52" s="191">
        <v>44</v>
      </c>
      <c r="BE52" s="191">
        <v>0</v>
      </c>
      <c r="BF52" s="192">
        <f t="shared" si="34"/>
        <v>44</v>
      </c>
      <c r="BG52" s="191">
        <v>59</v>
      </c>
      <c r="BH52" s="191">
        <v>1</v>
      </c>
      <c r="BI52" s="192">
        <f t="shared" si="35"/>
        <v>60</v>
      </c>
      <c r="BJ52" s="191">
        <v>55</v>
      </c>
      <c r="BK52" s="191">
        <v>0</v>
      </c>
      <c r="BL52" s="192">
        <f t="shared" si="36"/>
        <v>55</v>
      </c>
      <c r="BM52" s="191">
        <v>56</v>
      </c>
      <c r="BN52" s="191">
        <v>1</v>
      </c>
      <c r="BO52" s="192">
        <f t="shared" si="37"/>
        <v>57</v>
      </c>
      <c r="BP52" s="191">
        <v>58</v>
      </c>
      <c r="BQ52" s="191">
        <v>1</v>
      </c>
      <c r="BR52" s="192">
        <f t="shared" si="38"/>
        <v>59</v>
      </c>
      <c r="BS52" s="191">
        <v>51</v>
      </c>
      <c r="BT52" s="191">
        <v>0</v>
      </c>
      <c r="BU52" s="192">
        <f t="shared" si="39"/>
        <v>51</v>
      </c>
      <c r="BV52" s="191">
        <v>51</v>
      </c>
      <c r="BW52" s="191">
        <v>0</v>
      </c>
      <c r="BX52" s="192">
        <f t="shared" si="40"/>
        <v>51</v>
      </c>
      <c r="BY52" s="191">
        <v>50</v>
      </c>
      <c r="BZ52" s="191">
        <v>0</v>
      </c>
      <c r="CA52" s="192">
        <f t="shared" si="41"/>
        <v>50</v>
      </c>
      <c r="CB52" s="192">
        <f t="shared" si="42"/>
        <v>596</v>
      </c>
      <c r="CC52" s="192">
        <f t="shared" si="43"/>
        <v>5</v>
      </c>
      <c r="CD52" s="192">
        <f t="shared" si="44"/>
        <v>601</v>
      </c>
    </row>
    <row r="53" spans="1:82" x14ac:dyDescent="0.25">
      <c r="A53" s="188" t="s">
        <v>129</v>
      </c>
      <c r="B53" s="235">
        <v>16</v>
      </c>
      <c r="C53" s="235">
        <v>17</v>
      </c>
      <c r="D53" s="236">
        <v>33</v>
      </c>
      <c r="E53" s="174">
        <v>16</v>
      </c>
      <c r="F53" s="174">
        <v>22</v>
      </c>
      <c r="G53" s="174">
        <f t="shared" si="15"/>
        <v>38</v>
      </c>
      <c r="H53" s="174">
        <v>4</v>
      </c>
      <c r="I53" s="174">
        <v>28</v>
      </c>
      <c r="J53" s="183">
        <f t="shared" si="16"/>
        <v>32</v>
      </c>
      <c r="K53" s="174">
        <v>23</v>
      </c>
      <c r="L53" s="174">
        <v>13</v>
      </c>
      <c r="M53" s="183">
        <f t="shared" si="17"/>
        <v>36</v>
      </c>
      <c r="N53" s="174">
        <v>21</v>
      </c>
      <c r="O53" s="174">
        <v>16</v>
      </c>
      <c r="P53" s="183">
        <f t="shared" si="18"/>
        <v>37</v>
      </c>
      <c r="Q53" s="174">
        <v>18</v>
      </c>
      <c r="R53" s="174">
        <v>16</v>
      </c>
      <c r="S53" s="183">
        <f t="shared" si="19"/>
        <v>34</v>
      </c>
      <c r="T53" s="235">
        <v>19</v>
      </c>
      <c r="U53" s="235">
        <v>37</v>
      </c>
      <c r="V53" s="236">
        <f t="shared" si="20"/>
        <v>56</v>
      </c>
      <c r="W53" s="174">
        <v>13</v>
      </c>
      <c r="X53" s="174">
        <v>20</v>
      </c>
      <c r="Y53" s="183">
        <f t="shared" si="21"/>
        <v>33</v>
      </c>
      <c r="Z53" s="174">
        <v>12</v>
      </c>
      <c r="AA53" s="174">
        <v>17</v>
      </c>
      <c r="AB53" s="174">
        <f t="shared" si="22"/>
        <v>29</v>
      </c>
      <c r="AC53" s="174">
        <v>14</v>
      </c>
      <c r="AD53" s="174">
        <v>17</v>
      </c>
      <c r="AE53" s="183">
        <f t="shared" si="23"/>
        <v>31</v>
      </c>
      <c r="AF53" s="174">
        <v>14</v>
      </c>
      <c r="AG53" s="174">
        <v>15</v>
      </c>
      <c r="AH53" s="183">
        <f t="shared" si="24"/>
        <v>29</v>
      </c>
      <c r="AI53" s="174">
        <v>6</v>
      </c>
      <c r="AJ53" s="174">
        <v>15</v>
      </c>
      <c r="AK53" s="183">
        <f t="shared" si="25"/>
        <v>21</v>
      </c>
      <c r="AL53" s="183">
        <f t="shared" si="26"/>
        <v>176</v>
      </c>
      <c r="AM53" s="183">
        <f t="shared" si="27"/>
        <v>233</v>
      </c>
      <c r="AN53" s="183">
        <f t="shared" si="28"/>
        <v>409</v>
      </c>
      <c r="AO53" s="174">
        <v>12</v>
      </c>
      <c r="AQ53" s="192" t="str">
        <f t="shared" si="29"/>
        <v>MUMBAI-JUHU</v>
      </c>
      <c r="AR53" s="191">
        <v>31</v>
      </c>
      <c r="AS53" s="191">
        <v>0</v>
      </c>
      <c r="AT53" s="192">
        <f t="shared" si="30"/>
        <v>31</v>
      </c>
      <c r="AU53" s="191">
        <v>24</v>
      </c>
      <c r="AV53" s="191">
        <v>1</v>
      </c>
      <c r="AW53" s="192">
        <f t="shared" si="31"/>
        <v>25</v>
      </c>
      <c r="AX53" s="191">
        <v>29</v>
      </c>
      <c r="AY53" s="191">
        <v>0</v>
      </c>
      <c r="AZ53" s="192">
        <f t="shared" si="32"/>
        <v>29</v>
      </c>
      <c r="BA53" s="191">
        <v>30</v>
      </c>
      <c r="BB53" s="191">
        <v>1</v>
      </c>
      <c r="BC53" s="192">
        <f t="shared" si="33"/>
        <v>31</v>
      </c>
      <c r="BD53" s="191">
        <v>25</v>
      </c>
      <c r="BE53" s="191">
        <v>0</v>
      </c>
      <c r="BF53" s="192">
        <f t="shared" si="34"/>
        <v>25</v>
      </c>
      <c r="BG53" s="191">
        <v>37</v>
      </c>
      <c r="BH53" s="191">
        <v>0</v>
      </c>
      <c r="BI53" s="192">
        <f t="shared" si="35"/>
        <v>37</v>
      </c>
      <c r="BJ53" s="191">
        <v>33</v>
      </c>
      <c r="BK53" s="191">
        <v>0</v>
      </c>
      <c r="BL53" s="192">
        <f t="shared" si="36"/>
        <v>33</v>
      </c>
      <c r="BM53" s="191">
        <v>44</v>
      </c>
      <c r="BN53" s="191">
        <v>2</v>
      </c>
      <c r="BO53" s="192">
        <f t="shared" si="37"/>
        <v>46</v>
      </c>
      <c r="BP53" s="191">
        <v>40</v>
      </c>
      <c r="BQ53" s="191">
        <v>0</v>
      </c>
      <c r="BR53" s="192">
        <f t="shared" si="38"/>
        <v>40</v>
      </c>
      <c r="BS53" s="191">
        <v>38</v>
      </c>
      <c r="BT53" s="191">
        <v>7</v>
      </c>
      <c r="BU53" s="192">
        <f t="shared" si="39"/>
        <v>45</v>
      </c>
      <c r="BV53" s="191">
        <v>36</v>
      </c>
      <c r="BW53" s="191">
        <v>1</v>
      </c>
      <c r="BX53" s="192">
        <f t="shared" si="40"/>
        <v>37</v>
      </c>
      <c r="BY53" s="191">
        <v>27</v>
      </c>
      <c r="BZ53" s="191">
        <v>1</v>
      </c>
      <c r="CA53" s="192">
        <f t="shared" si="41"/>
        <v>28</v>
      </c>
      <c r="CB53" s="192">
        <f t="shared" si="42"/>
        <v>394</v>
      </c>
      <c r="CC53" s="192">
        <f t="shared" si="43"/>
        <v>13</v>
      </c>
      <c r="CD53" s="192">
        <f t="shared" si="44"/>
        <v>407</v>
      </c>
    </row>
    <row r="54" spans="1:82" x14ac:dyDescent="0.25">
      <c r="A54" s="188" t="s">
        <v>9</v>
      </c>
      <c r="B54" s="235">
        <v>8</v>
      </c>
      <c r="C54" s="235">
        <v>14</v>
      </c>
      <c r="D54" s="236">
        <v>22</v>
      </c>
      <c r="E54" s="174">
        <v>13</v>
      </c>
      <c r="F54" s="174">
        <v>12</v>
      </c>
      <c r="G54" s="174">
        <f t="shared" si="15"/>
        <v>25</v>
      </c>
      <c r="H54" s="174">
        <v>22</v>
      </c>
      <c r="I54" s="174">
        <v>17</v>
      </c>
      <c r="J54" s="183">
        <f t="shared" si="16"/>
        <v>39</v>
      </c>
      <c r="K54" s="174">
        <v>11</v>
      </c>
      <c r="L54" s="174">
        <v>12</v>
      </c>
      <c r="M54" s="183">
        <f t="shared" si="17"/>
        <v>23</v>
      </c>
      <c r="N54" s="174">
        <v>12</v>
      </c>
      <c r="O54" s="174">
        <v>21</v>
      </c>
      <c r="P54" s="183">
        <f t="shared" si="18"/>
        <v>33</v>
      </c>
      <c r="Q54" s="174">
        <v>21</v>
      </c>
      <c r="R54" s="174">
        <v>18</v>
      </c>
      <c r="S54" s="183">
        <f t="shared" si="19"/>
        <v>39</v>
      </c>
      <c r="T54" s="235">
        <v>22</v>
      </c>
      <c r="U54" s="235">
        <v>23</v>
      </c>
      <c r="V54" s="236">
        <f t="shared" si="20"/>
        <v>45</v>
      </c>
      <c r="W54" s="174">
        <v>16</v>
      </c>
      <c r="X54" s="174">
        <v>24</v>
      </c>
      <c r="Y54" s="183">
        <f t="shared" si="21"/>
        <v>40</v>
      </c>
      <c r="Z54" s="174">
        <v>22</v>
      </c>
      <c r="AA54" s="174">
        <v>18</v>
      </c>
      <c r="AB54" s="174">
        <f t="shared" si="22"/>
        <v>40</v>
      </c>
      <c r="AC54" s="174">
        <v>24</v>
      </c>
      <c r="AD54" s="174">
        <v>17</v>
      </c>
      <c r="AE54" s="183">
        <f t="shared" si="23"/>
        <v>41</v>
      </c>
      <c r="AF54" s="174">
        <v>20</v>
      </c>
      <c r="AG54" s="174">
        <v>13</v>
      </c>
      <c r="AH54" s="183">
        <f t="shared" si="24"/>
        <v>33</v>
      </c>
      <c r="AI54" s="174">
        <v>21</v>
      </c>
      <c r="AJ54" s="174">
        <v>21</v>
      </c>
      <c r="AK54" s="183">
        <f t="shared" si="25"/>
        <v>42</v>
      </c>
      <c r="AL54" s="183">
        <f t="shared" si="26"/>
        <v>212</v>
      </c>
      <c r="AM54" s="183">
        <f t="shared" si="27"/>
        <v>210</v>
      </c>
      <c r="AN54" s="183">
        <f t="shared" si="28"/>
        <v>422</v>
      </c>
      <c r="AO54" s="174">
        <v>12</v>
      </c>
      <c r="AQ54" s="192" t="str">
        <f t="shared" si="29"/>
        <v>PATNA</v>
      </c>
      <c r="AR54" s="191">
        <v>22</v>
      </c>
      <c r="AS54" s="191">
        <v>0</v>
      </c>
      <c r="AT54" s="192">
        <f t="shared" si="30"/>
        <v>22</v>
      </c>
      <c r="AU54" s="191">
        <v>26</v>
      </c>
      <c r="AV54" s="191">
        <v>0</v>
      </c>
      <c r="AW54" s="192">
        <f t="shared" si="31"/>
        <v>26</v>
      </c>
      <c r="AX54" s="191">
        <v>17</v>
      </c>
      <c r="AY54" s="191">
        <v>2</v>
      </c>
      <c r="AZ54" s="192">
        <f t="shared" si="32"/>
        <v>19</v>
      </c>
      <c r="BA54" s="191">
        <v>24</v>
      </c>
      <c r="BB54" s="191">
        <v>0</v>
      </c>
      <c r="BC54" s="192">
        <f t="shared" si="33"/>
        <v>24</v>
      </c>
      <c r="BD54" s="191">
        <v>17</v>
      </c>
      <c r="BE54" s="191">
        <v>0</v>
      </c>
      <c r="BF54" s="192">
        <f t="shared" si="34"/>
        <v>17</v>
      </c>
      <c r="BG54" s="191">
        <v>19</v>
      </c>
      <c r="BH54" s="191">
        <v>1</v>
      </c>
      <c r="BI54" s="192">
        <f t="shared" si="35"/>
        <v>20</v>
      </c>
      <c r="BJ54" s="191">
        <v>23</v>
      </c>
      <c r="BK54" s="191">
        <v>0</v>
      </c>
      <c r="BL54" s="192">
        <f t="shared" si="36"/>
        <v>23</v>
      </c>
      <c r="BM54" s="191">
        <v>27</v>
      </c>
      <c r="BN54" s="191">
        <v>3</v>
      </c>
      <c r="BO54" s="192">
        <f t="shared" si="37"/>
        <v>30</v>
      </c>
      <c r="BP54" s="191">
        <v>33</v>
      </c>
      <c r="BQ54" s="191">
        <v>0</v>
      </c>
      <c r="BR54" s="192">
        <f t="shared" si="38"/>
        <v>33</v>
      </c>
      <c r="BS54" s="191">
        <v>30</v>
      </c>
      <c r="BT54" s="191">
        <v>0</v>
      </c>
      <c r="BU54" s="192">
        <f t="shared" si="39"/>
        <v>30</v>
      </c>
      <c r="BV54" s="191">
        <v>38</v>
      </c>
      <c r="BW54" s="191">
        <v>1</v>
      </c>
      <c r="BX54" s="192">
        <f t="shared" si="40"/>
        <v>39</v>
      </c>
      <c r="BY54" s="191">
        <v>29</v>
      </c>
      <c r="BZ54" s="191">
        <v>1</v>
      </c>
      <c r="CA54" s="192">
        <f t="shared" si="41"/>
        <v>30</v>
      </c>
      <c r="CB54" s="192">
        <f t="shared" si="42"/>
        <v>305</v>
      </c>
      <c r="CC54" s="192">
        <f t="shared" si="43"/>
        <v>8</v>
      </c>
      <c r="CD54" s="192">
        <f t="shared" si="44"/>
        <v>313</v>
      </c>
    </row>
    <row r="55" spans="1:82" x14ac:dyDescent="0.25">
      <c r="A55" s="188" t="s">
        <v>12</v>
      </c>
      <c r="B55" s="235">
        <v>10</v>
      </c>
      <c r="C55" s="235">
        <v>10</v>
      </c>
      <c r="D55" s="236">
        <v>20</v>
      </c>
      <c r="E55" s="174">
        <v>8</v>
      </c>
      <c r="F55" s="174">
        <v>8</v>
      </c>
      <c r="G55" s="174">
        <f t="shared" si="15"/>
        <v>16</v>
      </c>
      <c r="H55" s="174">
        <v>13</v>
      </c>
      <c r="I55" s="174">
        <v>8</v>
      </c>
      <c r="J55" s="183">
        <f t="shared" si="16"/>
        <v>21</v>
      </c>
      <c r="K55" s="174">
        <v>11</v>
      </c>
      <c r="L55" s="174">
        <v>8</v>
      </c>
      <c r="M55" s="183">
        <f t="shared" si="17"/>
        <v>19</v>
      </c>
      <c r="N55" s="174">
        <v>9</v>
      </c>
      <c r="O55" s="174">
        <v>9</v>
      </c>
      <c r="P55" s="183">
        <f t="shared" si="18"/>
        <v>18</v>
      </c>
      <c r="Q55" s="174">
        <v>13</v>
      </c>
      <c r="R55" s="174">
        <v>14</v>
      </c>
      <c r="S55" s="183">
        <f t="shared" si="19"/>
        <v>27</v>
      </c>
      <c r="T55" s="235">
        <v>8</v>
      </c>
      <c r="U55" s="235">
        <v>7</v>
      </c>
      <c r="V55" s="236">
        <f t="shared" si="20"/>
        <v>15</v>
      </c>
      <c r="W55" s="174">
        <v>14</v>
      </c>
      <c r="X55" s="174">
        <v>9</v>
      </c>
      <c r="Y55" s="183">
        <f t="shared" si="21"/>
        <v>23</v>
      </c>
      <c r="Z55" s="174">
        <v>9</v>
      </c>
      <c r="AA55" s="174">
        <v>6</v>
      </c>
      <c r="AB55" s="174">
        <f t="shared" si="22"/>
        <v>15</v>
      </c>
      <c r="AC55" s="174">
        <v>8</v>
      </c>
      <c r="AD55" s="174">
        <v>5</v>
      </c>
      <c r="AE55" s="183">
        <f t="shared" si="23"/>
        <v>13</v>
      </c>
      <c r="AF55" s="174">
        <v>13</v>
      </c>
      <c r="AG55" s="174">
        <v>10</v>
      </c>
      <c r="AH55" s="183">
        <f t="shared" si="24"/>
        <v>23</v>
      </c>
      <c r="AI55" s="174">
        <v>17</v>
      </c>
      <c r="AJ55" s="174">
        <v>12</v>
      </c>
      <c r="AK55" s="183">
        <f t="shared" si="25"/>
        <v>29</v>
      </c>
      <c r="AL55" s="183">
        <f t="shared" si="26"/>
        <v>133</v>
      </c>
      <c r="AM55" s="183">
        <f t="shared" si="27"/>
        <v>106</v>
      </c>
      <c r="AN55" s="183">
        <f t="shared" si="28"/>
        <v>239</v>
      </c>
      <c r="AO55" s="174">
        <v>12</v>
      </c>
      <c r="AQ55" s="192" t="str">
        <f t="shared" si="29"/>
        <v>RAIPUR</v>
      </c>
      <c r="AR55" s="191">
        <v>16</v>
      </c>
      <c r="AS55" s="191">
        <v>0</v>
      </c>
      <c r="AT55" s="192">
        <f t="shared" si="30"/>
        <v>16</v>
      </c>
      <c r="AU55" s="191">
        <v>17</v>
      </c>
      <c r="AV55" s="191">
        <v>0</v>
      </c>
      <c r="AW55" s="192">
        <f t="shared" si="31"/>
        <v>17</v>
      </c>
      <c r="AX55" s="191">
        <v>17</v>
      </c>
      <c r="AY55" s="191">
        <v>0</v>
      </c>
      <c r="AZ55" s="192">
        <f t="shared" si="32"/>
        <v>17</v>
      </c>
      <c r="BA55" s="191">
        <v>20</v>
      </c>
      <c r="BB55" s="191">
        <v>1</v>
      </c>
      <c r="BC55" s="192">
        <f t="shared" si="33"/>
        <v>21</v>
      </c>
      <c r="BD55" s="191">
        <v>20</v>
      </c>
      <c r="BE55" s="191">
        <v>0</v>
      </c>
      <c r="BF55" s="192">
        <f t="shared" si="34"/>
        <v>20</v>
      </c>
      <c r="BG55" s="191">
        <v>20</v>
      </c>
      <c r="BH55" s="191">
        <v>1</v>
      </c>
      <c r="BI55" s="192">
        <f t="shared" si="35"/>
        <v>21</v>
      </c>
      <c r="BJ55" s="191">
        <v>19</v>
      </c>
      <c r="BK55" s="191">
        <v>3</v>
      </c>
      <c r="BL55" s="192">
        <f t="shared" si="36"/>
        <v>22</v>
      </c>
      <c r="BM55" s="191">
        <v>18</v>
      </c>
      <c r="BN55" s="191">
        <v>1</v>
      </c>
      <c r="BO55" s="192">
        <f t="shared" si="37"/>
        <v>19</v>
      </c>
      <c r="BP55" s="191">
        <v>18</v>
      </c>
      <c r="BQ55" s="191">
        <v>0</v>
      </c>
      <c r="BR55" s="192">
        <f t="shared" si="38"/>
        <v>18</v>
      </c>
      <c r="BS55" s="191">
        <v>17</v>
      </c>
      <c r="BT55" s="191">
        <v>0</v>
      </c>
      <c r="BU55" s="192">
        <f t="shared" si="39"/>
        <v>17</v>
      </c>
      <c r="BV55" s="191">
        <v>14</v>
      </c>
      <c r="BW55" s="191">
        <v>1</v>
      </c>
      <c r="BX55" s="192">
        <f t="shared" si="40"/>
        <v>15</v>
      </c>
      <c r="BY55" s="191">
        <v>13</v>
      </c>
      <c r="BZ55" s="191">
        <v>2</v>
      </c>
      <c r="CA55" s="192">
        <f t="shared" si="41"/>
        <v>15</v>
      </c>
      <c r="CB55" s="192">
        <f t="shared" si="42"/>
        <v>209</v>
      </c>
      <c r="CC55" s="192">
        <f t="shared" si="43"/>
        <v>9</v>
      </c>
      <c r="CD55" s="192">
        <f t="shared" si="44"/>
        <v>218</v>
      </c>
    </row>
    <row r="56" spans="1:82" x14ac:dyDescent="0.25">
      <c r="A56" s="188" t="s">
        <v>103</v>
      </c>
      <c r="B56" s="235">
        <v>10</v>
      </c>
      <c r="C56" s="235">
        <v>37</v>
      </c>
      <c r="D56" s="236">
        <v>47</v>
      </c>
      <c r="E56" s="174">
        <v>10</v>
      </c>
      <c r="F56" s="174">
        <v>39</v>
      </c>
      <c r="G56" s="174">
        <f t="shared" si="15"/>
        <v>49</v>
      </c>
      <c r="H56" s="174">
        <v>17</v>
      </c>
      <c r="I56" s="174">
        <v>49</v>
      </c>
      <c r="J56" s="183">
        <f t="shared" si="16"/>
        <v>66</v>
      </c>
      <c r="K56" s="174">
        <v>14</v>
      </c>
      <c r="L56" s="174">
        <v>33</v>
      </c>
      <c r="M56" s="183">
        <f t="shared" si="17"/>
        <v>47</v>
      </c>
      <c r="N56" s="174">
        <v>30</v>
      </c>
      <c r="O56" s="174">
        <v>80</v>
      </c>
      <c r="P56" s="183">
        <f t="shared" si="18"/>
        <v>110</v>
      </c>
      <c r="Q56" s="174">
        <v>22</v>
      </c>
      <c r="R56" s="174">
        <v>51</v>
      </c>
      <c r="S56" s="183">
        <f t="shared" si="19"/>
        <v>73</v>
      </c>
      <c r="T56" s="235">
        <v>23</v>
      </c>
      <c r="U56" s="235">
        <v>49</v>
      </c>
      <c r="V56" s="236">
        <f t="shared" si="20"/>
        <v>72</v>
      </c>
      <c r="W56" s="174">
        <v>22</v>
      </c>
      <c r="X56" s="174">
        <v>47</v>
      </c>
      <c r="Y56" s="183">
        <f t="shared" si="21"/>
        <v>69</v>
      </c>
      <c r="Z56" s="174">
        <v>16</v>
      </c>
      <c r="AA56" s="174">
        <v>46</v>
      </c>
      <c r="AB56" s="174">
        <f t="shared" si="22"/>
        <v>62</v>
      </c>
      <c r="AC56" s="174">
        <v>12</v>
      </c>
      <c r="AD56" s="174">
        <v>34</v>
      </c>
      <c r="AE56" s="183">
        <f t="shared" si="23"/>
        <v>46</v>
      </c>
      <c r="AF56" s="174">
        <v>19</v>
      </c>
      <c r="AG56" s="174">
        <v>43</v>
      </c>
      <c r="AH56" s="183">
        <f t="shared" si="24"/>
        <v>62</v>
      </c>
      <c r="AI56" s="174">
        <v>18</v>
      </c>
      <c r="AJ56" s="174">
        <v>44</v>
      </c>
      <c r="AK56" s="183">
        <f t="shared" si="25"/>
        <v>62</v>
      </c>
      <c r="AL56" s="183">
        <f t="shared" si="26"/>
        <v>213</v>
      </c>
      <c r="AM56" s="183">
        <f t="shared" si="27"/>
        <v>552</v>
      </c>
      <c r="AN56" s="183">
        <f t="shared" si="28"/>
        <v>765</v>
      </c>
      <c r="AO56" s="174">
        <v>12</v>
      </c>
      <c r="AQ56" s="192" t="str">
        <f t="shared" si="29"/>
        <v>VIRTUAL CENTER</v>
      </c>
      <c r="AR56" s="191">
        <v>9</v>
      </c>
      <c r="AS56" s="191">
        <v>1</v>
      </c>
      <c r="AT56" s="192">
        <f t="shared" si="30"/>
        <v>10</v>
      </c>
      <c r="AU56" s="191">
        <v>8</v>
      </c>
      <c r="AV56" s="191">
        <v>1</v>
      </c>
      <c r="AW56" s="192">
        <f t="shared" si="31"/>
        <v>9</v>
      </c>
      <c r="AX56" s="191">
        <v>7</v>
      </c>
      <c r="AY56" s="191">
        <v>0</v>
      </c>
      <c r="AZ56" s="192">
        <f t="shared" si="32"/>
        <v>7</v>
      </c>
      <c r="BA56" s="191">
        <v>5</v>
      </c>
      <c r="BB56" s="191">
        <v>0</v>
      </c>
      <c r="BC56" s="192">
        <f t="shared" si="33"/>
        <v>5</v>
      </c>
      <c r="BD56" s="191">
        <v>3</v>
      </c>
      <c r="BE56" s="191">
        <v>0</v>
      </c>
      <c r="BF56" s="192">
        <f t="shared" si="34"/>
        <v>3</v>
      </c>
      <c r="BG56" s="191">
        <v>4</v>
      </c>
      <c r="BH56" s="191">
        <v>1</v>
      </c>
      <c r="BI56" s="192">
        <f t="shared" si="35"/>
        <v>5</v>
      </c>
      <c r="BJ56" s="191">
        <v>1</v>
      </c>
      <c r="BK56" s="191">
        <v>2</v>
      </c>
      <c r="BL56" s="192">
        <f t="shared" si="36"/>
        <v>3</v>
      </c>
      <c r="BM56" s="191">
        <v>9</v>
      </c>
      <c r="BN56" s="191">
        <v>0</v>
      </c>
      <c r="BO56" s="192">
        <f t="shared" si="37"/>
        <v>9</v>
      </c>
      <c r="BP56" s="191">
        <v>6</v>
      </c>
      <c r="BQ56" s="191">
        <v>2</v>
      </c>
      <c r="BR56" s="192">
        <f t="shared" si="38"/>
        <v>8</v>
      </c>
      <c r="BS56" s="191">
        <v>2</v>
      </c>
      <c r="BT56" s="191">
        <v>1</v>
      </c>
      <c r="BU56" s="192">
        <f t="shared" si="39"/>
        <v>3</v>
      </c>
      <c r="BV56" s="191">
        <v>2</v>
      </c>
      <c r="BW56" s="191">
        <v>0</v>
      </c>
      <c r="BX56" s="192">
        <f t="shared" si="40"/>
        <v>2</v>
      </c>
      <c r="BY56" s="191">
        <v>0</v>
      </c>
      <c r="BZ56" s="191">
        <v>2</v>
      </c>
      <c r="CA56" s="192">
        <f t="shared" si="41"/>
        <v>2</v>
      </c>
      <c r="CB56" s="192">
        <f t="shared" si="42"/>
        <v>56</v>
      </c>
      <c r="CC56" s="192">
        <f t="shared" si="43"/>
        <v>10</v>
      </c>
      <c r="CD56" s="192">
        <f t="shared" si="44"/>
        <v>66</v>
      </c>
    </row>
    <row r="57" spans="1:82" x14ac:dyDescent="0.25">
      <c r="A57" s="193" t="s">
        <v>86</v>
      </c>
      <c r="B57" s="235">
        <v>12</v>
      </c>
      <c r="C57" s="235">
        <v>22</v>
      </c>
      <c r="D57" s="236">
        <v>34</v>
      </c>
      <c r="E57" s="174">
        <v>19</v>
      </c>
      <c r="F57" s="174">
        <v>25</v>
      </c>
      <c r="G57" s="174">
        <f t="shared" si="15"/>
        <v>44</v>
      </c>
      <c r="H57" s="174">
        <v>24</v>
      </c>
      <c r="I57" s="174">
        <v>35</v>
      </c>
      <c r="J57" s="183">
        <f t="shared" si="16"/>
        <v>59</v>
      </c>
      <c r="K57" s="174">
        <v>25</v>
      </c>
      <c r="L57" s="174">
        <v>19</v>
      </c>
      <c r="M57" s="183">
        <f t="shared" si="17"/>
        <v>44</v>
      </c>
      <c r="N57" s="174">
        <v>23</v>
      </c>
      <c r="O57" s="174">
        <v>26</v>
      </c>
      <c r="P57" s="183">
        <f t="shared" si="18"/>
        <v>49</v>
      </c>
      <c r="Q57" s="174">
        <v>19</v>
      </c>
      <c r="R57" s="174">
        <v>22</v>
      </c>
      <c r="S57" s="183">
        <f t="shared" si="19"/>
        <v>41</v>
      </c>
      <c r="T57" s="235">
        <v>23</v>
      </c>
      <c r="U57" s="235">
        <v>21</v>
      </c>
      <c r="V57" s="236">
        <f t="shared" si="20"/>
        <v>44</v>
      </c>
      <c r="W57" s="174">
        <v>24</v>
      </c>
      <c r="X57" s="174">
        <v>21</v>
      </c>
      <c r="Y57" s="183">
        <f t="shared" si="21"/>
        <v>45</v>
      </c>
      <c r="Z57" s="174">
        <v>24</v>
      </c>
      <c r="AA57" s="174">
        <v>16</v>
      </c>
      <c r="AB57" s="174">
        <f t="shared" si="22"/>
        <v>40</v>
      </c>
      <c r="AC57" s="174">
        <v>23</v>
      </c>
      <c r="AD57" s="174">
        <v>28</v>
      </c>
      <c r="AE57" s="183">
        <f t="shared" si="23"/>
        <v>51</v>
      </c>
      <c r="AF57" s="174">
        <v>26</v>
      </c>
      <c r="AG57" s="174">
        <v>19</v>
      </c>
      <c r="AH57" s="183">
        <f t="shared" si="24"/>
        <v>45</v>
      </c>
      <c r="AI57" s="174">
        <v>25</v>
      </c>
      <c r="AJ57" s="174">
        <v>30</v>
      </c>
      <c r="AK57" s="183">
        <f t="shared" si="25"/>
        <v>55</v>
      </c>
      <c r="AL57" s="183">
        <f t="shared" si="26"/>
        <v>267</v>
      </c>
      <c r="AM57" s="183">
        <f t="shared" si="27"/>
        <v>284</v>
      </c>
      <c r="AN57" s="183">
        <f t="shared" si="28"/>
        <v>551</v>
      </c>
      <c r="AO57" s="174">
        <v>12</v>
      </c>
      <c r="AQ57" s="192" t="str">
        <f t="shared" si="29"/>
        <v>JAIPUR</v>
      </c>
      <c r="AR57" s="191">
        <v>23</v>
      </c>
      <c r="AS57" s="191">
        <v>0</v>
      </c>
      <c r="AT57" s="192">
        <f t="shared" si="30"/>
        <v>23</v>
      </c>
      <c r="AU57" s="191">
        <v>20</v>
      </c>
      <c r="AV57" s="191">
        <v>0</v>
      </c>
      <c r="AW57" s="192">
        <f t="shared" si="31"/>
        <v>20</v>
      </c>
      <c r="AX57" s="191">
        <v>17</v>
      </c>
      <c r="AY57" s="191">
        <v>1</v>
      </c>
      <c r="AZ57" s="192">
        <f t="shared" si="32"/>
        <v>18</v>
      </c>
      <c r="BA57" s="191">
        <v>24</v>
      </c>
      <c r="BB57" s="191">
        <v>0</v>
      </c>
      <c r="BC57" s="192">
        <f t="shared" si="33"/>
        <v>24</v>
      </c>
      <c r="BD57" s="191">
        <v>33</v>
      </c>
      <c r="BE57" s="191">
        <v>0</v>
      </c>
      <c r="BF57" s="192">
        <f t="shared" si="34"/>
        <v>33</v>
      </c>
      <c r="BG57" s="191">
        <v>31</v>
      </c>
      <c r="BH57" s="191">
        <v>0</v>
      </c>
      <c r="BI57" s="192">
        <f t="shared" si="35"/>
        <v>31</v>
      </c>
      <c r="BJ57" s="191">
        <v>37</v>
      </c>
      <c r="BK57" s="191">
        <v>0</v>
      </c>
      <c r="BL57" s="192">
        <f t="shared" si="36"/>
        <v>37</v>
      </c>
      <c r="BM57" s="191">
        <v>34</v>
      </c>
      <c r="BN57" s="191">
        <v>1</v>
      </c>
      <c r="BO57" s="192">
        <f t="shared" si="37"/>
        <v>35</v>
      </c>
      <c r="BP57" s="191">
        <v>29</v>
      </c>
      <c r="BQ57" s="191">
        <v>0</v>
      </c>
      <c r="BR57" s="192">
        <f t="shared" si="38"/>
        <v>29</v>
      </c>
      <c r="BS57" s="191">
        <v>37</v>
      </c>
      <c r="BT57" s="191">
        <v>0</v>
      </c>
      <c r="BU57" s="192">
        <f t="shared" si="39"/>
        <v>37</v>
      </c>
      <c r="BV57" s="191">
        <v>36</v>
      </c>
      <c r="BW57" s="191">
        <v>0</v>
      </c>
      <c r="BX57" s="192">
        <f t="shared" si="40"/>
        <v>36</v>
      </c>
      <c r="BY57" s="191">
        <v>41</v>
      </c>
      <c r="BZ57" s="191">
        <v>1</v>
      </c>
      <c r="CA57" s="192">
        <f t="shared" si="41"/>
        <v>42</v>
      </c>
      <c r="CB57" s="192">
        <f t="shared" si="42"/>
        <v>362</v>
      </c>
      <c r="CC57" s="192">
        <f t="shared" si="43"/>
        <v>3</v>
      </c>
      <c r="CD57" s="192">
        <f t="shared" si="44"/>
        <v>365</v>
      </c>
    </row>
    <row r="58" spans="1:82" x14ac:dyDescent="0.25">
      <c r="A58" s="193" t="s">
        <v>130</v>
      </c>
      <c r="B58" s="235">
        <v>34</v>
      </c>
      <c r="C58" s="235">
        <v>28</v>
      </c>
      <c r="D58" s="236">
        <v>62</v>
      </c>
      <c r="E58" s="174">
        <v>38</v>
      </c>
      <c r="F58" s="174">
        <v>26</v>
      </c>
      <c r="G58" s="174">
        <f t="shared" si="15"/>
        <v>64</v>
      </c>
      <c r="H58" s="174">
        <v>33</v>
      </c>
      <c r="I58" s="174">
        <v>27</v>
      </c>
      <c r="J58" s="183">
        <f t="shared" si="16"/>
        <v>60</v>
      </c>
      <c r="K58" s="174">
        <v>41</v>
      </c>
      <c r="L58" s="174">
        <v>37</v>
      </c>
      <c r="M58" s="183">
        <f t="shared" si="17"/>
        <v>78</v>
      </c>
      <c r="N58" s="174">
        <v>24</v>
      </c>
      <c r="O58" s="174">
        <v>25</v>
      </c>
      <c r="P58" s="183">
        <f t="shared" si="18"/>
        <v>49</v>
      </c>
      <c r="Q58" s="174">
        <v>39</v>
      </c>
      <c r="R58" s="174">
        <v>25</v>
      </c>
      <c r="S58" s="183">
        <f t="shared" si="19"/>
        <v>64</v>
      </c>
      <c r="T58" s="235">
        <v>26</v>
      </c>
      <c r="U58" s="235">
        <v>30</v>
      </c>
      <c r="V58" s="236">
        <f t="shared" si="20"/>
        <v>56</v>
      </c>
      <c r="W58" s="174">
        <v>19</v>
      </c>
      <c r="X58" s="174">
        <v>21</v>
      </c>
      <c r="Y58" s="183">
        <f t="shared" si="21"/>
        <v>40</v>
      </c>
      <c r="Z58" s="174">
        <v>18</v>
      </c>
      <c r="AA58" s="174">
        <v>19</v>
      </c>
      <c r="AB58" s="174">
        <f t="shared" si="22"/>
        <v>37</v>
      </c>
      <c r="AC58" s="174">
        <v>28</v>
      </c>
      <c r="AD58" s="174">
        <v>26</v>
      </c>
      <c r="AE58" s="183">
        <f t="shared" si="23"/>
        <v>54</v>
      </c>
      <c r="AF58" s="174">
        <v>17</v>
      </c>
      <c r="AG58" s="174">
        <v>19</v>
      </c>
      <c r="AH58" s="183">
        <f t="shared" si="24"/>
        <v>36</v>
      </c>
      <c r="AI58" s="174">
        <v>23</v>
      </c>
      <c r="AJ58" s="174">
        <v>27</v>
      </c>
      <c r="AK58" s="183">
        <f t="shared" si="25"/>
        <v>50</v>
      </c>
      <c r="AL58" s="183">
        <f t="shared" si="26"/>
        <v>340</v>
      </c>
      <c r="AM58" s="183">
        <f t="shared" si="27"/>
        <v>310</v>
      </c>
      <c r="AN58" s="183">
        <f t="shared" si="28"/>
        <v>650</v>
      </c>
      <c r="AO58" s="174">
        <v>12</v>
      </c>
      <c r="AQ58" s="192" t="str">
        <f t="shared" si="29"/>
        <v>MUMBAI-PAREL</v>
      </c>
      <c r="AR58" s="191">
        <v>24</v>
      </c>
      <c r="AS58" s="191">
        <v>1</v>
      </c>
      <c r="AT58" s="192">
        <f t="shared" si="30"/>
        <v>25</v>
      </c>
      <c r="AU58" s="191">
        <v>32</v>
      </c>
      <c r="AV58" s="191">
        <v>3</v>
      </c>
      <c r="AW58" s="192">
        <f t="shared" si="31"/>
        <v>35</v>
      </c>
      <c r="AX58" s="191">
        <v>44</v>
      </c>
      <c r="AY58" s="191">
        <v>1</v>
      </c>
      <c r="AZ58" s="192">
        <f t="shared" si="32"/>
        <v>45</v>
      </c>
      <c r="BA58" s="191">
        <v>57</v>
      </c>
      <c r="BB58" s="191">
        <v>1</v>
      </c>
      <c r="BC58" s="192">
        <f t="shared" si="33"/>
        <v>58</v>
      </c>
      <c r="BD58" s="191">
        <v>59</v>
      </c>
      <c r="BE58" s="191">
        <v>0</v>
      </c>
      <c r="BF58" s="192">
        <f t="shared" si="34"/>
        <v>59</v>
      </c>
      <c r="BG58" s="191">
        <v>50</v>
      </c>
      <c r="BH58" s="191">
        <v>2</v>
      </c>
      <c r="BI58" s="192">
        <f t="shared" si="35"/>
        <v>52</v>
      </c>
      <c r="BJ58" s="191">
        <v>55</v>
      </c>
      <c r="BK58" s="191">
        <v>0</v>
      </c>
      <c r="BL58" s="192">
        <f t="shared" si="36"/>
        <v>55</v>
      </c>
      <c r="BM58" s="191">
        <v>54</v>
      </c>
      <c r="BN58" s="191">
        <v>2</v>
      </c>
      <c r="BO58" s="192">
        <f t="shared" si="37"/>
        <v>56</v>
      </c>
      <c r="BP58" s="191">
        <v>51</v>
      </c>
      <c r="BQ58" s="191">
        <v>0</v>
      </c>
      <c r="BR58" s="192">
        <f t="shared" si="38"/>
        <v>51</v>
      </c>
      <c r="BS58" s="191">
        <v>41</v>
      </c>
      <c r="BT58" s="191">
        <v>4</v>
      </c>
      <c r="BU58" s="192">
        <f t="shared" si="39"/>
        <v>45</v>
      </c>
      <c r="BV58" s="191">
        <v>46</v>
      </c>
      <c r="BW58" s="191">
        <v>7</v>
      </c>
      <c r="BX58" s="192">
        <f t="shared" si="40"/>
        <v>53</v>
      </c>
      <c r="BY58" s="191">
        <v>46</v>
      </c>
      <c r="BZ58" s="191">
        <v>8</v>
      </c>
      <c r="CA58" s="192">
        <f t="shared" si="41"/>
        <v>54</v>
      </c>
      <c r="CB58" s="192">
        <f t="shared" si="42"/>
        <v>559</v>
      </c>
      <c r="CC58" s="192">
        <f t="shared" si="43"/>
        <v>29</v>
      </c>
      <c r="CD58" s="192">
        <f t="shared" si="44"/>
        <v>588</v>
      </c>
    </row>
    <row r="59" spans="1:82" x14ac:dyDescent="0.25">
      <c r="A59" s="193" t="s">
        <v>87</v>
      </c>
      <c r="B59" s="235">
        <v>9</v>
      </c>
      <c r="C59" s="235">
        <v>10</v>
      </c>
      <c r="D59" s="236">
        <v>19</v>
      </c>
      <c r="E59" s="174">
        <v>11</v>
      </c>
      <c r="F59" s="174">
        <v>10</v>
      </c>
      <c r="G59" s="174">
        <f t="shared" si="15"/>
        <v>21</v>
      </c>
      <c r="H59" s="174">
        <v>9</v>
      </c>
      <c r="I59" s="174">
        <v>10</v>
      </c>
      <c r="J59" s="183">
        <f t="shared" si="16"/>
        <v>19</v>
      </c>
      <c r="K59" s="174">
        <v>7</v>
      </c>
      <c r="L59" s="174">
        <v>6</v>
      </c>
      <c r="M59" s="183">
        <f t="shared" si="17"/>
        <v>13</v>
      </c>
      <c r="N59" s="174">
        <v>10</v>
      </c>
      <c r="O59" s="174">
        <v>12</v>
      </c>
      <c r="P59" s="183">
        <f t="shared" si="18"/>
        <v>22</v>
      </c>
      <c r="Q59" s="174">
        <v>16</v>
      </c>
      <c r="R59" s="174">
        <v>6</v>
      </c>
      <c r="S59" s="183">
        <f t="shared" si="19"/>
        <v>22</v>
      </c>
      <c r="T59" s="235">
        <v>6</v>
      </c>
      <c r="U59" s="235">
        <v>9</v>
      </c>
      <c r="V59" s="236">
        <f t="shared" si="20"/>
        <v>15</v>
      </c>
      <c r="W59" s="174">
        <v>13</v>
      </c>
      <c r="X59" s="174">
        <v>3</v>
      </c>
      <c r="Y59" s="183">
        <f t="shared" si="21"/>
        <v>16</v>
      </c>
      <c r="Z59" s="174">
        <v>9</v>
      </c>
      <c r="AA59" s="174">
        <v>10</v>
      </c>
      <c r="AB59" s="174">
        <f t="shared" si="22"/>
        <v>19</v>
      </c>
      <c r="AC59" s="174">
        <v>5</v>
      </c>
      <c r="AD59" s="174">
        <v>3</v>
      </c>
      <c r="AE59" s="183">
        <f t="shared" si="23"/>
        <v>8</v>
      </c>
      <c r="AF59" s="174">
        <v>12</v>
      </c>
      <c r="AG59" s="174">
        <v>9</v>
      </c>
      <c r="AH59" s="183">
        <f t="shared" si="24"/>
        <v>21</v>
      </c>
      <c r="AI59" s="174">
        <v>3</v>
      </c>
      <c r="AJ59" s="174">
        <v>7</v>
      </c>
      <c r="AK59" s="183">
        <f t="shared" si="25"/>
        <v>10</v>
      </c>
      <c r="AL59" s="183">
        <f t="shared" si="26"/>
        <v>110</v>
      </c>
      <c r="AM59" s="183">
        <f t="shared" si="27"/>
        <v>95</v>
      </c>
      <c r="AN59" s="183">
        <f t="shared" si="28"/>
        <v>205</v>
      </c>
      <c r="AO59" s="174">
        <v>12</v>
      </c>
      <c r="AQ59" s="192" t="str">
        <f t="shared" si="29"/>
        <v>LUDHIANA</v>
      </c>
      <c r="AR59" s="191">
        <v>12</v>
      </c>
      <c r="AS59" s="191">
        <v>0</v>
      </c>
      <c r="AT59" s="192">
        <f t="shared" si="30"/>
        <v>12</v>
      </c>
      <c r="AU59" s="191">
        <v>11</v>
      </c>
      <c r="AV59" s="191">
        <v>1</v>
      </c>
      <c r="AW59" s="192">
        <f t="shared" si="31"/>
        <v>12</v>
      </c>
      <c r="AX59" s="191">
        <v>8</v>
      </c>
      <c r="AY59" s="191">
        <v>1</v>
      </c>
      <c r="AZ59" s="192">
        <f t="shared" si="32"/>
        <v>9</v>
      </c>
      <c r="BA59" s="191">
        <v>10</v>
      </c>
      <c r="BB59" s="191">
        <v>0</v>
      </c>
      <c r="BC59" s="192">
        <f t="shared" si="33"/>
        <v>10</v>
      </c>
      <c r="BD59" s="191">
        <v>13</v>
      </c>
      <c r="BE59" s="191">
        <v>1</v>
      </c>
      <c r="BF59" s="192">
        <f t="shared" si="34"/>
        <v>14</v>
      </c>
      <c r="BG59" s="191">
        <v>8</v>
      </c>
      <c r="BH59" s="191">
        <v>0</v>
      </c>
      <c r="BI59" s="192">
        <f t="shared" si="35"/>
        <v>8</v>
      </c>
      <c r="BJ59" s="191">
        <v>19</v>
      </c>
      <c r="BK59" s="191">
        <v>0</v>
      </c>
      <c r="BL59" s="192">
        <f t="shared" si="36"/>
        <v>19</v>
      </c>
      <c r="BM59" s="191">
        <v>19</v>
      </c>
      <c r="BN59" s="191">
        <v>0</v>
      </c>
      <c r="BO59" s="192">
        <f t="shared" si="37"/>
        <v>19</v>
      </c>
      <c r="BP59" s="191">
        <v>12</v>
      </c>
      <c r="BQ59" s="191">
        <v>0</v>
      </c>
      <c r="BR59" s="192">
        <f t="shared" si="38"/>
        <v>12</v>
      </c>
      <c r="BS59" s="191">
        <v>14</v>
      </c>
      <c r="BT59" s="191">
        <v>0</v>
      </c>
      <c r="BU59" s="192">
        <f t="shared" si="39"/>
        <v>14</v>
      </c>
      <c r="BV59" s="191">
        <v>13</v>
      </c>
      <c r="BW59" s="191">
        <v>0</v>
      </c>
      <c r="BX59" s="192">
        <f t="shared" si="40"/>
        <v>13</v>
      </c>
      <c r="BY59" s="191">
        <v>12</v>
      </c>
      <c r="BZ59" s="191">
        <v>1</v>
      </c>
      <c r="CA59" s="192">
        <f t="shared" si="41"/>
        <v>13</v>
      </c>
      <c r="CB59" s="192">
        <f t="shared" si="42"/>
        <v>151</v>
      </c>
      <c r="CC59" s="192">
        <f t="shared" si="43"/>
        <v>4</v>
      </c>
      <c r="CD59" s="192">
        <f t="shared" si="44"/>
        <v>155</v>
      </c>
    </row>
    <row r="60" spans="1:82" x14ac:dyDescent="0.25">
      <c r="A60" s="193" t="s">
        <v>95</v>
      </c>
      <c r="B60" s="235">
        <v>15</v>
      </c>
      <c r="C60" s="235">
        <v>8</v>
      </c>
      <c r="D60" s="236">
        <v>23</v>
      </c>
      <c r="E60" s="174">
        <v>15</v>
      </c>
      <c r="F60" s="174">
        <v>4</v>
      </c>
      <c r="G60" s="174">
        <f t="shared" si="15"/>
        <v>19</v>
      </c>
      <c r="H60" s="174">
        <v>13</v>
      </c>
      <c r="I60" s="174">
        <v>10</v>
      </c>
      <c r="J60" s="183">
        <f t="shared" si="16"/>
        <v>23</v>
      </c>
      <c r="K60" s="174">
        <v>17</v>
      </c>
      <c r="L60" s="174">
        <v>4</v>
      </c>
      <c r="M60" s="183">
        <f t="shared" si="17"/>
        <v>21</v>
      </c>
      <c r="N60" s="174">
        <v>11</v>
      </c>
      <c r="O60" s="174">
        <v>8</v>
      </c>
      <c r="P60" s="183">
        <f t="shared" si="18"/>
        <v>19</v>
      </c>
      <c r="Q60" s="174">
        <v>17</v>
      </c>
      <c r="R60" s="174">
        <v>4</v>
      </c>
      <c r="S60" s="183">
        <f t="shared" si="19"/>
        <v>21</v>
      </c>
      <c r="T60" s="235">
        <v>14</v>
      </c>
      <c r="U60" s="235">
        <v>8</v>
      </c>
      <c r="V60" s="236">
        <f t="shared" si="20"/>
        <v>22</v>
      </c>
      <c r="W60" s="174">
        <v>14</v>
      </c>
      <c r="X60" s="174">
        <v>4</v>
      </c>
      <c r="Y60" s="183">
        <f t="shared" si="21"/>
        <v>18</v>
      </c>
      <c r="Z60" s="174">
        <v>13</v>
      </c>
      <c r="AA60" s="174">
        <v>5</v>
      </c>
      <c r="AB60" s="174">
        <f t="shared" si="22"/>
        <v>18</v>
      </c>
      <c r="AC60" s="174">
        <v>18</v>
      </c>
      <c r="AD60" s="174">
        <v>4</v>
      </c>
      <c r="AE60" s="183">
        <f t="shared" si="23"/>
        <v>22</v>
      </c>
      <c r="AF60" s="174">
        <v>9</v>
      </c>
      <c r="AG60" s="174">
        <v>8</v>
      </c>
      <c r="AH60" s="183">
        <f t="shared" si="24"/>
        <v>17</v>
      </c>
      <c r="AI60" s="174">
        <v>11</v>
      </c>
      <c r="AJ60" s="174">
        <v>9</v>
      </c>
      <c r="AK60" s="183">
        <f t="shared" si="25"/>
        <v>20</v>
      </c>
      <c r="AL60" s="183">
        <f t="shared" si="26"/>
        <v>167</v>
      </c>
      <c r="AM60" s="183">
        <f t="shared" si="27"/>
        <v>76</v>
      </c>
      <c r="AN60" s="183">
        <f t="shared" si="28"/>
        <v>243</v>
      </c>
      <c r="AO60" s="174">
        <v>12</v>
      </c>
      <c r="AQ60" s="192" t="str">
        <f t="shared" si="29"/>
        <v>DEHRADUN</v>
      </c>
      <c r="AR60" s="191">
        <v>15</v>
      </c>
      <c r="AS60" s="191">
        <v>2</v>
      </c>
      <c r="AT60" s="192">
        <f t="shared" si="30"/>
        <v>17</v>
      </c>
      <c r="AU60" s="191">
        <v>21</v>
      </c>
      <c r="AV60" s="191">
        <v>0</v>
      </c>
      <c r="AW60" s="192">
        <f t="shared" si="31"/>
        <v>21</v>
      </c>
      <c r="AX60" s="191">
        <v>21</v>
      </c>
      <c r="AY60" s="191">
        <v>0</v>
      </c>
      <c r="AZ60" s="192">
        <f t="shared" si="32"/>
        <v>21</v>
      </c>
      <c r="BA60" s="191">
        <v>25</v>
      </c>
      <c r="BB60" s="191">
        <v>0</v>
      </c>
      <c r="BC60" s="192">
        <f t="shared" si="33"/>
        <v>25</v>
      </c>
      <c r="BD60" s="191">
        <v>28</v>
      </c>
      <c r="BE60" s="191">
        <v>0</v>
      </c>
      <c r="BF60" s="192">
        <f t="shared" si="34"/>
        <v>28</v>
      </c>
      <c r="BG60" s="191">
        <v>27</v>
      </c>
      <c r="BH60" s="191">
        <v>0</v>
      </c>
      <c r="BI60" s="192">
        <f t="shared" si="35"/>
        <v>27</v>
      </c>
      <c r="BJ60" s="191">
        <v>31</v>
      </c>
      <c r="BK60" s="191">
        <v>0</v>
      </c>
      <c r="BL60" s="192">
        <f t="shared" si="36"/>
        <v>31</v>
      </c>
      <c r="BM60" s="191">
        <v>33</v>
      </c>
      <c r="BN60" s="191">
        <v>0</v>
      </c>
      <c r="BO60" s="192">
        <f t="shared" si="37"/>
        <v>33</v>
      </c>
      <c r="BP60" s="191">
        <v>37</v>
      </c>
      <c r="BQ60" s="191">
        <v>0</v>
      </c>
      <c r="BR60" s="192">
        <f t="shared" si="38"/>
        <v>37</v>
      </c>
      <c r="BS60" s="191">
        <v>32</v>
      </c>
      <c r="BT60" s="191">
        <v>0</v>
      </c>
      <c r="BU60" s="192">
        <f t="shared" si="39"/>
        <v>32</v>
      </c>
      <c r="BV60" s="191">
        <v>27</v>
      </c>
      <c r="BW60" s="191">
        <v>0</v>
      </c>
      <c r="BX60" s="192">
        <f t="shared" si="40"/>
        <v>27</v>
      </c>
      <c r="BY60" s="191">
        <v>24</v>
      </c>
      <c r="BZ60" s="191">
        <v>0</v>
      </c>
      <c r="CA60" s="192">
        <f t="shared" si="41"/>
        <v>24</v>
      </c>
      <c r="CB60" s="192">
        <f t="shared" si="42"/>
        <v>321</v>
      </c>
      <c r="CC60" s="192">
        <f t="shared" si="43"/>
        <v>2</v>
      </c>
      <c r="CD60" s="192">
        <f t="shared" si="44"/>
        <v>323</v>
      </c>
    </row>
    <row r="61" spans="1:82" x14ac:dyDescent="0.25">
      <c r="A61" s="193" t="s">
        <v>126</v>
      </c>
      <c r="B61" s="235">
        <v>0</v>
      </c>
      <c r="C61" s="235">
        <v>0</v>
      </c>
      <c r="D61" s="236">
        <v>0</v>
      </c>
      <c r="E61" s="174">
        <v>6</v>
      </c>
      <c r="F61" s="174">
        <v>13</v>
      </c>
      <c r="G61" s="174">
        <f>E61+F61</f>
        <v>19</v>
      </c>
      <c r="H61" s="174">
        <v>9</v>
      </c>
      <c r="I61" s="174">
        <v>10</v>
      </c>
      <c r="J61" s="183">
        <f t="shared" si="16"/>
        <v>19</v>
      </c>
      <c r="K61" s="174">
        <v>4</v>
      </c>
      <c r="L61" s="174">
        <v>6</v>
      </c>
      <c r="M61" s="183">
        <f t="shared" si="17"/>
        <v>10</v>
      </c>
      <c r="N61" s="174">
        <v>6</v>
      </c>
      <c r="O61" s="174">
        <v>10</v>
      </c>
      <c r="P61" s="183">
        <f t="shared" si="18"/>
        <v>16</v>
      </c>
      <c r="Q61" s="174">
        <v>6</v>
      </c>
      <c r="R61" s="174">
        <v>7</v>
      </c>
      <c r="S61" s="183">
        <f t="shared" si="19"/>
        <v>13</v>
      </c>
      <c r="T61" s="235">
        <v>5</v>
      </c>
      <c r="U61" s="235">
        <v>4</v>
      </c>
      <c r="V61" s="236">
        <f t="shared" si="20"/>
        <v>9</v>
      </c>
      <c r="W61" s="174">
        <v>3</v>
      </c>
      <c r="X61" s="174">
        <v>7</v>
      </c>
      <c r="Y61" s="183">
        <f t="shared" si="21"/>
        <v>10</v>
      </c>
      <c r="Z61" s="174">
        <v>7</v>
      </c>
      <c r="AA61" s="174">
        <v>11</v>
      </c>
      <c r="AB61" s="174">
        <f t="shared" si="22"/>
        <v>18</v>
      </c>
      <c r="AC61" s="174">
        <v>2</v>
      </c>
      <c r="AD61" s="174">
        <v>2</v>
      </c>
      <c r="AE61" s="183">
        <f t="shared" si="23"/>
        <v>4</v>
      </c>
      <c r="AF61" s="174">
        <v>0</v>
      </c>
      <c r="AG61" s="174">
        <v>0</v>
      </c>
      <c r="AH61" s="183">
        <f t="shared" si="24"/>
        <v>0</v>
      </c>
      <c r="AI61" s="174">
        <v>0</v>
      </c>
      <c r="AJ61" s="174">
        <v>0</v>
      </c>
      <c r="AK61" s="183">
        <f t="shared" si="25"/>
        <v>0</v>
      </c>
      <c r="AL61" s="183">
        <f t="shared" si="26"/>
        <v>48</v>
      </c>
      <c r="AM61" s="183">
        <f t="shared" si="27"/>
        <v>70</v>
      </c>
      <c r="AN61" s="183">
        <f t="shared" si="28"/>
        <v>118</v>
      </c>
      <c r="AO61" s="174">
        <v>11</v>
      </c>
      <c r="AQ61" s="192" t="str">
        <f t="shared" si="29"/>
        <v>DELHI-CHH</v>
      </c>
      <c r="AR61" s="191">
        <v>0</v>
      </c>
      <c r="AS61" s="191">
        <v>0</v>
      </c>
      <c r="AT61" s="192">
        <f t="shared" si="30"/>
        <v>0</v>
      </c>
      <c r="AU61" s="191">
        <v>4</v>
      </c>
      <c r="AV61" s="191">
        <v>3</v>
      </c>
      <c r="AW61" s="192">
        <f t="shared" si="31"/>
        <v>7</v>
      </c>
      <c r="AX61" s="191">
        <v>3</v>
      </c>
      <c r="AY61" s="191">
        <v>2</v>
      </c>
      <c r="AZ61" s="192">
        <f t="shared" si="32"/>
        <v>5</v>
      </c>
      <c r="BA61" s="191">
        <v>2</v>
      </c>
      <c r="BB61" s="191">
        <v>1</v>
      </c>
      <c r="BC61" s="192">
        <f t="shared" si="33"/>
        <v>3</v>
      </c>
      <c r="BD61" s="191">
        <v>6</v>
      </c>
      <c r="BE61" s="191">
        <v>1</v>
      </c>
      <c r="BF61" s="192">
        <f t="shared" si="34"/>
        <v>7</v>
      </c>
      <c r="BG61" s="191">
        <v>6</v>
      </c>
      <c r="BH61" s="191">
        <v>1</v>
      </c>
      <c r="BI61" s="192">
        <f t="shared" si="35"/>
        <v>7</v>
      </c>
      <c r="BJ61" s="191">
        <v>9</v>
      </c>
      <c r="BK61" s="191">
        <v>0</v>
      </c>
      <c r="BL61" s="192">
        <f t="shared" si="36"/>
        <v>9</v>
      </c>
      <c r="BM61" s="191">
        <v>8</v>
      </c>
      <c r="BN61" s="191">
        <v>2</v>
      </c>
      <c r="BO61" s="192">
        <f t="shared" si="37"/>
        <v>10</v>
      </c>
      <c r="BP61" s="191">
        <v>12</v>
      </c>
      <c r="BQ61" s="191">
        <v>0</v>
      </c>
      <c r="BR61" s="192">
        <f t="shared" si="38"/>
        <v>12</v>
      </c>
      <c r="BS61" s="191">
        <v>14</v>
      </c>
      <c r="BT61" s="191">
        <v>1</v>
      </c>
      <c r="BU61" s="192">
        <f t="shared" si="39"/>
        <v>15</v>
      </c>
      <c r="BV61" s="191">
        <v>6</v>
      </c>
      <c r="BW61" s="191">
        <v>0</v>
      </c>
      <c r="BX61" s="192">
        <f t="shared" si="40"/>
        <v>6</v>
      </c>
      <c r="BY61" s="191">
        <v>3</v>
      </c>
      <c r="BZ61" s="191">
        <v>0</v>
      </c>
      <c r="CA61" s="192">
        <f t="shared" si="41"/>
        <v>3</v>
      </c>
      <c r="CB61" s="192">
        <f t="shared" si="42"/>
        <v>73</v>
      </c>
      <c r="CC61" s="192">
        <f t="shared" si="43"/>
        <v>11</v>
      </c>
      <c r="CD61" s="192">
        <f t="shared" si="44"/>
        <v>84</v>
      </c>
    </row>
    <row r="62" spans="1:82" x14ac:dyDescent="0.25">
      <c r="A62" s="193" t="s">
        <v>132</v>
      </c>
      <c r="B62" s="235">
        <v>0</v>
      </c>
      <c r="C62" s="235">
        <v>0</v>
      </c>
      <c r="D62" s="236">
        <v>0</v>
      </c>
      <c r="E62" s="174">
        <v>17</v>
      </c>
      <c r="F62" s="174">
        <v>0</v>
      </c>
      <c r="G62" s="174">
        <f t="shared" ref="G62:G63" si="45">E62+F62</f>
        <v>17</v>
      </c>
      <c r="H62" s="174">
        <v>6</v>
      </c>
      <c r="I62" s="174">
        <v>1</v>
      </c>
      <c r="J62" s="183">
        <f t="shared" si="16"/>
        <v>7</v>
      </c>
      <c r="K62" s="174">
        <v>9</v>
      </c>
      <c r="L62" s="174">
        <v>6</v>
      </c>
      <c r="M62" s="183">
        <f t="shared" si="17"/>
        <v>15</v>
      </c>
      <c r="N62" s="174">
        <v>4</v>
      </c>
      <c r="O62" s="174">
        <v>5</v>
      </c>
      <c r="P62" s="183">
        <f t="shared" si="18"/>
        <v>9</v>
      </c>
      <c r="Q62" s="174">
        <v>2</v>
      </c>
      <c r="R62" s="174">
        <v>3</v>
      </c>
      <c r="S62" s="183">
        <f t="shared" si="19"/>
        <v>5</v>
      </c>
      <c r="T62" s="235">
        <v>6</v>
      </c>
      <c r="U62" s="235">
        <v>4</v>
      </c>
      <c r="V62" s="236">
        <f t="shared" si="20"/>
        <v>10</v>
      </c>
      <c r="W62" s="174">
        <v>8</v>
      </c>
      <c r="X62" s="174">
        <v>6</v>
      </c>
      <c r="Y62" s="183">
        <f t="shared" si="21"/>
        <v>14</v>
      </c>
      <c r="Z62" s="174">
        <v>6</v>
      </c>
      <c r="AA62" s="174">
        <v>6</v>
      </c>
      <c r="AB62" s="174">
        <f t="shared" si="22"/>
        <v>12</v>
      </c>
      <c r="AC62" s="174">
        <v>3</v>
      </c>
      <c r="AD62" s="174">
        <v>7</v>
      </c>
      <c r="AE62" s="183">
        <f t="shared" si="23"/>
        <v>10</v>
      </c>
      <c r="AF62" s="174">
        <v>11</v>
      </c>
      <c r="AG62" s="174">
        <v>6</v>
      </c>
      <c r="AH62" s="183">
        <f t="shared" si="24"/>
        <v>17</v>
      </c>
      <c r="AI62" s="174">
        <v>2</v>
      </c>
      <c r="AJ62" s="174">
        <v>4</v>
      </c>
      <c r="AK62" s="183">
        <f t="shared" si="25"/>
        <v>6</v>
      </c>
      <c r="AL62" s="183">
        <f t="shared" si="26"/>
        <v>74</v>
      </c>
      <c r="AM62" s="183">
        <f t="shared" si="27"/>
        <v>48</v>
      </c>
      <c r="AN62" s="183">
        <f t="shared" si="28"/>
        <v>122</v>
      </c>
      <c r="AO62" s="174">
        <v>11</v>
      </c>
      <c r="AQ62" s="192" t="str">
        <f t="shared" si="29"/>
        <v>SRI SRI</v>
      </c>
      <c r="AR62" s="191">
        <v>0</v>
      </c>
      <c r="AS62" s="191">
        <v>0</v>
      </c>
      <c r="AT62" s="192">
        <f t="shared" si="30"/>
        <v>0</v>
      </c>
      <c r="AU62" s="191">
        <v>0</v>
      </c>
      <c r="AV62" s="191">
        <v>0</v>
      </c>
      <c r="AW62" s="192">
        <f t="shared" si="31"/>
        <v>0</v>
      </c>
      <c r="AX62" s="191">
        <v>4</v>
      </c>
      <c r="AY62" s="191">
        <v>0</v>
      </c>
      <c r="AZ62" s="192">
        <f t="shared" si="32"/>
        <v>4</v>
      </c>
      <c r="BA62" s="191">
        <v>4</v>
      </c>
      <c r="BB62" s="191">
        <v>0</v>
      </c>
      <c r="BC62" s="192">
        <f t="shared" si="33"/>
        <v>4</v>
      </c>
      <c r="BD62" s="191">
        <v>6</v>
      </c>
      <c r="BE62" s="191">
        <v>0</v>
      </c>
      <c r="BF62" s="192">
        <f t="shared" si="34"/>
        <v>6</v>
      </c>
      <c r="BG62" s="191">
        <v>7</v>
      </c>
      <c r="BH62" s="191">
        <v>0</v>
      </c>
      <c r="BI62" s="192">
        <f t="shared" si="35"/>
        <v>7</v>
      </c>
      <c r="BJ62" s="191">
        <v>6</v>
      </c>
      <c r="BK62" s="191">
        <v>0</v>
      </c>
      <c r="BL62" s="192">
        <f t="shared" si="36"/>
        <v>6</v>
      </c>
      <c r="BM62" s="191">
        <v>3</v>
      </c>
      <c r="BN62" s="191">
        <v>0</v>
      </c>
      <c r="BO62" s="192">
        <f t="shared" si="37"/>
        <v>3</v>
      </c>
      <c r="BP62" s="191">
        <v>5</v>
      </c>
      <c r="BQ62" s="191">
        <v>0</v>
      </c>
      <c r="BR62" s="192">
        <f t="shared" si="38"/>
        <v>5</v>
      </c>
      <c r="BS62" s="191">
        <v>10</v>
      </c>
      <c r="BT62" s="191">
        <v>0</v>
      </c>
      <c r="BU62" s="192">
        <f t="shared" si="39"/>
        <v>10</v>
      </c>
      <c r="BV62" s="191">
        <v>5</v>
      </c>
      <c r="BW62" s="191">
        <v>0</v>
      </c>
      <c r="BX62" s="192">
        <f t="shared" si="40"/>
        <v>5</v>
      </c>
      <c r="BY62" s="191">
        <v>9</v>
      </c>
      <c r="BZ62" s="191">
        <v>0</v>
      </c>
      <c r="CA62" s="192">
        <f t="shared" si="41"/>
        <v>9</v>
      </c>
      <c r="CB62" s="192">
        <f t="shared" si="42"/>
        <v>59</v>
      </c>
      <c r="CC62" s="192">
        <f t="shared" si="43"/>
        <v>0</v>
      </c>
      <c r="CD62" s="192">
        <f t="shared" si="44"/>
        <v>59</v>
      </c>
    </row>
    <row r="63" spans="1:82" x14ac:dyDescent="0.25">
      <c r="A63" s="193" t="s">
        <v>113</v>
      </c>
      <c r="B63" s="235">
        <v>0</v>
      </c>
      <c r="C63" s="235">
        <v>0</v>
      </c>
      <c r="D63" s="236">
        <v>0</v>
      </c>
      <c r="E63" s="174">
        <v>13</v>
      </c>
      <c r="F63" s="174">
        <v>7</v>
      </c>
      <c r="G63" s="174">
        <f t="shared" si="45"/>
        <v>20</v>
      </c>
      <c r="H63" s="174">
        <v>17</v>
      </c>
      <c r="I63" s="174">
        <v>17</v>
      </c>
      <c r="J63" s="183">
        <f t="shared" si="16"/>
        <v>34</v>
      </c>
      <c r="K63" s="174">
        <v>10</v>
      </c>
      <c r="L63" s="174">
        <v>10</v>
      </c>
      <c r="M63" s="183">
        <f t="shared" si="17"/>
        <v>20</v>
      </c>
      <c r="N63" s="174">
        <v>16</v>
      </c>
      <c r="O63" s="174">
        <v>20</v>
      </c>
      <c r="P63" s="183">
        <f t="shared" si="18"/>
        <v>36</v>
      </c>
      <c r="Q63" s="174">
        <v>20</v>
      </c>
      <c r="R63" s="174">
        <v>21</v>
      </c>
      <c r="S63" s="183">
        <f t="shared" si="19"/>
        <v>41</v>
      </c>
      <c r="T63" s="235">
        <v>12</v>
      </c>
      <c r="U63" s="235">
        <v>19</v>
      </c>
      <c r="V63" s="236">
        <f t="shared" si="20"/>
        <v>31</v>
      </c>
      <c r="W63" s="174">
        <v>16</v>
      </c>
      <c r="X63" s="174">
        <v>11</v>
      </c>
      <c r="Y63" s="183">
        <f t="shared" si="21"/>
        <v>27</v>
      </c>
      <c r="Z63" s="174">
        <v>9</v>
      </c>
      <c r="AA63" s="174">
        <v>10</v>
      </c>
      <c r="AB63" s="174">
        <f t="shared" si="22"/>
        <v>19</v>
      </c>
      <c r="AC63" s="174">
        <v>20</v>
      </c>
      <c r="AD63" s="174">
        <v>17</v>
      </c>
      <c r="AE63" s="183">
        <f t="shared" si="23"/>
        <v>37</v>
      </c>
      <c r="AF63" s="174">
        <v>16</v>
      </c>
      <c r="AG63" s="174">
        <v>13</v>
      </c>
      <c r="AH63" s="183">
        <f t="shared" si="24"/>
        <v>29</v>
      </c>
      <c r="AI63" s="174">
        <v>12</v>
      </c>
      <c r="AJ63" s="174">
        <v>15</v>
      </c>
      <c r="AK63" s="183">
        <f t="shared" si="25"/>
        <v>27</v>
      </c>
      <c r="AL63" s="183">
        <f t="shared" si="26"/>
        <v>161</v>
      </c>
      <c r="AM63" s="183">
        <f t="shared" si="27"/>
        <v>160</v>
      </c>
      <c r="AN63" s="183">
        <f t="shared" si="28"/>
        <v>321</v>
      </c>
      <c r="AO63" s="174">
        <v>11</v>
      </c>
      <c r="AQ63" s="192" t="str">
        <f t="shared" si="29"/>
        <v>VARANASI</v>
      </c>
      <c r="AR63" s="191">
        <v>0</v>
      </c>
      <c r="AS63" s="191">
        <v>0</v>
      </c>
      <c r="AT63" s="192">
        <f t="shared" si="30"/>
        <v>0</v>
      </c>
      <c r="AU63" s="191">
        <v>0</v>
      </c>
      <c r="AV63" s="191">
        <v>0</v>
      </c>
      <c r="AW63" s="192">
        <f t="shared" si="31"/>
        <v>0</v>
      </c>
      <c r="AX63" s="191">
        <v>7</v>
      </c>
      <c r="AY63" s="191">
        <v>0</v>
      </c>
      <c r="AZ63" s="192">
        <f t="shared" si="32"/>
        <v>7</v>
      </c>
      <c r="BA63" s="191">
        <v>10</v>
      </c>
      <c r="BB63" s="191">
        <v>0</v>
      </c>
      <c r="BC63" s="192">
        <f t="shared" si="33"/>
        <v>10</v>
      </c>
      <c r="BD63" s="191">
        <v>12</v>
      </c>
      <c r="BE63" s="191">
        <v>1</v>
      </c>
      <c r="BF63" s="192">
        <f t="shared" si="34"/>
        <v>13</v>
      </c>
      <c r="BG63" s="191">
        <v>20</v>
      </c>
      <c r="BH63" s="191">
        <v>1</v>
      </c>
      <c r="BI63" s="192">
        <f t="shared" si="35"/>
        <v>21</v>
      </c>
      <c r="BJ63" s="191">
        <v>24</v>
      </c>
      <c r="BK63" s="191">
        <v>0</v>
      </c>
      <c r="BL63" s="192">
        <f t="shared" si="36"/>
        <v>24</v>
      </c>
      <c r="BM63" s="191">
        <v>23</v>
      </c>
      <c r="BN63" s="191">
        <v>0</v>
      </c>
      <c r="BO63" s="192">
        <f t="shared" si="37"/>
        <v>23</v>
      </c>
      <c r="BP63" s="191">
        <v>26</v>
      </c>
      <c r="BQ63" s="191">
        <v>0</v>
      </c>
      <c r="BR63" s="192">
        <f t="shared" si="38"/>
        <v>26</v>
      </c>
      <c r="BS63" s="191">
        <v>18</v>
      </c>
      <c r="BT63" s="191">
        <v>0</v>
      </c>
      <c r="BU63" s="192">
        <f t="shared" si="39"/>
        <v>18</v>
      </c>
      <c r="BV63" s="191">
        <v>23</v>
      </c>
      <c r="BW63" s="191">
        <v>0</v>
      </c>
      <c r="BX63" s="192">
        <f t="shared" si="40"/>
        <v>23</v>
      </c>
      <c r="BY63" s="191">
        <v>18</v>
      </c>
      <c r="BZ63" s="191">
        <v>0</v>
      </c>
      <c r="CA63" s="192">
        <f t="shared" si="41"/>
        <v>18</v>
      </c>
      <c r="CB63" s="192">
        <f t="shared" si="42"/>
        <v>181</v>
      </c>
      <c r="CC63" s="192">
        <f t="shared" si="43"/>
        <v>2</v>
      </c>
      <c r="CD63" s="192">
        <f t="shared" si="44"/>
        <v>183</v>
      </c>
    </row>
    <row r="64" spans="1:82" x14ac:dyDescent="0.25">
      <c r="A64" s="193" t="s">
        <v>114</v>
      </c>
      <c r="B64" s="235">
        <v>0</v>
      </c>
      <c r="C64" s="235">
        <v>0</v>
      </c>
      <c r="D64" s="236">
        <v>0</v>
      </c>
      <c r="E64" s="174">
        <v>0</v>
      </c>
      <c r="F64" s="174">
        <v>0</v>
      </c>
      <c r="G64" s="174">
        <v>0</v>
      </c>
      <c r="H64" s="174">
        <v>0</v>
      </c>
      <c r="I64" s="174">
        <v>0</v>
      </c>
      <c r="J64" s="183">
        <v>0</v>
      </c>
      <c r="K64" s="174">
        <v>17</v>
      </c>
      <c r="L64" s="174">
        <v>17</v>
      </c>
      <c r="M64" s="183">
        <f t="shared" si="17"/>
        <v>34</v>
      </c>
      <c r="N64" s="174">
        <v>14</v>
      </c>
      <c r="O64" s="174">
        <v>22</v>
      </c>
      <c r="P64" s="183">
        <f t="shared" si="18"/>
        <v>36</v>
      </c>
      <c r="Q64" s="174">
        <v>13</v>
      </c>
      <c r="R64" s="174">
        <v>13</v>
      </c>
      <c r="S64" s="183">
        <f t="shared" si="19"/>
        <v>26</v>
      </c>
      <c r="T64" s="235">
        <v>14</v>
      </c>
      <c r="U64" s="235">
        <v>17</v>
      </c>
      <c r="V64" s="236">
        <f t="shared" si="20"/>
        <v>31</v>
      </c>
      <c r="W64" s="174">
        <v>16</v>
      </c>
      <c r="X64" s="174">
        <v>14</v>
      </c>
      <c r="Y64" s="183">
        <f t="shared" si="21"/>
        <v>30</v>
      </c>
      <c r="Z64" s="174">
        <v>11</v>
      </c>
      <c r="AA64" s="174">
        <v>14</v>
      </c>
      <c r="AB64" s="174">
        <f t="shared" si="22"/>
        <v>25</v>
      </c>
      <c r="AC64" s="174">
        <v>7</v>
      </c>
      <c r="AD64" s="174">
        <v>11</v>
      </c>
      <c r="AE64" s="183">
        <f t="shared" si="23"/>
        <v>18</v>
      </c>
      <c r="AF64" s="174">
        <v>6</v>
      </c>
      <c r="AG64" s="174">
        <v>13</v>
      </c>
      <c r="AH64" s="183">
        <f t="shared" si="24"/>
        <v>19</v>
      </c>
      <c r="AI64" s="174">
        <v>2</v>
      </c>
      <c r="AJ64" s="174">
        <v>5</v>
      </c>
      <c r="AK64" s="183">
        <f t="shared" si="25"/>
        <v>7</v>
      </c>
      <c r="AL64" s="183">
        <f t="shared" si="26"/>
        <v>100</v>
      </c>
      <c r="AM64" s="183">
        <f t="shared" si="27"/>
        <v>126</v>
      </c>
      <c r="AN64" s="183">
        <f t="shared" si="28"/>
        <v>226</v>
      </c>
      <c r="AO64" s="174">
        <v>9</v>
      </c>
      <c r="AQ64" s="192" t="str">
        <f t="shared" si="29"/>
        <v>SURAT</v>
      </c>
      <c r="AR64" s="191">
        <v>0</v>
      </c>
      <c r="AS64" s="191">
        <v>0</v>
      </c>
      <c r="AT64" s="192">
        <f t="shared" si="30"/>
        <v>0</v>
      </c>
      <c r="AU64" s="191">
        <v>0</v>
      </c>
      <c r="AV64" s="191">
        <v>0</v>
      </c>
      <c r="AW64" s="192">
        <f t="shared" si="31"/>
        <v>0</v>
      </c>
      <c r="AX64" s="191">
        <v>0</v>
      </c>
      <c r="AY64" s="191">
        <v>0</v>
      </c>
      <c r="AZ64" s="192">
        <f t="shared" si="32"/>
        <v>0</v>
      </c>
      <c r="BA64" s="191">
        <v>1</v>
      </c>
      <c r="BB64" s="191">
        <v>0</v>
      </c>
      <c r="BC64" s="192">
        <f t="shared" si="33"/>
        <v>1</v>
      </c>
      <c r="BD64" s="191">
        <v>13</v>
      </c>
      <c r="BE64" s="191">
        <v>1</v>
      </c>
      <c r="BF64" s="192">
        <f t="shared" si="34"/>
        <v>14</v>
      </c>
      <c r="BG64" s="191">
        <v>18</v>
      </c>
      <c r="BH64" s="191">
        <v>0</v>
      </c>
      <c r="BI64" s="192">
        <f t="shared" si="35"/>
        <v>18</v>
      </c>
      <c r="BJ64" s="191">
        <v>16</v>
      </c>
      <c r="BK64" s="191">
        <v>2</v>
      </c>
      <c r="BL64" s="192">
        <f t="shared" si="36"/>
        <v>18</v>
      </c>
      <c r="BM64" s="191">
        <v>17</v>
      </c>
      <c r="BN64" s="191">
        <v>0</v>
      </c>
      <c r="BO64" s="192">
        <f t="shared" si="37"/>
        <v>17</v>
      </c>
      <c r="BP64" s="191">
        <v>23</v>
      </c>
      <c r="BQ64" s="191">
        <v>0</v>
      </c>
      <c r="BR64" s="192">
        <f t="shared" si="38"/>
        <v>23</v>
      </c>
      <c r="BS64" s="191">
        <v>25</v>
      </c>
      <c r="BT64" s="191">
        <v>0</v>
      </c>
      <c r="BU64" s="192">
        <f t="shared" si="39"/>
        <v>25</v>
      </c>
      <c r="BV64" s="191">
        <v>21</v>
      </c>
      <c r="BW64" s="191">
        <v>0</v>
      </c>
      <c r="BX64" s="192">
        <f t="shared" si="40"/>
        <v>21</v>
      </c>
      <c r="BY64" s="191">
        <v>18</v>
      </c>
      <c r="BZ64" s="191">
        <v>1</v>
      </c>
      <c r="CA64" s="192">
        <f t="shared" si="41"/>
        <v>19</v>
      </c>
      <c r="CB64" s="192">
        <f t="shared" si="42"/>
        <v>152</v>
      </c>
      <c r="CC64" s="192">
        <f t="shared" si="43"/>
        <v>4</v>
      </c>
      <c r="CD64" s="192">
        <f t="shared" si="44"/>
        <v>156</v>
      </c>
    </row>
    <row r="65" spans="1:82" x14ac:dyDescent="0.25">
      <c r="A65" s="193" t="s">
        <v>117</v>
      </c>
      <c r="B65" s="235">
        <v>0</v>
      </c>
      <c r="C65" s="235">
        <v>0</v>
      </c>
      <c r="D65" s="235">
        <v>0</v>
      </c>
      <c r="E65" s="235">
        <v>0</v>
      </c>
      <c r="F65" s="235">
        <v>0</v>
      </c>
      <c r="G65" s="235">
        <v>0</v>
      </c>
      <c r="H65" s="235">
        <v>0</v>
      </c>
      <c r="I65" s="235">
        <v>0</v>
      </c>
      <c r="J65" s="235">
        <v>0</v>
      </c>
      <c r="K65" s="235">
        <v>0</v>
      </c>
      <c r="L65" s="235">
        <v>0</v>
      </c>
      <c r="M65" s="235">
        <v>0</v>
      </c>
      <c r="N65" s="235">
        <v>0</v>
      </c>
      <c r="O65" s="235">
        <v>0</v>
      </c>
      <c r="P65" s="235">
        <v>0</v>
      </c>
      <c r="Q65" s="174">
        <v>17</v>
      </c>
      <c r="R65" s="174">
        <v>18</v>
      </c>
      <c r="S65" s="183">
        <f t="shared" si="19"/>
        <v>35</v>
      </c>
      <c r="T65" s="235">
        <v>13</v>
      </c>
      <c r="U65" s="235">
        <v>10</v>
      </c>
      <c r="V65" s="236">
        <f t="shared" si="20"/>
        <v>23</v>
      </c>
      <c r="W65" s="174">
        <v>12</v>
      </c>
      <c r="X65" s="174">
        <v>7</v>
      </c>
      <c r="Y65" s="183">
        <f t="shared" si="21"/>
        <v>19</v>
      </c>
      <c r="Z65" s="174">
        <v>9</v>
      </c>
      <c r="AA65" s="174">
        <v>5</v>
      </c>
      <c r="AB65" s="174">
        <f t="shared" si="22"/>
        <v>14</v>
      </c>
      <c r="AC65" s="174">
        <v>7</v>
      </c>
      <c r="AD65" s="174">
        <v>6</v>
      </c>
      <c r="AE65" s="183">
        <f t="shared" si="23"/>
        <v>13</v>
      </c>
      <c r="AF65" s="174">
        <v>6</v>
      </c>
      <c r="AG65" s="174">
        <v>2</v>
      </c>
      <c r="AH65" s="183">
        <f t="shared" si="24"/>
        <v>8</v>
      </c>
      <c r="AI65" s="174">
        <v>7</v>
      </c>
      <c r="AJ65" s="174">
        <v>4</v>
      </c>
      <c r="AK65" s="183">
        <f t="shared" si="25"/>
        <v>11</v>
      </c>
      <c r="AL65" s="183">
        <f t="shared" si="26"/>
        <v>71</v>
      </c>
      <c r="AM65" s="183">
        <f t="shared" si="27"/>
        <v>52</v>
      </c>
      <c r="AN65" s="183">
        <f t="shared" si="28"/>
        <v>123</v>
      </c>
      <c r="AO65" s="174">
        <v>7</v>
      </c>
      <c r="AQ65" s="192" t="str">
        <f t="shared" si="29"/>
        <v>RANCHI</v>
      </c>
      <c r="AR65" s="191">
        <v>0</v>
      </c>
      <c r="AS65" s="191">
        <v>0</v>
      </c>
      <c r="AT65" s="192">
        <f t="shared" si="30"/>
        <v>0</v>
      </c>
      <c r="AU65" s="191">
        <v>0</v>
      </c>
      <c r="AV65" s="191">
        <v>0</v>
      </c>
      <c r="AW65" s="192">
        <f t="shared" si="31"/>
        <v>0</v>
      </c>
      <c r="AX65" s="191">
        <v>0</v>
      </c>
      <c r="AY65" s="191">
        <v>0</v>
      </c>
      <c r="AZ65" s="192">
        <f t="shared" si="32"/>
        <v>0</v>
      </c>
      <c r="BA65" s="191">
        <v>0</v>
      </c>
      <c r="BB65" s="191">
        <v>0</v>
      </c>
      <c r="BC65" s="192">
        <f t="shared" si="33"/>
        <v>0</v>
      </c>
      <c r="BD65" s="191">
        <v>0</v>
      </c>
      <c r="BE65" s="191">
        <v>0</v>
      </c>
      <c r="BF65" s="192">
        <f t="shared" si="34"/>
        <v>0</v>
      </c>
      <c r="BG65" s="191">
        <v>2</v>
      </c>
      <c r="BH65" s="191">
        <v>0</v>
      </c>
      <c r="BI65" s="192">
        <f t="shared" si="35"/>
        <v>2</v>
      </c>
      <c r="BJ65" s="191">
        <v>11</v>
      </c>
      <c r="BK65" s="191">
        <v>0</v>
      </c>
      <c r="BL65" s="192">
        <f t="shared" si="36"/>
        <v>11</v>
      </c>
      <c r="BM65" s="191">
        <v>15</v>
      </c>
      <c r="BN65" s="191">
        <v>0</v>
      </c>
      <c r="BO65" s="192">
        <f t="shared" si="37"/>
        <v>15</v>
      </c>
      <c r="BP65" s="191">
        <v>22</v>
      </c>
      <c r="BQ65" s="191">
        <v>0</v>
      </c>
      <c r="BR65" s="192">
        <f t="shared" si="38"/>
        <v>22</v>
      </c>
      <c r="BS65" s="191">
        <v>21</v>
      </c>
      <c r="BT65" s="191">
        <v>0</v>
      </c>
      <c r="BU65" s="192">
        <f t="shared" si="39"/>
        <v>21</v>
      </c>
      <c r="BV65" s="191">
        <v>21</v>
      </c>
      <c r="BW65" s="191">
        <v>0</v>
      </c>
      <c r="BX65" s="192">
        <f t="shared" si="40"/>
        <v>21</v>
      </c>
      <c r="BY65" s="191">
        <v>13</v>
      </c>
      <c r="BZ65" s="191">
        <v>0</v>
      </c>
      <c r="CA65" s="192">
        <f t="shared" si="41"/>
        <v>13</v>
      </c>
      <c r="CB65" s="192">
        <f t="shared" si="42"/>
        <v>105</v>
      </c>
      <c r="CC65" s="192">
        <f t="shared" si="43"/>
        <v>0</v>
      </c>
      <c r="CD65" s="192">
        <f t="shared" si="44"/>
        <v>105</v>
      </c>
    </row>
    <row r="66" spans="1:82" x14ac:dyDescent="0.25">
      <c r="A66" s="193" t="s">
        <v>118</v>
      </c>
      <c r="B66" s="235">
        <v>0</v>
      </c>
      <c r="C66" s="235">
        <v>0</v>
      </c>
      <c r="D66" s="235">
        <v>0</v>
      </c>
      <c r="E66" s="235">
        <v>0</v>
      </c>
      <c r="F66" s="235">
        <v>0</v>
      </c>
      <c r="G66" s="235">
        <v>0</v>
      </c>
      <c r="H66" s="235">
        <v>0</v>
      </c>
      <c r="I66" s="235">
        <v>0</v>
      </c>
      <c r="J66" s="235">
        <v>0</v>
      </c>
      <c r="K66" s="235">
        <v>0</v>
      </c>
      <c r="L66" s="235">
        <v>0</v>
      </c>
      <c r="M66" s="235">
        <v>0</v>
      </c>
      <c r="N66" s="235">
        <v>0</v>
      </c>
      <c r="O66" s="235">
        <v>0</v>
      </c>
      <c r="P66" s="235">
        <v>0</v>
      </c>
      <c r="Q66" s="174">
        <v>0</v>
      </c>
      <c r="R66" s="174">
        <v>0</v>
      </c>
      <c r="S66" s="183">
        <v>0</v>
      </c>
      <c r="T66" s="235">
        <v>6</v>
      </c>
      <c r="U66" s="235">
        <v>7</v>
      </c>
      <c r="V66" s="236">
        <f t="shared" si="20"/>
        <v>13</v>
      </c>
      <c r="W66" s="174">
        <v>9</v>
      </c>
      <c r="X66" s="174">
        <v>4</v>
      </c>
      <c r="Y66" s="183">
        <f t="shared" si="21"/>
        <v>13</v>
      </c>
      <c r="Z66" s="174">
        <v>7</v>
      </c>
      <c r="AA66" s="174">
        <v>4</v>
      </c>
      <c r="AB66" s="174">
        <f t="shared" si="22"/>
        <v>11</v>
      </c>
      <c r="AC66" s="174">
        <v>7</v>
      </c>
      <c r="AD66" s="174">
        <v>3</v>
      </c>
      <c r="AE66" s="183">
        <f t="shared" si="23"/>
        <v>10</v>
      </c>
      <c r="AF66" s="174">
        <v>8</v>
      </c>
      <c r="AG66" s="174">
        <v>4</v>
      </c>
      <c r="AH66" s="183">
        <f t="shared" si="24"/>
        <v>12</v>
      </c>
      <c r="AI66" s="174">
        <v>7</v>
      </c>
      <c r="AJ66" s="174">
        <v>6</v>
      </c>
      <c r="AK66" s="183">
        <f t="shared" si="25"/>
        <v>13</v>
      </c>
      <c r="AL66" s="183">
        <f t="shared" si="26"/>
        <v>44</v>
      </c>
      <c r="AM66" s="183">
        <f t="shared" si="27"/>
        <v>28</v>
      </c>
      <c r="AN66" s="183">
        <f t="shared" si="28"/>
        <v>72</v>
      </c>
      <c r="AO66" s="174">
        <v>6</v>
      </c>
      <c r="AQ66" s="192" t="str">
        <f t="shared" si="29"/>
        <v>GUWAHATI</v>
      </c>
      <c r="AR66" s="191">
        <v>0</v>
      </c>
      <c r="AS66" s="191">
        <v>0</v>
      </c>
      <c r="AT66" s="192">
        <f t="shared" si="30"/>
        <v>0</v>
      </c>
      <c r="AU66" s="191">
        <v>0</v>
      </c>
      <c r="AV66" s="191">
        <v>0</v>
      </c>
      <c r="AW66" s="192">
        <f t="shared" si="31"/>
        <v>0</v>
      </c>
      <c r="AX66" s="191">
        <v>0</v>
      </c>
      <c r="AY66" s="191">
        <v>0</v>
      </c>
      <c r="AZ66" s="192">
        <f t="shared" si="32"/>
        <v>0</v>
      </c>
      <c r="BA66" s="191">
        <v>0</v>
      </c>
      <c r="BB66" s="191">
        <v>0</v>
      </c>
      <c r="BC66" s="192">
        <f t="shared" si="33"/>
        <v>0</v>
      </c>
      <c r="BD66" s="191">
        <v>0</v>
      </c>
      <c r="BE66" s="191">
        <v>0</v>
      </c>
      <c r="BF66" s="192">
        <f t="shared" si="34"/>
        <v>0</v>
      </c>
      <c r="BG66" s="191">
        <v>0</v>
      </c>
      <c r="BH66" s="191">
        <v>0</v>
      </c>
      <c r="BI66" s="192">
        <f t="shared" si="35"/>
        <v>0</v>
      </c>
      <c r="BJ66" s="191">
        <v>1</v>
      </c>
      <c r="BK66" s="191">
        <v>0</v>
      </c>
      <c r="BL66" s="192">
        <f t="shared" si="36"/>
        <v>1</v>
      </c>
      <c r="BM66" s="191">
        <v>2</v>
      </c>
      <c r="BN66" s="191">
        <v>0</v>
      </c>
      <c r="BO66" s="192">
        <f t="shared" si="37"/>
        <v>2</v>
      </c>
      <c r="BP66" s="191">
        <v>7</v>
      </c>
      <c r="BQ66" s="191">
        <v>1</v>
      </c>
      <c r="BR66" s="192">
        <f t="shared" si="38"/>
        <v>8</v>
      </c>
      <c r="BS66" s="191">
        <v>8</v>
      </c>
      <c r="BT66" s="191">
        <v>1</v>
      </c>
      <c r="BU66" s="192">
        <f t="shared" si="39"/>
        <v>9</v>
      </c>
      <c r="BV66" s="191">
        <v>7</v>
      </c>
      <c r="BW66" s="191">
        <v>0</v>
      </c>
      <c r="BX66" s="192">
        <f t="shared" si="40"/>
        <v>7</v>
      </c>
      <c r="BY66" s="191">
        <v>7</v>
      </c>
      <c r="BZ66" s="191">
        <v>0</v>
      </c>
      <c r="CA66" s="192">
        <f t="shared" si="41"/>
        <v>7</v>
      </c>
      <c r="CB66" s="192">
        <f t="shared" si="42"/>
        <v>32</v>
      </c>
      <c r="CC66" s="192">
        <f t="shared" si="43"/>
        <v>2</v>
      </c>
      <c r="CD66" s="192">
        <f t="shared" si="44"/>
        <v>34</v>
      </c>
    </row>
    <row r="67" spans="1:82" x14ac:dyDescent="0.25">
      <c r="A67" s="193" t="s">
        <v>131</v>
      </c>
      <c r="B67" s="235">
        <v>0</v>
      </c>
      <c r="C67" s="235">
        <v>0</v>
      </c>
      <c r="D67" s="235">
        <v>0</v>
      </c>
      <c r="E67" s="235">
        <v>0</v>
      </c>
      <c r="F67" s="235">
        <v>0</v>
      </c>
      <c r="G67" s="235">
        <v>0</v>
      </c>
      <c r="H67" s="235">
        <v>0</v>
      </c>
      <c r="I67" s="235">
        <v>0</v>
      </c>
      <c r="J67" s="235">
        <v>0</v>
      </c>
      <c r="K67" s="235">
        <v>0</v>
      </c>
      <c r="L67" s="235">
        <v>0</v>
      </c>
      <c r="M67" s="235">
        <v>0</v>
      </c>
      <c r="N67" s="235">
        <v>0</v>
      </c>
      <c r="O67" s="235">
        <v>0</v>
      </c>
      <c r="P67" s="235">
        <v>0</v>
      </c>
      <c r="Q67" s="235">
        <v>0</v>
      </c>
      <c r="R67" s="235">
        <v>0</v>
      </c>
      <c r="S67" s="235">
        <v>0</v>
      </c>
      <c r="T67" s="235">
        <v>0</v>
      </c>
      <c r="U67" s="235">
        <v>0</v>
      </c>
      <c r="V67" s="235">
        <v>0</v>
      </c>
      <c r="W67" s="174">
        <v>15</v>
      </c>
      <c r="X67" s="174">
        <v>22</v>
      </c>
      <c r="Y67" s="183">
        <f t="shared" ref="Y67" si="46">W67+X67</f>
        <v>37</v>
      </c>
      <c r="Z67" s="174">
        <v>16</v>
      </c>
      <c r="AA67" s="174">
        <v>19</v>
      </c>
      <c r="AB67" s="174">
        <f t="shared" si="22"/>
        <v>35</v>
      </c>
      <c r="AC67" s="174">
        <v>10</v>
      </c>
      <c r="AD67" s="174">
        <v>18</v>
      </c>
      <c r="AE67" s="183">
        <f t="shared" si="23"/>
        <v>28</v>
      </c>
      <c r="AF67" s="174">
        <v>11</v>
      </c>
      <c r="AG67" s="174">
        <v>20</v>
      </c>
      <c r="AH67" s="183">
        <f t="shared" si="24"/>
        <v>31</v>
      </c>
      <c r="AI67" s="174">
        <v>4</v>
      </c>
      <c r="AJ67" s="174">
        <v>16</v>
      </c>
      <c r="AK67" s="183">
        <f t="shared" si="25"/>
        <v>20</v>
      </c>
      <c r="AL67" s="183">
        <f t="shared" si="26"/>
        <v>56</v>
      </c>
      <c r="AM67" s="183">
        <f t="shared" si="27"/>
        <v>95</v>
      </c>
      <c r="AN67" s="183">
        <f t="shared" si="28"/>
        <v>151</v>
      </c>
      <c r="AO67" s="174">
        <v>5</v>
      </c>
      <c r="AQ67" s="192" t="str">
        <f t="shared" si="29"/>
        <v>MUMBAI-THANE</v>
      </c>
      <c r="AR67" s="191">
        <v>0</v>
      </c>
      <c r="AS67" s="191">
        <v>0</v>
      </c>
      <c r="AT67" s="192">
        <f t="shared" si="30"/>
        <v>0</v>
      </c>
      <c r="AU67" s="191">
        <v>0</v>
      </c>
      <c r="AV67" s="191">
        <v>0</v>
      </c>
      <c r="AW67" s="192">
        <f t="shared" si="31"/>
        <v>0</v>
      </c>
      <c r="AX67" s="191">
        <v>0</v>
      </c>
      <c r="AY67" s="191">
        <v>0</v>
      </c>
      <c r="AZ67" s="192">
        <f t="shared" si="32"/>
        <v>0</v>
      </c>
      <c r="BA67" s="191">
        <v>0</v>
      </c>
      <c r="BB67" s="191">
        <v>0</v>
      </c>
      <c r="BC67" s="192">
        <f t="shared" si="33"/>
        <v>0</v>
      </c>
      <c r="BD67" s="191">
        <v>0</v>
      </c>
      <c r="BE67" s="191">
        <v>0</v>
      </c>
      <c r="BF67" s="192">
        <f t="shared" si="34"/>
        <v>0</v>
      </c>
      <c r="BG67" s="191">
        <v>0</v>
      </c>
      <c r="BH67" s="191">
        <v>0</v>
      </c>
      <c r="BI67" s="192">
        <f t="shared" si="35"/>
        <v>0</v>
      </c>
      <c r="BJ67" s="191">
        <v>0</v>
      </c>
      <c r="BK67" s="191">
        <v>0</v>
      </c>
      <c r="BL67" s="192">
        <f t="shared" si="36"/>
        <v>0</v>
      </c>
      <c r="BM67" s="191">
        <v>1</v>
      </c>
      <c r="BN67" s="191">
        <v>2</v>
      </c>
      <c r="BO67" s="192">
        <f t="shared" si="37"/>
        <v>3</v>
      </c>
      <c r="BP67" s="191">
        <v>12</v>
      </c>
      <c r="BQ67" s="191">
        <v>0</v>
      </c>
      <c r="BR67" s="192">
        <f t="shared" si="38"/>
        <v>12</v>
      </c>
      <c r="BS67" s="191">
        <v>16</v>
      </c>
      <c r="BT67" s="191">
        <v>0</v>
      </c>
      <c r="BU67" s="192">
        <f t="shared" si="39"/>
        <v>16</v>
      </c>
      <c r="BV67" s="191">
        <v>15</v>
      </c>
      <c r="BW67" s="191">
        <v>1</v>
      </c>
      <c r="BX67" s="192">
        <f t="shared" si="40"/>
        <v>16</v>
      </c>
      <c r="BY67" s="191">
        <v>19</v>
      </c>
      <c r="BZ67" s="191">
        <v>0</v>
      </c>
      <c r="CA67" s="192">
        <f t="shared" si="41"/>
        <v>19</v>
      </c>
      <c r="CB67" s="192">
        <f t="shared" si="42"/>
        <v>63</v>
      </c>
      <c r="CC67" s="192">
        <f t="shared" si="43"/>
        <v>3</v>
      </c>
      <c r="CD67" s="192">
        <f t="shared" si="44"/>
        <v>66</v>
      </c>
    </row>
    <row r="68" spans="1:82" x14ac:dyDescent="0.25">
      <c r="A68" s="193" t="s">
        <v>121</v>
      </c>
      <c r="B68" s="235">
        <v>0</v>
      </c>
      <c r="C68" s="235">
        <v>0</v>
      </c>
      <c r="D68" s="235">
        <v>0</v>
      </c>
      <c r="E68" s="235">
        <v>0</v>
      </c>
      <c r="F68" s="235">
        <v>0</v>
      </c>
      <c r="G68" s="235">
        <v>0</v>
      </c>
      <c r="H68" s="235">
        <v>0</v>
      </c>
      <c r="I68" s="235">
        <v>0</v>
      </c>
      <c r="J68" s="235">
        <v>0</v>
      </c>
      <c r="K68" s="235">
        <v>0</v>
      </c>
      <c r="L68" s="235">
        <v>0</v>
      </c>
      <c r="M68" s="235">
        <v>0</v>
      </c>
      <c r="N68" s="235">
        <v>0</v>
      </c>
      <c r="O68" s="235">
        <v>0</v>
      </c>
      <c r="P68" s="235">
        <v>0</v>
      </c>
      <c r="Q68" s="235">
        <v>0</v>
      </c>
      <c r="R68" s="235">
        <v>0</v>
      </c>
      <c r="S68" s="235">
        <v>0</v>
      </c>
      <c r="T68" s="235">
        <v>0</v>
      </c>
      <c r="U68" s="235">
        <v>0</v>
      </c>
      <c r="V68" s="235">
        <v>0</v>
      </c>
      <c r="W68" s="174">
        <v>0</v>
      </c>
      <c r="X68" s="174">
        <v>0</v>
      </c>
      <c r="Y68" s="183">
        <v>0</v>
      </c>
      <c r="Z68" s="174">
        <v>6</v>
      </c>
      <c r="AA68" s="174">
        <v>6</v>
      </c>
      <c r="AB68" s="174">
        <f t="shared" ref="AB68" si="47">Z68+AA68</f>
        <v>12</v>
      </c>
      <c r="AC68" s="174">
        <v>7</v>
      </c>
      <c r="AD68" s="174">
        <v>5</v>
      </c>
      <c r="AE68" s="183">
        <f t="shared" si="23"/>
        <v>12</v>
      </c>
      <c r="AF68" s="174">
        <v>7</v>
      </c>
      <c r="AG68" s="174">
        <v>10</v>
      </c>
      <c r="AH68" s="183">
        <f t="shared" si="24"/>
        <v>17</v>
      </c>
      <c r="AI68" s="174">
        <v>7</v>
      </c>
      <c r="AJ68" s="174">
        <v>4</v>
      </c>
      <c r="AK68" s="183">
        <f t="shared" si="25"/>
        <v>11</v>
      </c>
      <c r="AL68" s="183">
        <f t="shared" si="26"/>
        <v>27</v>
      </c>
      <c r="AM68" s="183">
        <f t="shared" si="27"/>
        <v>25</v>
      </c>
      <c r="AN68" s="183">
        <f t="shared" si="28"/>
        <v>52</v>
      </c>
      <c r="AO68" s="174">
        <v>4</v>
      </c>
      <c r="AQ68" s="192" t="str">
        <f t="shared" si="29"/>
        <v>VADODARA</v>
      </c>
      <c r="AR68" s="191">
        <v>0</v>
      </c>
      <c r="AS68" s="191">
        <v>0</v>
      </c>
      <c r="AT68" s="192">
        <f t="shared" si="30"/>
        <v>0</v>
      </c>
      <c r="AU68" s="191">
        <v>0</v>
      </c>
      <c r="AV68" s="191">
        <v>0</v>
      </c>
      <c r="AW68" s="192">
        <f t="shared" si="31"/>
        <v>0</v>
      </c>
      <c r="AX68" s="191">
        <v>0</v>
      </c>
      <c r="AY68" s="191">
        <v>0</v>
      </c>
      <c r="AZ68" s="192">
        <f t="shared" si="32"/>
        <v>0</v>
      </c>
      <c r="BA68" s="191">
        <v>0</v>
      </c>
      <c r="BB68" s="191">
        <v>0</v>
      </c>
      <c r="BC68" s="192">
        <f t="shared" si="33"/>
        <v>0</v>
      </c>
      <c r="BD68" s="191">
        <v>0</v>
      </c>
      <c r="BE68" s="191">
        <v>0</v>
      </c>
      <c r="BF68" s="192">
        <f t="shared" si="34"/>
        <v>0</v>
      </c>
      <c r="BG68" s="191">
        <v>0</v>
      </c>
      <c r="BH68" s="191">
        <v>0</v>
      </c>
      <c r="BI68" s="192">
        <f t="shared" si="35"/>
        <v>0</v>
      </c>
      <c r="BJ68" s="191">
        <v>0</v>
      </c>
      <c r="BK68" s="191">
        <v>0</v>
      </c>
      <c r="BL68" s="192">
        <f t="shared" si="36"/>
        <v>0</v>
      </c>
      <c r="BM68" s="191">
        <v>0</v>
      </c>
      <c r="BN68" s="191">
        <v>0</v>
      </c>
      <c r="BO68" s="192">
        <f t="shared" si="37"/>
        <v>0</v>
      </c>
      <c r="BP68" s="191">
        <v>1</v>
      </c>
      <c r="BQ68" s="191">
        <v>0</v>
      </c>
      <c r="BR68" s="192">
        <f t="shared" si="38"/>
        <v>1</v>
      </c>
      <c r="BS68" s="191">
        <v>7</v>
      </c>
      <c r="BT68" s="191">
        <v>0</v>
      </c>
      <c r="BU68" s="192">
        <f t="shared" si="39"/>
        <v>7</v>
      </c>
      <c r="BV68" s="191">
        <v>7</v>
      </c>
      <c r="BW68" s="191">
        <v>0</v>
      </c>
      <c r="BX68" s="192">
        <f t="shared" si="40"/>
        <v>7</v>
      </c>
      <c r="BY68" s="191">
        <v>11</v>
      </c>
      <c r="BZ68" s="191">
        <v>0</v>
      </c>
      <c r="CA68" s="192">
        <f t="shared" si="41"/>
        <v>11</v>
      </c>
      <c r="CB68" s="192">
        <f t="shared" si="42"/>
        <v>26</v>
      </c>
      <c r="CC68" s="192">
        <f t="shared" si="43"/>
        <v>0</v>
      </c>
      <c r="CD68" s="192">
        <f t="shared" si="44"/>
        <v>26</v>
      </c>
    </row>
    <row r="69" spans="1:82" x14ac:dyDescent="0.25">
      <c r="A69" s="193" t="s">
        <v>125</v>
      </c>
      <c r="B69" s="235">
        <v>0</v>
      </c>
      <c r="C69" s="235">
        <v>0</v>
      </c>
      <c r="D69" s="235">
        <v>0</v>
      </c>
      <c r="E69" s="235">
        <v>0</v>
      </c>
      <c r="F69" s="235">
        <v>0</v>
      </c>
      <c r="G69" s="235">
        <v>0</v>
      </c>
      <c r="H69" s="235">
        <v>0</v>
      </c>
      <c r="I69" s="235">
        <v>0</v>
      </c>
      <c r="J69" s="235">
        <v>0</v>
      </c>
      <c r="K69" s="235">
        <v>0</v>
      </c>
      <c r="L69" s="235">
        <v>0</v>
      </c>
      <c r="M69" s="235">
        <v>0</v>
      </c>
      <c r="N69" s="235">
        <v>0</v>
      </c>
      <c r="O69" s="235">
        <v>0</v>
      </c>
      <c r="P69" s="235">
        <v>0</v>
      </c>
      <c r="Q69" s="235">
        <v>0</v>
      </c>
      <c r="R69" s="235">
        <v>0</v>
      </c>
      <c r="S69" s="235">
        <v>0</v>
      </c>
      <c r="T69" s="235">
        <v>0</v>
      </c>
      <c r="U69" s="235">
        <v>0</v>
      </c>
      <c r="V69" s="235">
        <v>0</v>
      </c>
      <c r="W69" s="174">
        <v>0</v>
      </c>
      <c r="X69" s="174">
        <v>0</v>
      </c>
      <c r="Y69" s="183">
        <v>0</v>
      </c>
      <c r="Z69" s="174">
        <v>0</v>
      </c>
      <c r="AA69" s="174">
        <v>0</v>
      </c>
      <c r="AB69" s="174">
        <v>0</v>
      </c>
      <c r="AC69" s="174">
        <v>0</v>
      </c>
      <c r="AD69" s="174">
        <v>0</v>
      </c>
      <c r="AE69" s="183">
        <v>0</v>
      </c>
      <c r="AF69" s="174">
        <v>0</v>
      </c>
      <c r="AG69" s="174">
        <v>0</v>
      </c>
      <c r="AH69" s="183">
        <v>0</v>
      </c>
      <c r="AI69" s="174">
        <v>0</v>
      </c>
      <c r="AJ69" s="174">
        <v>1</v>
      </c>
      <c r="AK69" s="183">
        <f t="shared" si="25"/>
        <v>1</v>
      </c>
      <c r="AL69" s="183">
        <f t="shared" si="26"/>
        <v>0</v>
      </c>
      <c r="AM69" s="183">
        <f t="shared" si="27"/>
        <v>1</v>
      </c>
      <c r="AN69" s="183">
        <f t="shared" si="28"/>
        <v>1</v>
      </c>
      <c r="AO69" s="174">
        <v>1</v>
      </c>
      <c r="AQ69" s="192" t="str">
        <f t="shared" si="29"/>
        <v>NASHIK</v>
      </c>
      <c r="AR69" s="191">
        <v>0</v>
      </c>
      <c r="AS69" s="191">
        <v>0</v>
      </c>
      <c r="AT69" s="192">
        <f t="shared" si="30"/>
        <v>0</v>
      </c>
      <c r="AU69" s="191">
        <v>0</v>
      </c>
      <c r="AV69" s="191">
        <v>0</v>
      </c>
      <c r="AW69" s="192">
        <f t="shared" si="31"/>
        <v>0</v>
      </c>
      <c r="AX69" s="191">
        <v>0</v>
      </c>
      <c r="AY69" s="191">
        <v>0</v>
      </c>
      <c r="AZ69" s="192">
        <f t="shared" si="32"/>
        <v>0</v>
      </c>
      <c r="BA69" s="191">
        <v>0</v>
      </c>
      <c r="BB69" s="191">
        <v>0</v>
      </c>
      <c r="BC69" s="192">
        <f t="shared" si="33"/>
        <v>0</v>
      </c>
      <c r="BD69" s="191">
        <v>0</v>
      </c>
      <c r="BE69" s="191">
        <v>0</v>
      </c>
      <c r="BF69" s="192">
        <f t="shared" si="34"/>
        <v>0</v>
      </c>
      <c r="BG69" s="191">
        <v>0</v>
      </c>
      <c r="BH69" s="191">
        <v>0</v>
      </c>
      <c r="BI69" s="192">
        <f t="shared" si="35"/>
        <v>0</v>
      </c>
      <c r="BJ69" s="191">
        <v>0</v>
      </c>
      <c r="BK69" s="191">
        <v>0</v>
      </c>
      <c r="BL69" s="192">
        <f t="shared" si="36"/>
        <v>0</v>
      </c>
      <c r="BM69" s="191">
        <v>0</v>
      </c>
      <c r="BN69" s="191">
        <v>0</v>
      </c>
      <c r="BO69" s="192">
        <f t="shared" si="37"/>
        <v>0</v>
      </c>
      <c r="BP69" s="191">
        <v>0</v>
      </c>
      <c r="BQ69" s="191">
        <v>0</v>
      </c>
      <c r="BR69" s="192">
        <f t="shared" si="38"/>
        <v>0</v>
      </c>
      <c r="BS69" s="191">
        <v>0</v>
      </c>
      <c r="BT69" s="191">
        <v>0</v>
      </c>
      <c r="BU69" s="192">
        <f t="shared" si="39"/>
        <v>0</v>
      </c>
      <c r="BV69" s="191">
        <v>0</v>
      </c>
      <c r="BW69" s="191">
        <v>0</v>
      </c>
      <c r="BX69" s="192">
        <f t="shared" si="40"/>
        <v>0</v>
      </c>
      <c r="BY69" s="191">
        <v>1</v>
      </c>
      <c r="BZ69" s="191">
        <v>0</v>
      </c>
      <c r="CA69" s="192">
        <f t="shared" si="41"/>
        <v>1</v>
      </c>
      <c r="CB69" s="192">
        <f t="shared" si="42"/>
        <v>1</v>
      </c>
      <c r="CC69" s="192">
        <f t="shared" si="43"/>
        <v>0</v>
      </c>
      <c r="CD69" s="192">
        <f t="shared" si="44"/>
        <v>1</v>
      </c>
    </row>
    <row r="70" spans="1:82" x14ac:dyDescent="0.25">
      <c r="A70" s="176" t="s">
        <v>14</v>
      </c>
      <c r="B70" s="187">
        <f>SUM(B42:B69)</f>
        <v>314</v>
      </c>
      <c r="C70" s="187">
        <f t="shared" ref="C70:AN70" si="48">SUM(C42:C69)</f>
        <v>357</v>
      </c>
      <c r="D70" s="187">
        <f t="shared" si="48"/>
        <v>671</v>
      </c>
      <c r="E70" s="187">
        <f t="shared" si="48"/>
        <v>399</v>
      </c>
      <c r="F70" s="187">
        <f t="shared" si="48"/>
        <v>367</v>
      </c>
      <c r="G70" s="187">
        <f t="shared" si="48"/>
        <v>766</v>
      </c>
      <c r="H70" s="187">
        <f t="shared" si="48"/>
        <v>392</v>
      </c>
      <c r="I70" s="187">
        <f t="shared" si="48"/>
        <v>412</v>
      </c>
      <c r="J70" s="187">
        <f t="shared" si="48"/>
        <v>804</v>
      </c>
      <c r="K70" s="187">
        <f t="shared" si="48"/>
        <v>435</v>
      </c>
      <c r="L70" s="187">
        <f t="shared" si="48"/>
        <v>388</v>
      </c>
      <c r="M70" s="187">
        <f t="shared" si="48"/>
        <v>823</v>
      </c>
      <c r="N70" s="187">
        <f t="shared" si="48"/>
        <v>460</v>
      </c>
      <c r="O70" s="187">
        <f t="shared" si="48"/>
        <v>515</v>
      </c>
      <c r="P70" s="187">
        <f t="shared" si="48"/>
        <v>975</v>
      </c>
      <c r="Q70" s="187">
        <f t="shared" si="48"/>
        <v>511</v>
      </c>
      <c r="R70" s="187">
        <f t="shared" si="48"/>
        <v>498</v>
      </c>
      <c r="S70" s="187">
        <f t="shared" si="48"/>
        <v>1009</v>
      </c>
      <c r="T70" s="187">
        <f t="shared" si="48"/>
        <v>448</v>
      </c>
      <c r="U70" s="187">
        <f t="shared" si="48"/>
        <v>520</v>
      </c>
      <c r="V70" s="187">
        <f t="shared" si="48"/>
        <v>968</v>
      </c>
      <c r="W70" s="187">
        <f t="shared" si="48"/>
        <v>459</v>
      </c>
      <c r="X70" s="187">
        <f t="shared" si="48"/>
        <v>505</v>
      </c>
      <c r="Y70" s="187">
        <f t="shared" si="48"/>
        <v>964</v>
      </c>
      <c r="Z70" s="187">
        <f t="shared" si="48"/>
        <v>430</v>
      </c>
      <c r="AA70" s="187">
        <f t="shared" si="48"/>
        <v>454</v>
      </c>
      <c r="AB70" s="187">
        <f t="shared" si="48"/>
        <v>884</v>
      </c>
      <c r="AC70" s="187">
        <f t="shared" si="48"/>
        <v>414</v>
      </c>
      <c r="AD70" s="187">
        <f t="shared" si="48"/>
        <v>424</v>
      </c>
      <c r="AE70" s="187">
        <f t="shared" si="48"/>
        <v>838</v>
      </c>
      <c r="AF70" s="187">
        <f t="shared" si="48"/>
        <v>420</v>
      </c>
      <c r="AG70" s="187">
        <f t="shared" si="48"/>
        <v>474</v>
      </c>
      <c r="AH70" s="187">
        <f t="shared" si="48"/>
        <v>894</v>
      </c>
      <c r="AI70" s="187">
        <f t="shared" si="48"/>
        <v>369</v>
      </c>
      <c r="AJ70" s="187">
        <f t="shared" si="48"/>
        <v>438</v>
      </c>
      <c r="AK70" s="187">
        <f t="shared" si="48"/>
        <v>807</v>
      </c>
      <c r="AL70" s="187">
        <f t="shared" si="48"/>
        <v>5051</v>
      </c>
      <c r="AM70" s="187">
        <f t="shared" si="48"/>
        <v>5352</v>
      </c>
      <c r="AN70" s="187">
        <f t="shared" si="48"/>
        <v>10403</v>
      </c>
      <c r="AQ70" s="192" t="str">
        <f t="shared" si="29"/>
        <v>TOTAL</v>
      </c>
      <c r="AR70" s="192">
        <f>SUM(AR42:AR69)</f>
        <v>491</v>
      </c>
      <c r="AS70" s="192">
        <f t="shared" ref="AS70:AT70" si="49">SUM(AS42:AS69)</f>
        <v>11</v>
      </c>
      <c r="AT70" s="192">
        <f t="shared" si="49"/>
        <v>502</v>
      </c>
      <c r="AU70" s="192">
        <f t="shared" ref="AU70" si="50">SUM(AU42:AU69)</f>
        <v>533</v>
      </c>
      <c r="AV70" s="192">
        <f t="shared" ref="AV70" si="51">SUM(AV42:AV69)</f>
        <v>19</v>
      </c>
      <c r="AW70" s="192">
        <f t="shared" ref="AW70" si="52">SUM(AW42:AW69)</f>
        <v>552</v>
      </c>
      <c r="AX70" s="192">
        <f t="shared" ref="AX70" si="53">SUM(AX42:AX69)</f>
        <v>539</v>
      </c>
      <c r="AY70" s="192">
        <f t="shared" ref="AY70" si="54">SUM(AY42:AY69)</f>
        <v>16</v>
      </c>
      <c r="AZ70" s="192">
        <f t="shared" ref="AZ70" si="55">SUM(AZ42:AZ69)</f>
        <v>555</v>
      </c>
      <c r="BA70" s="192">
        <f t="shared" ref="BA70" si="56">SUM(BA42:BA69)</f>
        <v>607</v>
      </c>
      <c r="BB70" s="192">
        <f t="shared" ref="BB70" si="57">SUM(BB42:BB69)</f>
        <v>13</v>
      </c>
      <c r="BC70" s="192">
        <f t="shared" ref="BC70" si="58">SUM(BC42:BC69)</f>
        <v>620</v>
      </c>
      <c r="BD70" s="192">
        <f t="shared" ref="BD70" si="59">SUM(BD42:BD69)</f>
        <v>636</v>
      </c>
      <c r="BE70" s="192">
        <f t="shared" ref="BE70" si="60">SUM(BE42:BE69)</f>
        <v>15</v>
      </c>
      <c r="BF70" s="192">
        <f t="shared" ref="BF70" si="61">SUM(BF42:BF69)</f>
        <v>651</v>
      </c>
      <c r="BG70" s="192">
        <f t="shared" ref="BG70" si="62">SUM(BG42:BG69)</f>
        <v>721</v>
      </c>
      <c r="BH70" s="192">
        <f t="shared" ref="BH70" si="63">SUM(BH42:BH69)</f>
        <v>19</v>
      </c>
      <c r="BI70" s="192">
        <f t="shared" ref="BI70" si="64">SUM(BI42:BI69)</f>
        <v>740</v>
      </c>
      <c r="BJ70" s="192">
        <f t="shared" ref="BJ70" si="65">SUM(BJ42:BJ69)</f>
        <v>779</v>
      </c>
      <c r="BK70" s="192">
        <f t="shared" ref="BK70" si="66">SUM(BK42:BK69)</f>
        <v>16</v>
      </c>
      <c r="BL70" s="192">
        <f t="shared" ref="BL70" si="67">SUM(BL42:BL69)</f>
        <v>795</v>
      </c>
      <c r="BM70" s="192">
        <f t="shared" ref="BM70" si="68">SUM(BM42:BM69)</f>
        <v>743</v>
      </c>
      <c r="BN70" s="192">
        <f t="shared" ref="BN70" si="69">SUM(BN42:BN69)</f>
        <v>22</v>
      </c>
      <c r="BO70" s="192">
        <f t="shared" ref="BO70" si="70">SUM(BO42:BO69)</f>
        <v>765</v>
      </c>
      <c r="BP70" s="192">
        <f t="shared" ref="BP70:CD70" si="71">SUM(BP42:BP69)</f>
        <v>827</v>
      </c>
      <c r="BQ70" s="192">
        <f t="shared" si="71"/>
        <v>10</v>
      </c>
      <c r="BR70" s="192">
        <f t="shared" si="71"/>
        <v>837</v>
      </c>
      <c r="BS70" s="192">
        <f t="shared" si="71"/>
        <v>786</v>
      </c>
      <c r="BT70" s="192">
        <f t="shared" si="71"/>
        <v>32</v>
      </c>
      <c r="BU70" s="192">
        <f t="shared" si="71"/>
        <v>818</v>
      </c>
      <c r="BV70" s="192">
        <f t="shared" si="71"/>
        <v>750</v>
      </c>
      <c r="BW70" s="192">
        <f t="shared" si="71"/>
        <v>27</v>
      </c>
      <c r="BX70" s="192">
        <f t="shared" si="71"/>
        <v>777</v>
      </c>
      <c r="BY70" s="192">
        <f t="shared" si="71"/>
        <v>730</v>
      </c>
      <c r="BZ70" s="192">
        <f t="shared" si="71"/>
        <v>36</v>
      </c>
      <c r="CA70" s="192">
        <f t="shared" si="71"/>
        <v>766</v>
      </c>
      <c r="CB70" s="192">
        <f t="shared" si="71"/>
        <v>8142</v>
      </c>
      <c r="CC70" s="192">
        <f t="shared" si="71"/>
        <v>236</v>
      </c>
      <c r="CD70" s="192">
        <f t="shared" si="71"/>
        <v>8378</v>
      </c>
    </row>
    <row r="73" spans="1:82" x14ac:dyDescent="0.25">
      <c r="A73" s="186" t="s">
        <v>64</v>
      </c>
      <c r="B73" s="336">
        <v>45383</v>
      </c>
      <c r="C73" s="336"/>
      <c r="D73" s="336"/>
      <c r="E73" s="343">
        <v>45413</v>
      </c>
      <c r="F73" s="344"/>
      <c r="G73" s="345"/>
      <c r="H73" s="336">
        <v>45444</v>
      </c>
      <c r="I73" s="336"/>
      <c r="J73" s="336"/>
      <c r="K73" s="336">
        <v>45474</v>
      </c>
      <c r="L73" s="336"/>
      <c r="M73" s="336"/>
      <c r="N73" s="336">
        <v>45505</v>
      </c>
      <c r="O73" s="336"/>
      <c r="P73" s="336"/>
      <c r="Q73" s="336">
        <v>45536</v>
      </c>
      <c r="R73" s="336"/>
      <c r="S73" s="336"/>
      <c r="T73" s="336">
        <v>45566</v>
      </c>
      <c r="U73" s="336"/>
      <c r="V73" s="336"/>
      <c r="W73" s="336">
        <v>45597</v>
      </c>
      <c r="X73" s="336"/>
      <c r="Y73" s="336"/>
      <c r="Z73" s="336">
        <v>45627</v>
      </c>
      <c r="AA73" s="336"/>
      <c r="AB73" s="336"/>
      <c r="AC73" s="336">
        <v>45658</v>
      </c>
      <c r="AD73" s="336"/>
      <c r="AE73" s="336"/>
      <c r="AF73" s="336">
        <v>45689</v>
      </c>
      <c r="AG73" s="336"/>
      <c r="AH73" s="336"/>
      <c r="AI73" s="340">
        <v>45717</v>
      </c>
      <c r="AJ73" s="341"/>
      <c r="AK73" s="342"/>
      <c r="AL73" s="337" t="s">
        <v>44</v>
      </c>
      <c r="AM73" s="338"/>
      <c r="AN73" s="339"/>
      <c r="AQ73" s="186" t="s">
        <v>27</v>
      </c>
      <c r="AR73" s="336">
        <v>45383</v>
      </c>
      <c r="AS73" s="336"/>
      <c r="AT73" s="336"/>
      <c r="AU73" s="336">
        <v>45413</v>
      </c>
      <c r="AV73" s="336">
        <v>45413</v>
      </c>
      <c r="AW73" s="336">
        <v>45413</v>
      </c>
      <c r="AX73" s="336">
        <v>45444</v>
      </c>
      <c r="AY73" s="336">
        <v>45444</v>
      </c>
      <c r="AZ73" s="336">
        <v>45444</v>
      </c>
      <c r="BA73" s="336">
        <v>45474</v>
      </c>
      <c r="BB73" s="336">
        <v>45474</v>
      </c>
      <c r="BC73" s="336">
        <v>45474</v>
      </c>
      <c r="BD73" s="336">
        <v>45505</v>
      </c>
      <c r="BE73" s="336">
        <v>45505</v>
      </c>
      <c r="BF73" s="336">
        <v>45505</v>
      </c>
      <c r="BG73" s="336">
        <v>45536</v>
      </c>
      <c r="BH73" s="336">
        <v>45536</v>
      </c>
      <c r="BI73" s="336">
        <v>45536</v>
      </c>
      <c r="BJ73" s="336">
        <v>45566</v>
      </c>
      <c r="BK73" s="336">
        <v>45566</v>
      </c>
      <c r="BL73" s="336">
        <v>45566</v>
      </c>
      <c r="BM73" s="336">
        <v>45597</v>
      </c>
      <c r="BN73" s="336">
        <v>45597</v>
      </c>
      <c r="BO73" s="336">
        <v>45597</v>
      </c>
      <c r="BP73" s="336">
        <v>45627</v>
      </c>
      <c r="BQ73" s="336">
        <v>45627</v>
      </c>
      <c r="BR73" s="336">
        <v>45627</v>
      </c>
      <c r="BS73" s="336">
        <v>45658</v>
      </c>
      <c r="BT73" s="336">
        <v>45658</v>
      </c>
      <c r="BU73" s="336">
        <v>45658</v>
      </c>
      <c r="BV73" s="336">
        <v>45689</v>
      </c>
      <c r="BW73" s="336">
        <v>45689</v>
      </c>
      <c r="BX73" s="336">
        <v>45689</v>
      </c>
      <c r="BY73" s="336">
        <v>45717</v>
      </c>
      <c r="BZ73" s="336">
        <v>45689</v>
      </c>
      <c r="CA73" s="336">
        <v>45689</v>
      </c>
      <c r="CB73" s="337" t="s">
        <v>44</v>
      </c>
      <c r="CC73" s="338"/>
      <c r="CD73" s="339"/>
    </row>
    <row r="74" spans="1:82" x14ac:dyDescent="0.25">
      <c r="A74" s="176" t="s">
        <v>102</v>
      </c>
      <c r="B74" s="187" t="s">
        <v>15</v>
      </c>
      <c r="C74" s="187" t="s">
        <v>16</v>
      </c>
      <c r="D74" s="187" t="s">
        <v>32</v>
      </c>
      <c r="E74" s="187" t="s">
        <v>15</v>
      </c>
      <c r="F74" s="187" t="s">
        <v>16</v>
      </c>
      <c r="G74" s="187" t="s">
        <v>32</v>
      </c>
      <c r="H74" s="187" t="s">
        <v>15</v>
      </c>
      <c r="I74" s="187" t="s">
        <v>16</v>
      </c>
      <c r="J74" s="187" t="s">
        <v>32</v>
      </c>
      <c r="K74" s="187" t="s">
        <v>15</v>
      </c>
      <c r="L74" s="187" t="s">
        <v>16</v>
      </c>
      <c r="M74" s="187" t="s">
        <v>32</v>
      </c>
      <c r="N74" s="187" t="s">
        <v>15</v>
      </c>
      <c r="O74" s="187" t="s">
        <v>16</v>
      </c>
      <c r="P74" s="187" t="s">
        <v>32</v>
      </c>
      <c r="Q74" s="187" t="s">
        <v>15</v>
      </c>
      <c r="R74" s="187" t="s">
        <v>16</v>
      </c>
      <c r="S74" s="187" t="s">
        <v>32</v>
      </c>
      <c r="T74" s="187" t="s">
        <v>15</v>
      </c>
      <c r="U74" s="187" t="s">
        <v>16</v>
      </c>
      <c r="V74" s="187" t="s">
        <v>32</v>
      </c>
      <c r="W74" s="187" t="s">
        <v>15</v>
      </c>
      <c r="X74" s="187" t="s">
        <v>16</v>
      </c>
      <c r="Y74" s="187" t="s">
        <v>32</v>
      </c>
      <c r="Z74" s="187" t="s">
        <v>15</v>
      </c>
      <c r="AA74" s="187" t="s">
        <v>16</v>
      </c>
      <c r="AB74" s="187" t="s">
        <v>32</v>
      </c>
      <c r="AC74" s="187" t="s">
        <v>15</v>
      </c>
      <c r="AD74" s="187" t="s">
        <v>16</v>
      </c>
      <c r="AE74" s="187" t="s">
        <v>32</v>
      </c>
      <c r="AF74" s="187" t="s">
        <v>15</v>
      </c>
      <c r="AG74" s="187" t="s">
        <v>16</v>
      </c>
      <c r="AH74" s="187" t="s">
        <v>32</v>
      </c>
      <c r="AI74" s="177" t="s">
        <v>15</v>
      </c>
      <c r="AJ74" s="177" t="s">
        <v>16</v>
      </c>
      <c r="AK74" s="177" t="s">
        <v>14</v>
      </c>
      <c r="AL74" s="177" t="s">
        <v>15</v>
      </c>
      <c r="AM74" s="177" t="s">
        <v>16</v>
      </c>
      <c r="AN74" s="177" t="s">
        <v>14</v>
      </c>
      <c r="AQ74" s="176" t="s">
        <v>102</v>
      </c>
      <c r="AR74" s="186" t="s">
        <v>15</v>
      </c>
      <c r="AS74" s="186" t="s">
        <v>16</v>
      </c>
      <c r="AT74" s="186" t="s">
        <v>32</v>
      </c>
      <c r="AU74" s="186" t="s">
        <v>15</v>
      </c>
      <c r="AV74" s="186" t="s">
        <v>16</v>
      </c>
      <c r="AW74" s="186" t="s">
        <v>32</v>
      </c>
      <c r="AX74" s="186" t="s">
        <v>15</v>
      </c>
      <c r="AY74" s="186" t="s">
        <v>16</v>
      </c>
      <c r="AZ74" s="186" t="s">
        <v>32</v>
      </c>
      <c r="BA74" s="186" t="s">
        <v>15</v>
      </c>
      <c r="BB74" s="186" t="s">
        <v>16</v>
      </c>
      <c r="BC74" s="186" t="s">
        <v>32</v>
      </c>
      <c r="BD74" s="186" t="s">
        <v>15</v>
      </c>
      <c r="BE74" s="186" t="s">
        <v>16</v>
      </c>
      <c r="BF74" s="186" t="s">
        <v>32</v>
      </c>
      <c r="BG74" s="186" t="s">
        <v>15</v>
      </c>
      <c r="BH74" s="186" t="s">
        <v>16</v>
      </c>
      <c r="BI74" s="186" t="s">
        <v>32</v>
      </c>
      <c r="BJ74" s="186" t="s">
        <v>15</v>
      </c>
      <c r="BK74" s="186" t="s">
        <v>16</v>
      </c>
      <c r="BL74" s="186" t="s">
        <v>32</v>
      </c>
      <c r="BM74" s="186" t="s">
        <v>15</v>
      </c>
      <c r="BN74" s="186" t="s">
        <v>16</v>
      </c>
      <c r="BO74" s="186" t="s">
        <v>32</v>
      </c>
      <c r="BP74" s="186" t="s">
        <v>15</v>
      </c>
      <c r="BQ74" s="186" t="s">
        <v>16</v>
      </c>
      <c r="BR74" s="186" t="s">
        <v>32</v>
      </c>
      <c r="BS74" s="186" t="s">
        <v>15</v>
      </c>
      <c r="BT74" s="186" t="s">
        <v>16</v>
      </c>
      <c r="BU74" s="186" t="s">
        <v>32</v>
      </c>
      <c r="BV74" s="186" t="s">
        <v>15</v>
      </c>
      <c r="BW74" s="186" t="s">
        <v>16</v>
      </c>
      <c r="BX74" s="186" t="s">
        <v>32</v>
      </c>
      <c r="BY74" s="186" t="s">
        <v>15</v>
      </c>
      <c r="BZ74" s="186" t="s">
        <v>16</v>
      </c>
      <c r="CA74" s="186" t="s">
        <v>32</v>
      </c>
      <c r="CB74" s="177" t="s">
        <v>15</v>
      </c>
      <c r="CC74" s="177" t="s">
        <v>16</v>
      </c>
      <c r="CD74" s="177" t="s">
        <v>14</v>
      </c>
    </row>
    <row r="75" spans="1:82" x14ac:dyDescent="0.25">
      <c r="A75" s="188" t="s">
        <v>4</v>
      </c>
      <c r="B75" s="189">
        <v>37</v>
      </c>
      <c r="C75" s="189">
        <v>20</v>
      </c>
      <c r="D75" s="190">
        <v>57</v>
      </c>
      <c r="E75" s="189">
        <v>27</v>
      </c>
      <c r="F75" s="189">
        <v>21</v>
      </c>
      <c r="G75" s="190">
        <v>48</v>
      </c>
      <c r="H75" s="189">
        <v>43</v>
      </c>
      <c r="I75" s="189">
        <v>16</v>
      </c>
      <c r="J75" s="190">
        <v>59</v>
      </c>
      <c r="K75" s="189">
        <v>44</v>
      </c>
      <c r="L75" s="189">
        <v>27</v>
      </c>
      <c r="M75" s="190">
        <v>71</v>
      </c>
      <c r="N75" s="189">
        <v>29</v>
      </c>
      <c r="O75" s="189">
        <v>13</v>
      </c>
      <c r="P75" s="190">
        <v>42</v>
      </c>
      <c r="Q75" s="189">
        <v>31</v>
      </c>
      <c r="R75" s="189">
        <v>22</v>
      </c>
      <c r="S75" s="190">
        <f t="shared" ref="S75:S93" si="72">Q75+R75</f>
        <v>53</v>
      </c>
      <c r="T75" s="189">
        <v>25</v>
      </c>
      <c r="U75" s="189">
        <v>32</v>
      </c>
      <c r="V75" s="190">
        <f t="shared" ref="V75:V93" si="73">T75+U75</f>
        <v>57</v>
      </c>
      <c r="W75" s="189">
        <v>29</v>
      </c>
      <c r="X75" s="189">
        <v>26</v>
      </c>
      <c r="Y75" s="190">
        <f t="shared" ref="Y75:Y93" si="74">W75+X75</f>
        <v>55</v>
      </c>
      <c r="Z75" s="189">
        <v>29</v>
      </c>
      <c r="AA75" s="189">
        <v>19</v>
      </c>
      <c r="AB75" s="190">
        <f t="shared" ref="AB75:AB93" si="75">Z75+AA75</f>
        <v>48</v>
      </c>
      <c r="AC75" s="189">
        <v>32</v>
      </c>
      <c r="AD75" s="189">
        <v>26</v>
      </c>
      <c r="AE75" s="190">
        <f t="shared" ref="AE75:AE93" si="76">AC75+AD75</f>
        <v>58</v>
      </c>
      <c r="AF75" s="189">
        <v>32</v>
      </c>
      <c r="AG75" s="189">
        <v>21</v>
      </c>
      <c r="AH75" s="190">
        <f t="shared" ref="AH75:AH93" si="77">AF75+AG75</f>
        <v>53</v>
      </c>
      <c r="AI75" s="191">
        <v>34</v>
      </c>
      <c r="AJ75" s="191">
        <v>25</v>
      </c>
      <c r="AK75" s="192">
        <f>AI75+AJ75</f>
        <v>59</v>
      </c>
      <c r="AL75" s="174">
        <f>B75+E75+H75+K75+N75+Q75+T75+W75+Z75+AC75+AF75+AI75</f>
        <v>392</v>
      </c>
      <c r="AM75" s="174">
        <f t="shared" ref="AM75:AN75" si="78">C75+F75+I75+L75+O75+R75+U75+X75+AA75+AD75+AG75+AJ75</f>
        <v>268</v>
      </c>
      <c r="AN75" s="174">
        <f t="shared" si="78"/>
        <v>660</v>
      </c>
      <c r="AO75" s="174">
        <f>D75+G75+J75+M75+P75+S75+V75+Y75</f>
        <v>442</v>
      </c>
      <c r="AQ75" s="188" t="s">
        <v>4</v>
      </c>
      <c r="AR75" s="189">
        <v>75</v>
      </c>
      <c r="AS75" s="189">
        <v>1</v>
      </c>
      <c r="AT75" s="190">
        <v>76</v>
      </c>
      <c r="AU75" s="189">
        <v>69</v>
      </c>
      <c r="AV75" s="189">
        <v>2</v>
      </c>
      <c r="AW75" s="190">
        <v>71</v>
      </c>
      <c r="AX75" s="189">
        <v>82</v>
      </c>
      <c r="AY75" s="189">
        <v>1</v>
      </c>
      <c r="AZ75" s="190">
        <v>83</v>
      </c>
      <c r="BA75" s="189">
        <v>77</v>
      </c>
      <c r="BB75" s="189">
        <v>1</v>
      </c>
      <c r="BC75" s="190">
        <v>78</v>
      </c>
      <c r="BD75" s="189">
        <v>81</v>
      </c>
      <c r="BE75" s="189">
        <v>3</v>
      </c>
      <c r="BF75" s="190">
        <v>84</v>
      </c>
      <c r="BG75" s="189">
        <v>71</v>
      </c>
      <c r="BH75" s="189">
        <v>0</v>
      </c>
      <c r="BI75" s="190">
        <f t="shared" ref="BI75:BI93" si="79">BG75+BH75</f>
        <v>71</v>
      </c>
      <c r="BJ75" s="189">
        <v>67</v>
      </c>
      <c r="BK75" s="189">
        <v>2</v>
      </c>
      <c r="BL75" s="190">
        <f t="shared" ref="BL75:BL93" si="80">BJ75+BK75</f>
        <v>69</v>
      </c>
      <c r="BM75" s="189">
        <v>62</v>
      </c>
      <c r="BN75" s="189">
        <v>0</v>
      </c>
      <c r="BO75" s="190">
        <f t="shared" ref="BO75:BO93" si="81">BM75+BN75</f>
        <v>62</v>
      </c>
      <c r="BP75" s="189">
        <v>54</v>
      </c>
      <c r="BQ75" s="189">
        <v>6</v>
      </c>
      <c r="BR75" s="190">
        <f t="shared" ref="BR75:BR93" si="82">BP75+BQ75</f>
        <v>60</v>
      </c>
      <c r="BS75" s="189">
        <v>59</v>
      </c>
      <c r="BT75" s="189">
        <v>1</v>
      </c>
      <c r="BU75" s="190">
        <f t="shared" ref="BU75:BU93" si="83">BS75+BT75</f>
        <v>60</v>
      </c>
      <c r="BV75" s="189">
        <v>58</v>
      </c>
      <c r="BW75" s="189">
        <v>1</v>
      </c>
      <c r="BX75" s="190">
        <f t="shared" ref="BX75:BX93" si="84">BV75+BW75</f>
        <v>59</v>
      </c>
      <c r="BY75" s="189">
        <v>56</v>
      </c>
      <c r="BZ75" s="189">
        <v>2</v>
      </c>
      <c r="CA75" s="190">
        <f t="shared" ref="CA75:CA93" si="85">BY75+BZ75</f>
        <v>58</v>
      </c>
      <c r="CB75" s="174">
        <f>AR75+AU75+AX75+BA75+BD75+BG75+BJ75+BM75+BP75+BS75+BV75+BY75</f>
        <v>811</v>
      </c>
      <c r="CC75" s="174">
        <f t="shared" ref="CC75" si="86">AS75+AV75+AY75+BB75+BE75+BH75+BK75+BN75+BQ75+BT75+BW75+BZ75</f>
        <v>20</v>
      </c>
      <c r="CD75" s="174">
        <f t="shared" ref="CD75" si="87">AT75+AW75+AZ75+BC75+BF75+BI75+BL75+BO75+BR75+BU75+BX75+CA75</f>
        <v>831</v>
      </c>
    </row>
    <row r="76" spans="1:82" x14ac:dyDescent="0.25">
      <c r="A76" s="188" t="s">
        <v>8</v>
      </c>
      <c r="B76" s="189">
        <v>13</v>
      </c>
      <c r="C76" s="189">
        <v>10</v>
      </c>
      <c r="D76" s="190">
        <v>23</v>
      </c>
      <c r="E76" s="189">
        <v>13</v>
      </c>
      <c r="F76" s="189">
        <v>7</v>
      </c>
      <c r="G76" s="190">
        <v>20</v>
      </c>
      <c r="H76" s="189">
        <v>18</v>
      </c>
      <c r="I76" s="189">
        <v>15</v>
      </c>
      <c r="J76" s="190">
        <v>33</v>
      </c>
      <c r="K76" s="189">
        <v>16</v>
      </c>
      <c r="L76" s="189">
        <v>14</v>
      </c>
      <c r="M76" s="190">
        <v>30</v>
      </c>
      <c r="N76" s="189">
        <v>16</v>
      </c>
      <c r="O76" s="189">
        <v>14</v>
      </c>
      <c r="P76" s="190">
        <v>30</v>
      </c>
      <c r="Q76" s="189">
        <v>12</v>
      </c>
      <c r="R76" s="189">
        <v>18</v>
      </c>
      <c r="S76" s="190">
        <f t="shared" si="72"/>
        <v>30</v>
      </c>
      <c r="T76" s="189">
        <v>16</v>
      </c>
      <c r="U76" s="189">
        <v>19</v>
      </c>
      <c r="V76" s="190">
        <f t="shared" si="73"/>
        <v>35</v>
      </c>
      <c r="W76" s="189">
        <v>13</v>
      </c>
      <c r="X76" s="189">
        <v>12</v>
      </c>
      <c r="Y76" s="190">
        <f t="shared" si="74"/>
        <v>25</v>
      </c>
      <c r="Z76" s="189">
        <v>9</v>
      </c>
      <c r="AA76" s="189">
        <v>8</v>
      </c>
      <c r="AB76" s="190">
        <f t="shared" si="75"/>
        <v>17</v>
      </c>
      <c r="AC76" s="189">
        <v>8</v>
      </c>
      <c r="AD76" s="189">
        <v>11</v>
      </c>
      <c r="AE76" s="190">
        <f t="shared" si="76"/>
        <v>19</v>
      </c>
      <c r="AF76" s="189">
        <v>16</v>
      </c>
      <c r="AG76" s="189">
        <v>8</v>
      </c>
      <c r="AH76" s="190">
        <f t="shared" si="77"/>
        <v>24</v>
      </c>
      <c r="AI76" s="191">
        <v>6</v>
      </c>
      <c r="AJ76" s="191">
        <v>15</v>
      </c>
      <c r="AK76" s="192">
        <f t="shared" ref="AK76:AK93" si="88">AI76+AJ76</f>
        <v>21</v>
      </c>
      <c r="AL76" s="174">
        <f t="shared" ref="AL76:AL93" si="89">B76+E76+H76+K76+N76+Q76+T76+W76+Z76+AC76+AF76+AI76</f>
        <v>156</v>
      </c>
      <c r="AM76" s="174">
        <f t="shared" ref="AM76:AM93" si="90">C76+F76+I76+L76+O76+R76+U76+X76+AA76+AD76+AG76+AJ76</f>
        <v>151</v>
      </c>
      <c r="AN76" s="174">
        <f t="shared" ref="AN76:AN93" si="91">D76+G76+J76+M76+P76+S76+V76+Y76+AB76+AE76+AH76+AK76</f>
        <v>307</v>
      </c>
      <c r="AO76" s="174">
        <f t="shared" ref="AO76:AO93" si="92">D76+G76+J76+M76+P76+S76+V76+Y76</f>
        <v>226</v>
      </c>
      <c r="AQ76" s="188" t="s">
        <v>8</v>
      </c>
      <c r="AR76" s="189">
        <v>21</v>
      </c>
      <c r="AS76" s="189">
        <v>1</v>
      </c>
      <c r="AT76" s="190">
        <v>22</v>
      </c>
      <c r="AU76" s="189">
        <v>26</v>
      </c>
      <c r="AV76" s="189">
        <v>0</v>
      </c>
      <c r="AW76" s="190">
        <v>26</v>
      </c>
      <c r="AX76" s="189">
        <v>28</v>
      </c>
      <c r="AY76" s="189">
        <v>0</v>
      </c>
      <c r="AZ76" s="190">
        <v>28</v>
      </c>
      <c r="BA76" s="189">
        <v>22</v>
      </c>
      <c r="BB76" s="189">
        <v>0</v>
      </c>
      <c r="BC76" s="190">
        <v>22</v>
      </c>
      <c r="BD76" s="189">
        <v>28</v>
      </c>
      <c r="BE76" s="189">
        <v>0</v>
      </c>
      <c r="BF76" s="190">
        <v>28</v>
      </c>
      <c r="BG76" s="189">
        <v>29</v>
      </c>
      <c r="BH76" s="189">
        <v>0</v>
      </c>
      <c r="BI76" s="190">
        <f t="shared" si="79"/>
        <v>29</v>
      </c>
      <c r="BJ76" s="189">
        <v>23</v>
      </c>
      <c r="BK76" s="189">
        <v>0</v>
      </c>
      <c r="BL76" s="190">
        <f t="shared" si="80"/>
        <v>23</v>
      </c>
      <c r="BM76" s="189">
        <v>24</v>
      </c>
      <c r="BN76" s="189">
        <v>0</v>
      </c>
      <c r="BO76" s="190">
        <f t="shared" si="81"/>
        <v>24</v>
      </c>
      <c r="BP76" s="189">
        <v>22</v>
      </c>
      <c r="BQ76" s="189">
        <v>1</v>
      </c>
      <c r="BR76" s="190">
        <f t="shared" si="82"/>
        <v>23</v>
      </c>
      <c r="BS76" s="189">
        <v>25</v>
      </c>
      <c r="BT76" s="189">
        <v>0</v>
      </c>
      <c r="BU76" s="190">
        <f t="shared" si="83"/>
        <v>25</v>
      </c>
      <c r="BV76" s="189">
        <v>18</v>
      </c>
      <c r="BW76" s="189">
        <v>0</v>
      </c>
      <c r="BX76" s="190">
        <f t="shared" si="84"/>
        <v>18</v>
      </c>
      <c r="BY76" s="189">
        <v>17</v>
      </c>
      <c r="BZ76" s="189">
        <v>3</v>
      </c>
      <c r="CA76" s="190">
        <f t="shared" si="85"/>
        <v>20</v>
      </c>
      <c r="CB76" s="174">
        <f t="shared" ref="CB76:CB93" si="93">AR76+AU76+AX76+BA76+BD76+BG76+BJ76+BM76+BP76+BS76+BV76+BY76</f>
        <v>283</v>
      </c>
      <c r="CC76" s="174">
        <f t="shared" ref="CC76:CC93" si="94">AS76+AV76+AY76+BB76+BE76+BH76+BK76+BN76+BQ76+BT76+BW76+BZ76</f>
        <v>5</v>
      </c>
      <c r="CD76" s="174">
        <f t="shared" ref="CD76:CD93" si="95">AT76+AW76+AZ76+BC76+BF76+BI76+BL76+BO76+BR76+BU76+BX76+CA76</f>
        <v>288</v>
      </c>
    </row>
    <row r="77" spans="1:82" x14ac:dyDescent="0.25">
      <c r="A77" s="188" t="s">
        <v>7</v>
      </c>
      <c r="B77" s="189">
        <v>17</v>
      </c>
      <c r="C77" s="189">
        <v>11</v>
      </c>
      <c r="D77" s="190">
        <v>28</v>
      </c>
      <c r="E77" s="189">
        <v>10</v>
      </c>
      <c r="F77" s="189">
        <v>14</v>
      </c>
      <c r="G77" s="190">
        <v>24</v>
      </c>
      <c r="H77" s="189">
        <v>18</v>
      </c>
      <c r="I77" s="189">
        <v>13</v>
      </c>
      <c r="J77" s="190">
        <v>31</v>
      </c>
      <c r="K77" s="189">
        <v>13</v>
      </c>
      <c r="L77" s="189">
        <v>6</v>
      </c>
      <c r="M77" s="190">
        <v>19</v>
      </c>
      <c r="N77" s="189">
        <v>9</v>
      </c>
      <c r="O77" s="189">
        <v>13</v>
      </c>
      <c r="P77" s="190">
        <v>22</v>
      </c>
      <c r="Q77" s="189">
        <v>16</v>
      </c>
      <c r="R77" s="189">
        <v>12</v>
      </c>
      <c r="S77" s="190">
        <f t="shared" si="72"/>
        <v>28</v>
      </c>
      <c r="T77" s="189">
        <v>8</v>
      </c>
      <c r="U77" s="189">
        <v>14</v>
      </c>
      <c r="V77" s="190">
        <f t="shared" si="73"/>
        <v>22</v>
      </c>
      <c r="W77" s="189">
        <v>7</v>
      </c>
      <c r="X77" s="189">
        <v>9</v>
      </c>
      <c r="Y77" s="190">
        <f t="shared" si="74"/>
        <v>16</v>
      </c>
      <c r="Z77" s="189">
        <v>10</v>
      </c>
      <c r="AA77" s="189">
        <v>12</v>
      </c>
      <c r="AB77" s="190">
        <f t="shared" si="75"/>
        <v>22</v>
      </c>
      <c r="AC77" s="189">
        <v>7</v>
      </c>
      <c r="AD77" s="189">
        <v>5</v>
      </c>
      <c r="AE77" s="190">
        <f t="shared" si="76"/>
        <v>12</v>
      </c>
      <c r="AF77" s="189">
        <v>13</v>
      </c>
      <c r="AG77" s="189">
        <v>9</v>
      </c>
      <c r="AH77" s="190">
        <f t="shared" si="77"/>
        <v>22</v>
      </c>
      <c r="AI77" s="191">
        <v>12</v>
      </c>
      <c r="AJ77" s="191">
        <v>12</v>
      </c>
      <c r="AK77" s="192">
        <f t="shared" si="88"/>
        <v>24</v>
      </c>
      <c r="AL77" s="174">
        <f t="shared" si="89"/>
        <v>140</v>
      </c>
      <c r="AM77" s="174">
        <f t="shared" si="90"/>
        <v>130</v>
      </c>
      <c r="AN77" s="174">
        <f t="shared" si="91"/>
        <v>270</v>
      </c>
      <c r="AO77" s="174">
        <f t="shared" si="92"/>
        <v>190</v>
      </c>
      <c r="AQ77" s="188" t="s">
        <v>7</v>
      </c>
      <c r="AR77" s="189">
        <v>30</v>
      </c>
      <c r="AS77" s="189">
        <v>1</v>
      </c>
      <c r="AT77" s="190">
        <v>31</v>
      </c>
      <c r="AU77" s="189">
        <v>36</v>
      </c>
      <c r="AV77" s="189">
        <v>0</v>
      </c>
      <c r="AW77" s="190">
        <v>36</v>
      </c>
      <c r="AX77" s="189">
        <v>34</v>
      </c>
      <c r="AY77" s="189">
        <v>0</v>
      </c>
      <c r="AZ77" s="190">
        <v>34</v>
      </c>
      <c r="BA77" s="189">
        <v>33</v>
      </c>
      <c r="BB77" s="189">
        <v>0</v>
      </c>
      <c r="BC77" s="190">
        <v>33</v>
      </c>
      <c r="BD77" s="189">
        <v>19</v>
      </c>
      <c r="BE77" s="189">
        <v>0</v>
      </c>
      <c r="BF77" s="190">
        <v>19</v>
      </c>
      <c r="BG77" s="189">
        <v>27</v>
      </c>
      <c r="BH77" s="189">
        <v>0</v>
      </c>
      <c r="BI77" s="190">
        <f t="shared" si="79"/>
        <v>27</v>
      </c>
      <c r="BJ77" s="189">
        <v>36</v>
      </c>
      <c r="BK77" s="189">
        <v>0</v>
      </c>
      <c r="BL77" s="190">
        <f t="shared" si="80"/>
        <v>36</v>
      </c>
      <c r="BM77" s="189">
        <v>28</v>
      </c>
      <c r="BN77" s="189">
        <v>1</v>
      </c>
      <c r="BO77" s="190">
        <f t="shared" si="81"/>
        <v>29</v>
      </c>
      <c r="BP77" s="189">
        <v>26</v>
      </c>
      <c r="BQ77" s="189">
        <v>0</v>
      </c>
      <c r="BR77" s="190">
        <f t="shared" si="82"/>
        <v>26</v>
      </c>
      <c r="BS77" s="189">
        <v>25</v>
      </c>
      <c r="BT77" s="189">
        <v>0</v>
      </c>
      <c r="BU77" s="190">
        <f t="shared" si="83"/>
        <v>25</v>
      </c>
      <c r="BV77" s="189">
        <v>20</v>
      </c>
      <c r="BW77" s="189">
        <v>0</v>
      </c>
      <c r="BX77" s="190">
        <f t="shared" si="84"/>
        <v>20</v>
      </c>
      <c r="BY77" s="189">
        <v>25</v>
      </c>
      <c r="BZ77" s="189">
        <v>0</v>
      </c>
      <c r="CA77" s="190">
        <f t="shared" si="85"/>
        <v>25</v>
      </c>
      <c r="CB77" s="174">
        <f t="shared" si="93"/>
        <v>339</v>
      </c>
      <c r="CC77" s="174">
        <f t="shared" si="94"/>
        <v>2</v>
      </c>
      <c r="CD77" s="174">
        <f t="shared" si="95"/>
        <v>341</v>
      </c>
    </row>
    <row r="78" spans="1:82" x14ac:dyDescent="0.25">
      <c r="A78" s="188" t="s">
        <v>13</v>
      </c>
      <c r="B78" s="189">
        <v>4</v>
      </c>
      <c r="C78" s="189">
        <v>3</v>
      </c>
      <c r="D78" s="190">
        <v>7</v>
      </c>
      <c r="E78" s="189">
        <v>7</v>
      </c>
      <c r="F78" s="189">
        <v>7</v>
      </c>
      <c r="G78" s="190">
        <v>14</v>
      </c>
      <c r="H78" s="189">
        <v>7</v>
      </c>
      <c r="I78" s="189">
        <v>11</v>
      </c>
      <c r="J78" s="190">
        <v>18</v>
      </c>
      <c r="K78" s="189">
        <v>9</v>
      </c>
      <c r="L78" s="189">
        <v>15</v>
      </c>
      <c r="M78" s="190">
        <v>24</v>
      </c>
      <c r="N78" s="189">
        <v>8</v>
      </c>
      <c r="O78" s="189">
        <v>8</v>
      </c>
      <c r="P78" s="190">
        <v>16</v>
      </c>
      <c r="Q78" s="189">
        <v>11</v>
      </c>
      <c r="R78" s="189">
        <v>9</v>
      </c>
      <c r="S78" s="190">
        <f t="shared" si="72"/>
        <v>20</v>
      </c>
      <c r="T78" s="189">
        <v>9</v>
      </c>
      <c r="U78" s="189">
        <v>16</v>
      </c>
      <c r="V78" s="190">
        <f t="shared" si="73"/>
        <v>25</v>
      </c>
      <c r="W78" s="189">
        <v>9</v>
      </c>
      <c r="X78" s="189">
        <v>11</v>
      </c>
      <c r="Y78" s="190">
        <f t="shared" si="74"/>
        <v>20</v>
      </c>
      <c r="Z78" s="189">
        <v>2</v>
      </c>
      <c r="AA78" s="189">
        <v>5</v>
      </c>
      <c r="AB78" s="190">
        <f t="shared" si="75"/>
        <v>7</v>
      </c>
      <c r="AC78" s="189">
        <v>9</v>
      </c>
      <c r="AD78" s="189">
        <v>9</v>
      </c>
      <c r="AE78" s="190">
        <f t="shared" si="76"/>
        <v>18</v>
      </c>
      <c r="AF78" s="189">
        <v>6</v>
      </c>
      <c r="AG78" s="189">
        <v>6</v>
      </c>
      <c r="AH78" s="190">
        <f t="shared" si="77"/>
        <v>12</v>
      </c>
      <c r="AI78" s="191">
        <v>7</v>
      </c>
      <c r="AJ78" s="191">
        <v>11</v>
      </c>
      <c r="AK78" s="192">
        <f t="shared" si="88"/>
        <v>18</v>
      </c>
      <c r="AL78" s="174">
        <f t="shared" si="89"/>
        <v>88</v>
      </c>
      <c r="AM78" s="174">
        <f t="shared" si="90"/>
        <v>111</v>
      </c>
      <c r="AN78" s="174">
        <f t="shared" si="91"/>
        <v>199</v>
      </c>
      <c r="AO78" s="174">
        <f t="shared" si="92"/>
        <v>144</v>
      </c>
      <c r="AQ78" s="188" t="s">
        <v>13</v>
      </c>
      <c r="AR78" s="189">
        <v>17</v>
      </c>
      <c r="AS78" s="189">
        <v>3</v>
      </c>
      <c r="AT78" s="190">
        <v>20</v>
      </c>
      <c r="AU78" s="189">
        <v>13</v>
      </c>
      <c r="AV78" s="189">
        <v>0</v>
      </c>
      <c r="AW78" s="190">
        <v>13</v>
      </c>
      <c r="AX78" s="189">
        <v>12</v>
      </c>
      <c r="AY78" s="189">
        <v>0</v>
      </c>
      <c r="AZ78" s="190">
        <v>12</v>
      </c>
      <c r="BA78" s="189">
        <v>16</v>
      </c>
      <c r="BB78" s="189">
        <v>0</v>
      </c>
      <c r="BC78" s="190">
        <v>16</v>
      </c>
      <c r="BD78" s="189">
        <v>14</v>
      </c>
      <c r="BE78" s="189">
        <v>1</v>
      </c>
      <c r="BF78" s="190">
        <v>15</v>
      </c>
      <c r="BG78" s="189">
        <v>17</v>
      </c>
      <c r="BH78" s="189">
        <v>0</v>
      </c>
      <c r="BI78" s="190">
        <f t="shared" si="79"/>
        <v>17</v>
      </c>
      <c r="BJ78" s="189">
        <v>11</v>
      </c>
      <c r="BK78" s="189">
        <v>1</v>
      </c>
      <c r="BL78" s="190">
        <f t="shared" si="80"/>
        <v>12</v>
      </c>
      <c r="BM78" s="189">
        <v>13</v>
      </c>
      <c r="BN78" s="189">
        <v>0</v>
      </c>
      <c r="BO78" s="190">
        <f t="shared" si="81"/>
        <v>13</v>
      </c>
      <c r="BP78" s="189">
        <v>12</v>
      </c>
      <c r="BQ78" s="189">
        <v>0</v>
      </c>
      <c r="BR78" s="190">
        <f t="shared" si="82"/>
        <v>12</v>
      </c>
      <c r="BS78" s="189">
        <v>18</v>
      </c>
      <c r="BT78" s="189">
        <v>0</v>
      </c>
      <c r="BU78" s="190">
        <f t="shared" si="83"/>
        <v>18</v>
      </c>
      <c r="BV78" s="189">
        <v>15</v>
      </c>
      <c r="BW78" s="189">
        <v>2</v>
      </c>
      <c r="BX78" s="190">
        <f t="shared" si="84"/>
        <v>17</v>
      </c>
      <c r="BY78" s="189">
        <v>18</v>
      </c>
      <c r="BZ78" s="189">
        <v>0</v>
      </c>
      <c r="CA78" s="190">
        <f t="shared" si="85"/>
        <v>18</v>
      </c>
      <c r="CB78" s="174">
        <f t="shared" si="93"/>
        <v>176</v>
      </c>
      <c r="CC78" s="174">
        <f t="shared" si="94"/>
        <v>7</v>
      </c>
      <c r="CD78" s="174">
        <f t="shared" si="95"/>
        <v>183</v>
      </c>
    </row>
    <row r="79" spans="1:82" x14ac:dyDescent="0.25">
      <c r="A79" s="178" t="s">
        <v>127</v>
      </c>
      <c r="B79" s="189">
        <v>21</v>
      </c>
      <c r="C79" s="189">
        <v>9</v>
      </c>
      <c r="D79" s="190">
        <v>30</v>
      </c>
      <c r="E79" s="189">
        <v>19</v>
      </c>
      <c r="F79" s="189">
        <v>26</v>
      </c>
      <c r="G79" s="190">
        <v>45</v>
      </c>
      <c r="H79" s="189">
        <v>24</v>
      </c>
      <c r="I79" s="189">
        <v>17</v>
      </c>
      <c r="J79" s="190">
        <v>41</v>
      </c>
      <c r="K79" s="189">
        <v>24</v>
      </c>
      <c r="L79" s="189">
        <v>19</v>
      </c>
      <c r="M79" s="190">
        <v>43</v>
      </c>
      <c r="N79" s="189">
        <v>23</v>
      </c>
      <c r="O79" s="189">
        <v>23</v>
      </c>
      <c r="P79" s="190">
        <v>46</v>
      </c>
      <c r="Q79" s="189">
        <v>18</v>
      </c>
      <c r="R79" s="189">
        <v>24</v>
      </c>
      <c r="S79" s="190">
        <f t="shared" si="72"/>
        <v>42</v>
      </c>
      <c r="T79" s="189">
        <v>14</v>
      </c>
      <c r="U79" s="189">
        <v>31</v>
      </c>
      <c r="V79" s="190">
        <f t="shared" si="73"/>
        <v>45</v>
      </c>
      <c r="W79" s="189">
        <v>12</v>
      </c>
      <c r="X79" s="189">
        <v>24</v>
      </c>
      <c r="Y79" s="190">
        <f t="shared" si="74"/>
        <v>36</v>
      </c>
      <c r="Z79" s="189">
        <v>18</v>
      </c>
      <c r="AA79" s="189">
        <v>15</v>
      </c>
      <c r="AB79" s="190">
        <f t="shared" si="75"/>
        <v>33</v>
      </c>
      <c r="AC79" s="189">
        <v>13</v>
      </c>
      <c r="AD79" s="189">
        <v>16</v>
      </c>
      <c r="AE79" s="190">
        <f t="shared" si="76"/>
        <v>29</v>
      </c>
      <c r="AF79" s="189">
        <v>21</v>
      </c>
      <c r="AG79" s="189">
        <v>21</v>
      </c>
      <c r="AH79" s="190">
        <f t="shared" si="77"/>
        <v>42</v>
      </c>
      <c r="AI79" s="191">
        <v>23</v>
      </c>
      <c r="AJ79" s="191">
        <v>36</v>
      </c>
      <c r="AK79" s="192">
        <f t="shared" si="88"/>
        <v>59</v>
      </c>
      <c r="AL79" s="174">
        <f t="shared" si="89"/>
        <v>230</v>
      </c>
      <c r="AM79" s="174">
        <f t="shared" si="90"/>
        <v>261</v>
      </c>
      <c r="AN79" s="174">
        <f t="shared" si="91"/>
        <v>491</v>
      </c>
      <c r="AO79" s="174">
        <f t="shared" si="92"/>
        <v>328</v>
      </c>
      <c r="AQ79" s="178" t="s">
        <v>127</v>
      </c>
      <c r="AR79" s="189">
        <v>38</v>
      </c>
      <c r="AS79" s="189">
        <v>3</v>
      </c>
      <c r="AT79" s="190">
        <v>41</v>
      </c>
      <c r="AU79" s="189">
        <v>45</v>
      </c>
      <c r="AV79" s="189">
        <v>2</v>
      </c>
      <c r="AW79" s="190">
        <v>47</v>
      </c>
      <c r="AX79" s="189">
        <v>42</v>
      </c>
      <c r="AY79" s="189">
        <v>1</v>
      </c>
      <c r="AZ79" s="190">
        <v>43</v>
      </c>
      <c r="BA79" s="189">
        <v>45</v>
      </c>
      <c r="BB79" s="189">
        <v>1</v>
      </c>
      <c r="BC79" s="190">
        <v>46</v>
      </c>
      <c r="BD79" s="189">
        <v>42</v>
      </c>
      <c r="BE79" s="189">
        <v>0</v>
      </c>
      <c r="BF79" s="190">
        <v>42</v>
      </c>
      <c r="BG79" s="189">
        <v>49</v>
      </c>
      <c r="BH79" s="189">
        <v>1</v>
      </c>
      <c r="BI79" s="190">
        <f t="shared" si="79"/>
        <v>50</v>
      </c>
      <c r="BJ79" s="189">
        <v>43</v>
      </c>
      <c r="BK79" s="189">
        <v>1</v>
      </c>
      <c r="BL79" s="190">
        <f t="shared" si="80"/>
        <v>44</v>
      </c>
      <c r="BM79" s="189">
        <v>41</v>
      </c>
      <c r="BN79" s="189">
        <v>0</v>
      </c>
      <c r="BO79" s="190">
        <f t="shared" si="81"/>
        <v>41</v>
      </c>
      <c r="BP79" s="189">
        <v>31</v>
      </c>
      <c r="BQ79" s="189">
        <v>1</v>
      </c>
      <c r="BR79" s="190">
        <f t="shared" si="82"/>
        <v>32</v>
      </c>
      <c r="BS79" s="189">
        <v>35</v>
      </c>
      <c r="BT79" s="189">
        <v>5</v>
      </c>
      <c r="BU79" s="190">
        <f t="shared" si="83"/>
        <v>40</v>
      </c>
      <c r="BV79" s="189">
        <v>32</v>
      </c>
      <c r="BW79" s="189">
        <v>2</v>
      </c>
      <c r="BX79" s="190">
        <f t="shared" si="84"/>
        <v>34</v>
      </c>
      <c r="BY79" s="189">
        <v>37</v>
      </c>
      <c r="BZ79" s="189">
        <v>3</v>
      </c>
      <c r="CA79" s="190">
        <f t="shared" si="85"/>
        <v>40</v>
      </c>
      <c r="CB79" s="174">
        <f t="shared" si="93"/>
        <v>480</v>
      </c>
      <c r="CC79" s="174">
        <f t="shared" si="94"/>
        <v>20</v>
      </c>
      <c r="CD79" s="174">
        <f t="shared" si="95"/>
        <v>500</v>
      </c>
    </row>
    <row r="80" spans="1:82" x14ac:dyDescent="0.25">
      <c r="A80" s="178" t="s">
        <v>3</v>
      </c>
      <c r="B80" s="189">
        <v>24</v>
      </c>
      <c r="C80" s="189">
        <v>11</v>
      </c>
      <c r="D80" s="190">
        <v>35</v>
      </c>
      <c r="E80" s="189">
        <v>22</v>
      </c>
      <c r="F80" s="189">
        <v>14</v>
      </c>
      <c r="G80" s="190">
        <v>36</v>
      </c>
      <c r="H80" s="189">
        <v>10</v>
      </c>
      <c r="I80" s="189">
        <v>14</v>
      </c>
      <c r="J80" s="190">
        <v>24</v>
      </c>
      <c r="K80" s="189">
        <v>17</v>
      </c>
      <c r="L80" s="189">
        <v>17</v>
      </c>
      <c r="M80" s="190">
        <v>34</v>
      </c>
      <c r="N80" s="189">
        <v>19</v>
      </c>
      <c r="O80" s="189">
        <v>12</v>
      </c>
      <c r="P80" s="190">
        <v>31</v>
      </c>
      <c r="Q80" s="189">
        <v>15</v>
      </c>
      <c r="R80" s="189">
        <v>17</v>
      </c>
      <c r="S80" s="190">
        <f t="shared" si="72"/>
        <v>32</v>
      </c>
      <c r="T80" s="189">
        <v>7</v>
      </c>
      <c r="U80" s="189">
        <v>16</v>
      </c>
      <c r="V80" s="190">
        <f t="shared" si="73"/>
        <v>23</v>
      </c>
      <c r="W80" s="189">
        <v>12</v>
      </c>
      <c r="X80" s="189">
        <v>18</v>
      </c>
      <c r="Y80" s="190">
        <f t="shared" si="74"/>
        <v>30</v>
      </c>
      <c r="Z80" s="189">
        <v>11</v>
      </c>
      <c r="AA80" s="189">
        <v>13</v>
      </c>
      <c r="AB80" s="190">
        <f t="shared" si="75"/>
        <v>24</v>
      </c>
      <c r="AC80" s="189">
        <v>18</v>
      </c>
      <c r="AD80" s="189">
        <v>19</v>
      </c>
      <c r="AE80" s="190">
        <f t="shared" si="76"/>
        <v>37</v>
      </c>
      <c r="AF80" s="189">
        <v>13</v>
      </c>
      <c r="AG80" s="189">
        <v>27</v>
      </c>
      <c r="AH80" s="190">
        <f t="shared" si="77"/>
        <v>40</v>
      </c>
      <c r="AI80" s="191">
        <v>20</v>
      </c>
      <c r="AJ80" s="191">
        <v>20</v>
      </c>
      <c r="AK80" s="192">
        <f t="shared" si="88"/>
        <v>40</v>
      </c>
      <c r="AL80" s="174">
        <f t="shared" si="89"/>
        <v>188</v>
      </c>
      <c r="AM80" s="174">
        <f t="shared" si="90"/>
        <v>198</v>
      </c>
      <c r="AN80" s="174">
        <f t="shared" si="91"/>
        <v>386</v>
      </c>
      <c r="AO80" s="174">
        <f t="shared" si="92"/>
        <v>245</v>
      </c>
      <c r="AQ80" s="178" t="s">
        <v>3</v>
      </c>
      <c r="AR80" s="189">
        <v>62</v>
      </c>
      <c r="AS80" s="189">
        <v>1</v>
      </c>
      <c r="AT80" s="190">
        <v>63</v>
      </c>
      <c r="AU80" s="189">
        <v>73</v>
      </c>
      <c r="AV80" s="189">
        <v>0</v>
      </c>
      <c r="AW80" s="190">
        <v>73</v>
      </c>
      <c r="AX80" s="189">
        <v>69</v>
      </c>
      <c r="AY80" s="189">
        <v>0</v>
      </c>
      <c r="AZ80" s="190">
        <v>69</v>
      </c>
      <c r="BA80" s="189">
        <v>63</v>
      </c>
      <c r="BB80" s="189">
        <v>0</v>
      </c>
      <c r="BC80" s="190">
        <v>63</v>
      </c>
      <c r="BD80" s="189">
        <v>59</v>
      </c>
      <c r="BE80" s="189">
        <v>2</v>
      </c>
      <c r="BF80" s="190">
        <v>61</v>
      </c>
      <c r="BG80" s="189">
        <v>61</v>
      </c>
      <c r="BH80" s="189">
        <v>1</v>
      </c>
      <c r="BI80" s="190">
        <f t="shared" si="79"/>
        <v>62</v>
      </c>
      <c r="BJ80" s="189">
        <v>54</v>
      </c>
      <c r="BK80" s="189">
        <v>1</v>
      </c>
      <c r="BL80" s="190">
        <f t="shared" si="80"/>
        <v>55</v>
      </c>
      <c r="BM80" s="189">
        <v>47</v>
      </c>
      <c r="BN80" s="189">
        <v>0</v>
      </c>
      <c r="BO80" s="190">
        <f t="shared" si="81"/>
        <v>47</v>
      </c>
      <c r="BP80" s="189">
        <v>38</v>
      </c>
      <c r="BQ80" s="189">
        <v>0</v>
      </c>
      <c r="BR80" s="190">
        <f t="shared" si="82"/>
        <v>38</v>
      </c>
      <c r="BS80" s="189">
        <v>43</v>
      </c>
      <c r="BT80" s="189">
        <v>5</v>
      </c>
      <c r="BU80" s="190">
        <f t="shared" si="83"/>
        <v>48</v>
      </c>
      <c r="BV80" s="189">
        <v>41</v>
      </c>
      <c r="BW80" s="189">
        <v>0</v>
      </c>
      <c r="BX80" s="190">
        <f t="shared" si="84"/>
        <v>41</v>
      </c>
      <c r="BY80" s="189">
        <v>34</v>
      </c>
      <c r="BZ80" s="189">
        <v>2</v>
      </c>
      <c r="CA80" s="190">
        <f t="shared" si="85"/>
        <v>36</v>
      </c>
      <c r="CB80" s="174">
        <f t="shared" si="93"/>
        <v>644</v>
      </c>
      <c r="CC80" s="174">
        <f t="shared" si="94"/>
        <v>12</v>
      </c>
      <c r="CD80" s="174">
        <f t="shared" si="95"/>
        <v>656</v>
      </c>
    </row>
    <row r="81" spans="1:82" x14ac:dyDescent="0.25">
      <c r="A81" s="178" t="s">
        <v>128</v>
      </c>
      <c r="B81" s="189">
        <v>39</v>
      </c>
      <c r="C81" s="189">
        <v>20</v>
      </c>
      <c r="D81" s="190">
        <v>59</v>
      </c>
      <c r="E81" s="189">
        <v>12</v>
      </c>
      <c r="F81" s="189">
        <v>24</v>
      </c>
      <c r="G81" s="190">
        <v>36</v>
      </c>
      <c r="H81" s="189">
        <v>19</v>
      </c>
      <c r="I81" s="189">
        <v>21</v>
      </c>
      <c r="J81" s="190">
        <v>40</v>
      </c>
      <c r="K81" s="189">
        <v>20</v>
      </c>
      <c r="L81" s="189">
        <v>13</v>
      </c>
      <c r="M81" s="190">
        <v>33</v>
      </c>
      <c r="N81" s="189">
        <v>36</v>
      </c>
      <c r="O81" s="189">
        <v>22</v>
      </c>
      <c r="P81" s="190">
        <v>58</v>
      </c>
      <c r="Q81" s="189">
        <v>21</v>
      </c>
      <c r="R81" s="189">
        <v>21</v>
      </c>
      <c r="S81" s="190">
        <f t="shared" si="72"/>
        <v>42</v>
      </c>
      <c r="T81" s="189">
        <v>22</v>
      </c>
      <c r="U81" s="189">
        <v>27</v>
      </c>
      <c r="V81" s="190">
        <f t="shared" si="73"/>
        <v>49</v>
      </c>
      <c r="W81" s="189">
        <v>12</v>
      </c>
      <c r="X81" s="189">
        <v>16</v>
      </c>
      <c r="Y81" s="190">
        <f t="shared" si="74"/>
        <v>28</v>
      </c>
      <c r="Z81" s="189">
        <v>15</v>
      </c>
      <c r="AA81" s="189">
        <v>14</v>
      </c>
      <c r="AB81" s="190">
        <f t="shared" si="75"/>
        <v>29</v>
      </c>
      <c r="AC81" s="189">
        <v>21</v>
      </c>
      <c r="AD81" s="189">
        <v>30</v>
      </c>
      <c r="AE81" s="190">
        <f t="shared" si="76"/>
        <v>51</v>
      </c>
      <c r="AF81" s="189">
        <v>10</v>
      </c>
      <c r="AG81" s="189">
        <v>19</v>
      </c>
      <c r="AH81" s="190">
        <f t="shared" si="77"/>
        <v>29</v>
      </c>
      <c r="AI81" s="191">
        <v>35</v>
      </c>
      <c r="AJ81" s="191">
        <v>38</v>
      </c>
      <c r="AK81" s="192">
        <f t="shared" si="88"/>
        <v>73</v>
      </c>
      <c r="AL81" s="174">
        <f t="shared" si="89"/>
        <v>262</v>
      </c>
      <c r="AM81" s="174">
        <f t="shared" si="90"/>
        <v>265</v>
      </c>
      <c r="AN81" s="174">
        <f t="shared" si="91"/>
        <v>527</v>
      </c>
      <c r="AO81" s="174">
        <f t="shared" si="92"/>
        <v>345</v>
      </c>
      <c r="AQ81" s="178" t="s">
        <v>128</v>
      </c>
      <c r="AR81" s="189">
        <v>60</v>
      </c>
      <c r="AS81" s="189">
        <v>0</v>
      </c>
      <c r="AT81" s="190">
        <v>60</v>
      </c>
      <c r="AU81" s="189">
        <v>63</v>
      </c>
      <c r="AV81" s="189">
        <v>1</v>
      </c>
      <c r="AW81" s="190">
        <v>64</v>
      </c>
      <c r="AX81" s="189">
        <v>50</v>
      </c>
      <c r="AY81" s="189">
        <v>2</v>
      </c>
      <c r="AZ81" s="190">
        <v>52</v>
      </c>
      <c r="BA81" s="189">
        <v>57</v>
      </c>
      <c r="BB81" s="189">
        <v>2</v>
      </c>
      <c r="BC81" s="190">
        <v>59</v>
      </c>
      <c r="BD81" s="189">
        <v>48</v>
      </c>
      <c r="BE81" s="189">
        <v>3</v>
      </c>
      <c r="BF81" s="190">
        <v>51</v>
      </c>
      <c r="BG81" s="189">
        <v>55</v>
      </c>
      <c r="BH81" s="189">
        <v>3</v>
      </c>
      <c r="BI81" s="190">
        <f t="shared" si="79"/>
        <v>58</v>
      </c>
      <c r="BJ81" s="189">
        <v>47</v>
      </c>
      <c r="BK81" s="189">
        <v>2</v>
      </c>
      <c r="BL81" s="190">
        <f t="shared" si="80"/>
        <v>49</v>
      </c>
      <c r="BM81" s="189">
        <v>48</v>
      </c>
      <c r="BN81" s="189">
        <v>0</v>
      </c>
      <c r="BO81" s="190">
        <f t="shared" si="81"/>
        <v>48</v>
      </c>
      <c r="BP81" s="189">
        <v>50</v>
      </c>
      <c r="BQ81" s="189">
        <v>2</v>
      </c>
      <c r="BR81" s="190">
        <f t="shared" si="82"/>
        <v>52</v>
      </c>
      <c r="BS81" s="189">
        <v>43</v>
      </c>
      <c r="BT81" s="189">
        <v>2</v>
      </c>
      <c r="BU81" s="190">
        <f t="shared" si="83"/>
        <v>45</v>
      </c>
      <c r="BV81" s="189">
        <v>24</v>
      </c>
      <c r="BW81" s="189">
        <v>1</v>
      </c>
      <c r="BX81" s="190">
        <f t="shared" si="84"/>
        <v>25</v>
      </c>
      <c r="BY81" s="189">
        <v>27</v>
      </c>
      <c r="BZ81" s="189">
        <v>4</v>
      </c>
      <c r="CA81" s="190">
        <f t="shared" si="85"/>
        <v>31</v>
      </c>
      <c r="CB81" s="174">
        <f t="shared" si="93"/>
        <v>572</v>
      </c>
      <c r="CC81" s="174">
        <f t="shared" si="94"/>
        <v>22</v>
      </c>
      <c r="CD81" s="174">
        <f t="shared" si="95"/>
        <v>594</v>
      </c>
    </row>
    <row r="82" spans="1:82" x14ac:dyDescent="0.25">
      <c r="A82" s="188" t="s">
        <v>10</v>
      </c>
      <c r="B82" s="189">
        <v>8</v>
      </c>
      <c r="C82" s="189">
        <v>11</v>
      </c>
      <c r="D82" s="190">
        <v>19</v>
      </c>
      <c r="E82" s="189">
        <v>10</v>
      </c>
      <c r="F82" s="189">
        <v>12</v>
      </c>
      <c r="G82" s="190">
        <v>22</v>
      </c>
      <c r="H82" s="189">
        <v>15</v>
      </c>
      <c r="I82" s="189">
        <v>7</v>
      </c>
      <c r="J82" s="190">
        <v>22</v>
      </c>
      <c r="K82" s="189">
        <v>11</v>
      </c>
      <c r="L82" s="189">
        <v>11</v>
      </c>
      <c r="M82" s="190">
        <v>22</v>
      </c>
      <c r="N82" s="189">
        <v>20</v>
      </c>
      <c r="O82" s="189">
        <v>13</v>
      </c>
      <c r="P82" s="190">
        <v>33</v>
      </c>
      <c r="Q82" s="189">
        <v>12</v>
      </c>
      <c r="R82" s="189">
        <v>7</v>
      </c>
      <c r="S82" s="190">
        <f t="shared" si="72"/>
        <v>19</v>
      </c>
      <c r="T82" s="189">
        <v>7</v>
      </c>
      <c r="U82" s="189">
        <v>15</v>
      </c>
      <c r="V82" s="190">
        <f t="shared" si="73"/>
        <v>22</v>
      </c>
      <c r="W82" s="189">
        <v>7</v>
      </c>
      <c r="X82" s="189">
        <v>21</v>
      </c>
      <c r="Y82" s="190">
        <f t="shared" si="74"/>
        <v>28</v>
      </c>
      <c r="Z82" s="189">
        <v>9</v>
      </c>
      <c r="AA82" s="189">
        <v>21</v>
      </c>
      <c r="AB82" s="190">
        <f t="shared" si="75"/>
        <v>30</v>
      </c>
      <c r="AC82" s="189">
        <v>14</v>
      </c>
      <c r="AD82" s="189">
        <v>21</v>
      </c>
      <c r="AE82" s="190">
        <f t="shared" si="76"/>
        <v>35</v>
      </c>
      <c r="AF82" s="189">
        <v>13</v>
      </c>
      <c r="AG82" s="189">
        <v>17</v>
      </c>
      <c r="AH82" s="190">
        <f t="shared" si="77"/>
        <v>30</v>
      </c>
      <c r="AI82" s="191">
        <v>13</v>
      </c>
      <c r="AJ82" s="191">
        <v>18</v>
      </c>
      <c r="AK82" s="192">
        <f t="shared" si="88"/>
        <v>31</v>
      </c>
      <c r="AL82" s="174">
        <f t="shared" si="89"/>
        <v>139</v>
      </c>
      <c r="AM82" s="174">
        <f t="shared" si="90"/>
        <v>174</v>
      </c>
      <c r="AN82" s="174">
        <f t="shared" si="91"/>
        <v>313</v>
      </c>
      <c r="AO82" s="174">
        <f t="shared" si="92"/>
        <v>187</v>
      </c>
      <c r="AQ82" s="188" t="s">
        <v>10</v>
      </c>
      <c r="AR82" s="189">
        <v>11</v>
      </c>
      <c r="AS82" s="189">
        <v>1</v>
      </c>
      <c r="AT82" s="190">
        <v>12</v>
      </c>
      <c r="AU82" s="189">
        <v>13</v>
      </c>
      <c r="AV82" s="189">
        <v>0</v>
      </c>
      <c r="AW82" s="190">
        <v>13</v>
      </c>
      <c r="AX82" s="189">
        <v>11</v>
      </c>
      <c r="AY82" s="189">
        <v>0</v>
      </c>
      <c r="AZ82" s="190">
        <v>11</v>
      </c>
      <c r="BA82" s="189">
        <v>18</v>
      </c>
      <c r="BB82" s="189">
        <v>0</v>
      </c>
      <c r="BC82" s="190">
        <v>18</v>
      </c>
      <c r="BD82" s="189">
        <v>26</v>
      </c>
      <c r="BE82" s="189">
        <v>0</v>
      </c>
      <c r="BF82" s="190">
        <v>26</v>
      </c>
      <c r="BG82" s="189">
        <v>25</v>
      </c>
      <c r="BH82" s="189">
        <v>0</v>
      </c>
      <c r="BI82" s="190">
        <f t="shared" si="79"/>
        <v>25</v>
      </c>
      <c r="BJ82" s="189">
        <v>20</v>
      </c>
      <c r="BK82" s="189">
        <v>0</v>
      </c>
      <c r="BL82" s="190">
        <f t="shared" si="80"/>
        <v>20</v>
      </c>
      <c r="BM82" s="189">
        <v>25</v>
      </c>
      <c r="BN82" s="189">
        <v>0</v>
      </c>
      <c r="BO82" s="190">
        <f t="shared" si="81"/>
        <v>25</v>
      </c>
      <c r="BP82" s="189">
        <v>13</v>
      </c>
      <c r="BQ82" s="189">
        <v>0</v>
      </c>
      <c r="BR82" s="190">
        <f t="shared" si="82"/>
        <v>13</v>
      </c>
      <c r="BS82" s="189">
        <v>16</v>
      </c>
      <c r="BT82" s="189">
        <v>2</v>
      </c>
      <c r="BU82" s="190">
        <f t="shared" si="83"/>
        <v>18</v>
      </c>
      <c r="BV82" s="189">
        <v>21</v>
      </c>
      <c r="BW82" s="189">
        <v>2</v>
      </c>
      <c r="BX82" s="190">
        <f t="shared" si="84"/>
        <v>23</v>
      </c>
      <c r="BY82" s="189">
        <v>18</v>
      </c>
      <c r="BZ82" s="189">
        <v>1</v>
      </c>
      <c r="CA82" s="190">
        <f t="shared" si="85"/>
        <v>19</v>
      </c>
      <c r="CB82" s="174">
        <f t="shared" si="93"/>
        <v>217</v>
      </c>
      <c r="CC82" s="174">
        <f t="shared" si="94"/>
        <v>6</v>
      </c>
      <c r="CD82" s="174">
        <f t="shared" si="95"/>
        <v>223</v>
      </c>
    </row>
    <row r="83" spans="1:82" x14ac:dyDescent="0.25">
      <c r="A83" s="188" t="s">
        <v>11</v>
      </c>
      <c r="B83" s="189">
        <v>27</v>
      </c>
      <c r="C83" s="189">
        <v>11</v>
      </c>
      <c r="D83" s="190">
        <v>38</v>
      </c>
      <c r="E83" s="189">
        <v>19</v>
      </c>
      <c r="F83" s="189">
        <v>8</v>
      </c>
      <c r="G83" s="190">
        <v>27</v>
      </c>
      <c r="H83" s="189">
        <v>14</v>
      </c>
      <c r="I83" s="189">
        <v>7</v>
      </c>
      <c r="J83" s="190">
        <v>21</v>
      </c>
      <c r="K83" s="189">
        <v>9</v>
      </c>
      <c r="L83" s="189">
        <v>8</v>
      </c>
      <c r="M83" s="190">
        <v>17</v>
      </c>
      <c r="N83" s="189">
        <v>15</v>
      </c>
      <c r="O83" s="189">
        <v>11</v>
      </c>
      <c r="P83" s="190">
        <v>26</v>
      </c>
      <c r="Q83" s="189">
        <v>9</v>
      </c>
      <c r="R83" s="189">
        <v>14</v>
      </c>
      <c r="S83" s="190">
        <f t="shared" si="72"/>
        <v>23</v>
      </c>
      <c r="T83" s="189">
        <v>16</v>
      </c>
      <c r="U83" s="189">
        <v>13</v>
      </c>
      <c r="V83" s="190">
        <f t="shared" si="73"/>
        <v>29</v>
      </c>
      <c r="W83" s="189">
        <v>7</v>
      </c>
      <c r="X83" s="189">
        <v>8</v>
      </c>
      <c r="Y83" s="190">
        <f t="shared" si="74"/>
        <v>15</v>
      </c>
      <c r="Z83" s="189">
        <v>14</v>
      </c>
      <c r="AA83" s="189">
        <v>11</v>
      </c>
      <c r="AB83" s="190">
        <f t="shared" si="75"/>
        <v>25</v>
      </c>
      <c r="AC83" s="189">
        <v>10</v>
      </c>
      <c r="AD83" s="189">
        <v>12</v>
      </c>
      <c r="AE83" s="190">
        <f t="shared" si="76"/>
        <v>22</v>
      </c>
      <c r="AF83" s="189">
        <v>14</v>
      </c>
      <c r="AG83" s="189">
        <v>17</v>
      </c>
      <c r="AH83" s="190">
        <f t="shared" si="77"/>
        <v>31</v>
      </c>
      <c r="AI83" s="191">
        <v>11</v>
      </c>
      <c r="AJ83" s="191">
        <v>20</v>
      </c>
      <c r="AK83" s="192">
        <f t="shared" si="88"/>
        <v>31</v>
      </c>
      <c r="AL83" s="174">
        <f t="shared" si="89"/>
        <v>165</v>
      </c>
      <c r="AM83" s="174">
        <f t="shared" si="90"/>
        <v>140</v>
      </c>
      <c r="AN83" s="174">
        <f t="shared" si="91"/>
        <v>305</v>
      </c>
      <c r="AO83" s="174">
        <f t="shared" si="92"/>
        <v>196</v>
      </c>
      <c r="AQ83" s="188" t="s">
        <v>11</v>
      </c>
      <c r="AR83" s="189">
        <v>52</v>
      </c>
      <c r="AS83" s="189">
        <v>0</v>
      </c>
      <c r="AT83" s="190">
        <v>52</v>
      </c>
      <c r="AU83" s="189">
        <v>48</v>
      </c>
      <c r="AV83" s="189">
        <v>0</v>
      </c>
      <c r="AW83" s="190">
        <v>48</v>
      </c>
      <c r="AX83" s="189">
        <v>42</v>
      </c>
      <c r="AY83" s="189">
        <v>0</v>
      </c>
      <c r="AZ83" s="190">
        <v>42</v>
      </c>
      <c r="BA83" s="189">
        <v>46</v>
      </c>
      <c r="BB83" s="189">
        <v>0</v>
      </c>
      <c r="BC83" s="190">
        <v>46</v>
      </c>
      <c r="BD83" s="189">
        <v>44</v>
      </c>
      <c r="BE83" s="189">
        <v>0</v>
      </c>
      <c r="BF83" s="190">
        <v>44</v>
      </c>
      <c r="BG83" s="189">
        <v>45</v>
      </c>
      <c r="BH83" s="189">
        <v>0</v>
      </c>
      <c r="BI83" s="190">
        <f t="shared" si="79"/>
        <v>45</v>
      </c>
      <c r="BJ83" s="189">
        <v>32</v>
      </c>
      <c r="BK83" s="189">
        <v>0</v>
      </c>
      <c r="BL83" s="190">
        <f t="shared" si="80"/>
        <v>32</v>
      </c>
      <c r="BM83" s="189">
        <v>35</v>
      </c>
      <c r="BN83" s="189">
        <v>0</v>
      </c>
      <c r="BO83" s="190">
        <f t="shared" si="81"/>
        <v>35</v>
      </c>
      <c r="BP83" s="189">
        <v>27</v>
      </c>
      <c r="BQ83" s="189">
        <v>0</v>
      </c>
      <c r="BR83" s="190">
        <f t="shared" si="82"/>
        <v>27</v>
      </c>
      <c r="BS83" s="189">
        <v>26</v>
      </c>
      <c r="BT83" s="189">
        <v>0</v>
      </c>
      <c r="BU83" s="190">
        <f t="shared" si="83"/>
        <v>26</v>
      </c>
      <c r="BV83" s="189">
        <v>23</v>
      </c>
      <c r="BW83" s="189">
        <v>0</v>
      </c>
      <c r="BX83" s="190">
        <f t="shared" si="84"/>
        <v>23</v>
      </c>
      <c r="BY83" s="189">
        <v>25</v>
      </c>
      <c r="BZ83" s="189">
        <v>0</v>
      </c>
      <c r="CA83" s="190">
        <f t="shared" si="85"/>
        <v>25</v>
      </c>
      <c r="CB83" s="174">
        <f t="shared" si="93"/>
        <v>445</v>
      </c>
      <c r="CC83" s="174">
        <f t="shared" si="94"/>
        <v>0</v>
      </c>
      <c r="CD83" s="174">
        <f t="shared" si="95"/>
        <v>445</v>
      </c>
    </row>
    <row r="84" spans="1:82" x14ac:dyDescent="0.25">
      <c r="A84" s="188" t="s">
        <v>5</v>
      </c>
      <c r="B84" s="189">
        <v>20</v>
      </c>
      <c r="C84" s="189">
        <v>11</v>
      </c>
      <c r="D84" s="190">
        <v>31</v>
      </c>
      <c r="E84" s="189">
        <v>17</v>
      </c>
      <c r="F84" s="189">
        <v>4</v>
      </c>
      <c r="G84" s="190">
        <v>21</v>
      </c>
      <c r="H84" s="189">
        <v>21</v>
      </c>
      <c r="I84" s="189">
        <v>12</v>
      </c>
      <c r="J84" s="190">
        <v>33</v>
      </c>
      <c r="K84" s="189">
        <v>23</v>
      </c>
      <c r="L84" s="189">
        <v>9</v>
      </c>
      <c r="M84" s="190">
        <v>32</v>
      </c>
      <c r="N84" s="189">
        <v>22</v>
      </c>
      <c r="O84" s="189">
        <v>8</v>
      </c>
      <c r="P84" s="190">
        <v>30</v>
      </c>
      <c r="Q84" s="189">
        <v>17</v>
      </c>
      <c r="R84" s="189">
        <v>5</v>
      </c>
      <c r="S84" s="190">
        <f t="shared" si="72"/>
        <v>22</v>
      </c>
      <c r="T84" s="189">
        <v>17</v>
      </c>
      <c r="U84" s="189">
        <v>14</v>
      </c>
      <c r="V84" s="190">
        <f t="shared" si="73"/>
        <v>31</v>
      </c>
      <c r="W84" s="189">
        <v>16</v>
      </c>
      <c r="X84" s="189">
        <v>17</v>
      </c>
      <c r="Y84" s="190">
        <f t="shared" si="74"/>
        <v>33</v>
      </c>
      <c r="Z84" s="189">
        <v>14</v>
      </c>
      <c r="AA84" s="189">
        <v>14</v>
      </c>
      <c r="AB84" s="190">
        <f t="shared" si="75"/>
        <v>28</v>
      </c>
      <c r="AC84" s="189">
        <v>21</v>
      </c>
      <c r="AD84" s="189">
        <v>16</v>
      </c>
      <c r="AE84" s="190">
        <f t="shared" si="76"/>
        <v>37</v>
      </c>
      <c r="AF84" s="189">
        <v>20</v>
      </c>
      <c r="AG84" s="189">
        <v>15</v>
      </c>
      <c r="AH84" s="190">
        <f t="shared" si="77"/>
        <v>35</v>
      </c>
      <c r="AI84" s="191">
        <v>24</v>
      </c>
      <c r="AJ84" s="191">
        <v>16</v>
      </c>
      <c r="AK84" s="192">
        <f t="shared" si="88"/>
        <v>40</v>
      </c>
      <c r="AL84" s="174">
        <f t="shared" si="89"/>
        <v>232</v>
      </c>
      <c r="AM84" s="174">
        <f t="shared" si="90"/>
        <v>141</v>
      </c>
      <c r="AN84" s="174">
        <f t="shared" si="91"/>
        <v>373</v>
      </c>
      <c r="AO84" s="174">
        <f t="shared" si="92"/>
        <v>233</v>
      </c>
      <c r="AQ84" s="188" t="s">
        <v>5</v>
      </c>
      <c r="AR84" s="189">
        <v>62</v>
      </c>
      <c r="AS84" s="189">
        <v>25</v>
      </c>
      <c r="AT84" s="190">
        <v>87</v>
      </c>
      <c r="AU84" s="189">
        <v>49</v>
      </c>
      <c r="AV84" s="189">
        <v>2</v>
      </c>
      <c r="AW84" s="190">
        <v>51</v>
      </c>
      <c r="AX84" s="189">
        <v>40</v>
      </c>
      <c r="AY84" s="189">
        <v>0</v>
      </c>
      <c r="AZ84" s="190">
        <v>40</v>
      </c>
      <c r="BA84" s="189">
        <v>45</v>
      </c>
      <c r="BB84" s="189">
        <v>0</v>
      </c>
      <c r="BC84" s="190">
        <v>45</v>
      </c>
      <c r="BD84" s="189">
        <v>48</v>
      </c>
      <c r="BE84" s="189">
        <v>0</v>
      </c>
      <c r="BF84" s="190">
        <v>48</v>
      </c>
      <c r="BG84" s="189">
        <v>55</v>
      </c>
      <c r="BH84" s="189">
        <v>0</v>
      </c>
      <c r="BI84" s="190">
        <f t="shared" si="79"/>
        <v>55</v>
      </c>
      <c r="BJ84" s="189">
        <v>46</v>
      </c>
      <c r="BK84" s="189">
        <v>1</v>
      </c>
      <c r="BL84" s="190">
        <f t="shared" si="80"/>
        <v>47</v>
      </c>
      <c r="BM84" s="189">
        <v>44</v>
      </c>
      <c r="BN84" s="189">
        <v>0</v>
      </c>
      <c r="BO84" s="190">
        <f t="shared" si="81"/>
        <v>44</v>
      </c>
      <c r="BP84" s="189">
        <v>38</v>
      </c>
      <c r="BQ84" s="189">
        <v>0</v>
      </c>
      <c r="BR84" s="190">
        <f t="shared" si="82"/>
        <v>38</v>
      </c>
      <c r="BS84" s="189">
        <v>39</v>
      </c>
      <c r="BT84" s="189">
        <v>1</v>
      </c>
      <c r="BU84" s="190">
        <f t="shared" si="83"/>
        <v>40</v>
      </c>
      <c r="BV84" s="189">
        <v>36</v>
      </c>
      <c r="BW84" s="189">
        <v>3</v>
      </c>
      <c r="BX84" s="190">
        <f t="shared" si="84"/>
        <v>39</v>
      </c>
      <c r="BY84" s="189">
        <v>45</v>
      </c>
      <c r="BZ84" s="189">
        <v>1</v>
      </c>
      <c r="CA84" s="190">
        <f t="shared" si="85"/>
        <v>46</v>
      </c>
      <c r="CB84" s="174">
        <f t="shared" si="93"/>
        <v>547</v>
      </c>
      <c r="CC84" s="174">
        <f t="shared" si="94"/>
        <v>33</v>
      </c>
      <c r="CD84" s="174">
        <f t="shared" si="95"/>
        <v>580</v>
      </c>
    </row>
    <row r="85" spans="1:82" x14ac:dyDescent="0.25">
      <c r="A85" s="188" t="s">
        <v>23</v>
      </c>
      <c r="B85" s="189">
        <v>19</v>
      </c>
      <c r="C85" s="189">
        <v>10</v>
      </c>
      <c r="D85" s="190">
        <v>29</v>
      </c>
      <c r="E85" s="189">
        <v>30</v>
      </c>
      <c r="F85" s="189">
        <v>13</v>
      </c>
      <c r="G85" s="190">
        <v>43</v>
      </c>
      <c r="H85" s="189">
        <v>16</v>
      </c>
      <c r="I85" s="189">
        <v>19</v>
      </c>
      <c r="J85" s="190">
        <v>35</v>
      </c>
      <c r="K85" s="189">
        <v>16</v>
      </c>
      <c r="L85" s="189">
        <v>5</v>
      </c>
      <c r="M85" s="190">
        <v>21</v>
      </c>
      <c r="N85" s="189">
        <v>26</v>
      </c>
      <c r="O85" s="189">
        <v>22</v>
      </c>
      <c r="P85" s="190">
        <v>48</v>
      </c>
      <c r="Q85" s="189">
        <v>26</v>
      </c>
      <c r="R85" s="189">
        <v>25</v>
      </c>
      <c r="S85" s="190">
        <f t="shared" si="72"/>
        <v>51</v>
      </c>
      <c r="T85" s="189">
        <v>14</v>
      </c>
      <c r="U85" s="189">
        <v>26</v>
      </c>
      <c r="V85" s="190">
        <f t="shared" si="73"/>
        <v>40</v>
      </c>
      <c r="W85" s="189">
        <v>12</v>
      </c>
      <c r="X85" s="189">
        <v>25</v>
      </c>
      <c r="Y85" s="190">
        <f t="shared" si="74"/>
        <v>37</v>
      </c>
      <c r="Z85" s="189">
        <v>28</v>
      </c>
      <c r="AA85" s="189">
        <v>23</v>
      </c>
      <c r="AB85" s="190">
        <f t="shared" si="75"/>
        <v>51</v>
      </c>
      <c r="AC85" s="189">
        <v>20</v>
      </c>
      <c r="AD85" s="189">
        <v>15</v>
      </c>
      <c r="AE85" s="190">
        <f t="shared" si="76"/>
        <v>35</v>
      </c>
      <c r="AF85" s="189">
        <v>37</v>
      </c>
      <c r="AG85" s="189">
        <v>13</v>
      </c>
      <c r="AH85" s="190">
        <f t="shared" si="77"/>
        <v>50</v>
      </c>
      <c r="AI85" s="191">
        <v>26</v>
      </c>
      <c r="AJ85" s="191">
        <v>23</v>
      </c>
      <c r="AK85" s="192">
        <f t="shared" si="88"/>
        <v>49</v>
      </c>
      <c r="AL85" s="174">
        <f t="shared" si="89"/>
        <v>270</v>
      </c>
      <c r="AM85" s="174">
        <f t="shared" si="90"/>
        <v>219</v>
      </c>
      <c r="AN85" s="174">
        <f t="shared" si="91"/>
        <v>489</v>
      </c>
      <c r="AO85" s="174">
        <f t="shared" si="92"/>
        <v>304</v>
      </c>
      <c r="AQ85" s="188" t="s">
        <v>23</v>
      </c>
      <c r="AR85" s="189">
        <v>39</v>
      </c>
      <c r="AS85" s="189">
        <v>0</v>
      </c>
      <c r="AT85" s="190">
        <v>39</v>
      </c>
      <c r="AU85" s="189">
        <v>36</v>
      </c>
      <c r="AV85" s="189">
        <v>1</v>
      </c>
      <c r="AW85" s="190">
        <v>37</v>
      </c>
      <c r="AX85" s="189">
        <v>36</v>
      </c>
      <c r="AY85" s="189">
        <v>2</v>
      </c>
      <c r="AZ85" s="190">
        <v>38</v>
      </c>
      <c r="BA85" s="189">
        <v>38</v>
      </c>
      <c r="BB85" s="189">
        <v>0</v>
      </c>
      <c r="BC85" s="190">
        <v>38</v>
      </c>
      <c r="BD85" s="189">
        <v>40</v>
      </c>
      <c r="BE85" s="189">
        <v>0</v>
      </c>
      <c r="BF85" s="190">
        <v>40</v>
      </c>
      <c r="BG85" s="189">
        <v>44</v>
      </c>
      <c r="BH85" s="189">
        <v>0</v>
      </c>
      <c r="BI85" s="190">
        <f t="shared" si="79"/>
        <v>44</v>
      </c>
      <c r="BJ85" s="189">
        <v>44</v>
      </c>
      <c r="BK85" s="189">
        <v>1</v>
      </c>
      <c r="BL85" s="190">
        <f t="shared" si="80"/>
        <v>45</v>
      </c>
      <c r="BM85" s="189">
        <v>45</v>
      </c>
      <c r="BN85" s="189">
        <v>1</v>
      </c>
      <c r="BO85" s="190">
        <f t="shared" si="81"/>
        <v>46</v>
      </c>
      <c r="BP85" s="189">
        <v>27</v>
      </c>
      <c r="BQ85" s="189">
        <v>1</v>
      </c>
      <c r="BR85" s="190">
        <f t="shared" si="82"/>
        <v>28</v>
      </c>
      <c r="BS85" s="189">
        <v>36</v>
      </c>
      <c r="BT85" s="189">
        <v>0</v>
      </c>
      <c r="BU85" s="190">
        <f t="shared" si="83"/>
        <v>36</v>
      </c>
      <c r="BV85" s="189">
        <v>37</v>
      </c>
      <c r="BW85" s="189">
        <v>0</v>
      </c>
      <c r="BX85" s="190">
        <f t="shared" si="84"/>
        <v>37</v>
      </c>
      <c r="BY85" s="189">
        <v>48</v>
      </c>
      <c r="BZ85" s="189">
        <v>0</v>
      </c>
      <c r="CA85" s="190">
        <f t="shared" si="85"/>
        <v>48</v>
      </c>
      <c r="CB85" s="174">
        <f t="shared" si="93"/>
        <v>470</v>
      </c>
      <c r="CC85" s="174">
        <f t="shared" si="94"/>
        <v>6</v>
      </c>
      <c r="CD85" s="174">
        <f t="shared" si="95"/>
        <v>476</v>
      </c>
    </row>
    <row r="86" spans="1:82" x14ac:dyDescent="0.25">
      <c r="A86" s="188" t="s">
        <v>129</v>
      </c>
      <c r="B86" s="189">
        <v>30</v>
      </c>
      <c r="C86" s="189">
        <v>23</v>
      </c>
      <c r="D86" s="190">
        <v>53</v>
      </c>
      <c r="E86" s="189">
        <v>24</v>
      </c>
      <c r="F86" s="189">
        <v>22</v>
      </c>
      <c r="G86" s="190">
        <v>46</v>
      </c>
      <c r="H86" s="189">
        <v>12</v>
      </c>
      <c r="I86" s="189">
        <v>13</v>
      </c>
      <c r="J86" s="190">
        <v>25</v>
      </c>
      <c r="K86" s="189">
        <v>8</v>
      </c>
      <c r="L86" s="189">
        <v>8</v>
      </c>
      <c r="M86" s="190">
        <v>16</v>
      </c>
      <c r="N86" s="189">
        <v>18</v>
      </c>
      <c r="O86" s="189">
        <v>11</v>
      </c>
      <c r="P86" s="190">
        <v>29</v>
      </c>
      <c r="Q86" s="189">
        <v>10</v>
      </c>
      <c r="R86" s="189">
        <v>7</v>
      </c>
      <c r="S86" s="190">
        <f t="shared" si="72"/>
        <v>17</v>
      </c>
      <c r="T86" s="189">
        <v>7</v>
      </c>
      <c r="U86" s="189">
        <v>10</v>
      </c>
      <c r="V86" s="190">
        <f t="shared" si="73"/>
        <v>17</v>
      </c>
      <c r="W86" s="189">
        <v>8</v>
      </c>
      <c r="X86" s="189">
        <v>14</v>
      </c>
      <c r="Y86" s="190">
        <f t="shared" si="74"/>
        <v>22</v>
      </c>
      <c r="Z86" s="189">
        <v>8</v>
      </c>
      <c r="AA86" s="189">
        <v>24</v>
      </c>
      <c r="AB86" s="190">
        <f t="shared" si="75"/>
        <v>32</v>
      </c>
      <c r="AC86" s="189">
        <v>18</v>
      </c>
      <c r="AD86" s="189">
        <v>15</v>
      </c>
      <c r="AE86" s="190">
        <f t="shared" si="76"/>
        <v>33</v>
      </c>
      <c r="AF86" s="189">
        <v>11</v>
      </c>
      <c r="AG86" s="189">
        <v>16</v>
      </c>
      <c r="AH86" s="190">
        <f t="shared" si="77"/>
        <v>27</v>
      </c>
      <c r="AI86" s="191">
        <v>14</v>
      </c>
      <c r="AJ86" s="191">
        <v>16</v>
      </c>
      <c r="AK86" s="192">
        <f t="shared" si="88"/>
        <v>30</v>
      </c>
      <c r="AL86" s="174">
        <f t="shared" si="89"/>
        <v>168</v>
      </c>
      <c r="AM86" s="174">
        <f t="shared" si="90"/>
        <v>179</v>
      </c>
      <c r="AN86" s="174">
        <f t="shared" si="91"/>
        <v>347</v>
      </c>
      <c r="AO86" s="174">
        <f t="shared" si="92"/>
        <v>225</v>
      </c>
      <c r="AQ86" s="188" t="s">
        <v>129</v>
      </c>
      <c r="AR86" s="189">
        <v>79</v>
      </c>
      <c r="AS86" s="189">
        <v>9</v>
      </c>
      <c r="AT86" s="190">
        <v>88</v>
      </c>
      <c r="AU86" s="189">
        <v>77</v>
      </c>
      <c r="AV86" s="189">
        <v>2</v>
      </c>
      <c r="AW86" s="190">
        <v>79</v>
      </c>
      <c r="AX86" s="189">
        <v>69</v>
      </c>
      <c r="AY86" s="189">
        <v>0</v>
      </c>
      <c r="AZ86" s="190">
        <v>69</v>
      </c>
      <c r="BA86" s="189">
        <v>59</v>
      </c>
      <c r="BB86" s="189">
        <v>0</v>
      </c>
      <c r="BC86" s="190">
        <v>59</v>
      </c>
      <c r="BD86" s="189">
        <v>54</v>
      </c>
      <c r="BE86" s="189">
        <v>1</v>
      </c>
      <c r="BF86" s="190">
        <v>55</v>
      </c>
      <c r="BG86" s="189">
        <v>58</v>
      </c>
      <c r="BH86" s="189">
        <v>1</v>
      </c>
      <c r="BI86" s="190">
        <f t="shared" si="79"/>
        <v>59</v>
      </c>
      <c r="BJ86" s="189">
        <v>44</v>
      </c>
      <c r="BK86" s="189">
        <v>0</v>
      </c>
      <c r="BL86" s="190">
        <f t="shared" si="80"/>
        <v>44</v>
      </c>
      <c r="BM86" s="189">
        <v>28</v>
      </c>
      <c r="BN86" s="189">
        <v>0</v>
      </c>
      <c r="BO86" s="190">
        <f t="shared" si="81"/>
        <v>28</v>
      </c>
      <c r="BP86" s="189">
        <v>29</v>
      </c>
      <c r="BQ86" s="189">
        <v>0</v>
      </c>
      <c r="BR86" s="190">
        <f t="shared" si="82"/>
        <v>29</v>
      </c>
      <c r="BS86" s="189">
        <v>33</v>
      </c>
      <c r="BT86" s="189">
        <v>2</v>
      </c>
      <c r="BU86" s="190">
        <f t="shared" si="83"/>
        <v>35</v>
      </c>
      <c r="BV86" s="189">
        <v>29</v>
      </c>
      <c r="BW86" s="189">
        <v>1</v>
      </c>
      <c r="BX86" s="190">
        <f t="shared" si="84"/>
        <v>30</v>
      </c>
      <c r="BY86" s="189">
        <v>32</v>
      </c>
      <c r="BZ86" s="189">
        <v>0</v>
      </c>
      <c r="CA86" s="190">
        <f t="shared" si="85"/>
        <v>32</v>
      </c>
      <c r="CB86" s="174">
        <f t="shared" si="93"/>
        <v>591</v>
      </c>
      <c r="CC86" s="174">
        <f t="shared" si="94"/>
        <v>16</v>
      </c>
      <c r="CD86" s="174">
        <f t="shared" si="95"/>
        <v>607</v>
      </c>
    </row>
    <row r="87" spans="1:82" x14ac:dyDescent="0.25">
      <c r="A87" s="188" t="s">
        <v>9</v>
      </c>
      <c r="B87" s="189">
        <v>9</v>
      </c>
      <c r="C87" s="189">
        <v>16</v>
      </c>
      <c r="D87" s="190">
        <v>25</v>
      </c>
      <c r="E87" s="189">
        <v>8</v>
      </c>
      <c r="F87" s="189">
        <v>8</v>
      </c>
      <c r="G87" s="190">
        <v>16</v>
      </c>
      <c r="H87" s="189">
        <v>6</v>
      </c>
      <c r="I87" s="189">
        <v>9</v>
      </c>
      <c r="J87" s="190">
        <v>15</v>
      </c>
      <c r="K87" s="189">
        <v>5</v>
      </c>
      <c r="L87" s="189">
        <v>8</v>
      </c>
      <c r="M87" s="190">
        <v>13</v>
      </c>
      <c r="N87" s="189">
        <v>6</v>
      </c>
      <c r="O87" s="189">
        <v>7</v>
      </c>
      <c r="P87" s="190">
        <v>13</v>
      </c>
      <c r="Q87" s="189">
        <v>9</v>
      </c>
      <c r="R87" s="189">
        <v>10</v>
      </c>
      <c r="S87" s="190">
        <f t="shared" si="72"/>
        <v>19</v>
      </c>
      <c r="T87" s="189">
        <v>5</v>
      </c>
      <c r="U87" s="189">
        <v>19</v>
      </c>
      <c r="V87" s="190">
        <f t="shared" si="73"/>
        <v>24</v>
      </c>
      <c r="W87" s="189">
        <v>9</v>
      </c>
      <c r="X87" s="189">
        <v>14</v>
      </c>
      <c r="Y87" s="190">
        <f t="shared" si="74"/>
        <v>23</v>
      </c>
      <c r="Z87" s="189">
        <v>8</v>
      </c>
      <c r="AA87" s="189">
        <v>12</v>
      </c>
      <c r="AB87" s="190">
        <f t="shared" si="75"/>
        <v>20</v>
      </c>
      <c r="AC87" s="189">
        <v>12</v>
      </c>
      <c r="AD87" s="189">
        <v>15</v>
      </c>
      <c r="AE87" s="190">
        <f t="shared" si="76"/>
        <v>27</v>
      </c>
      <c r="AF87" s="189">
        <v>12</v>
      </c>
      <c r="AG87" s="189">
        <v>12</v>
      </c>
      <c r="AH87" s="190">
        <f t="shared" si="77"/>
        <v>24</v>
      </c>
      <c r="AI87" s="191">
        <v>12</v>
      </c>
      <c r="AJ87" s="191">
        <v>14</v>
      </c>
      <c r="AK87" s="192">
        <f t="shared" si="88"/>
        <v>26</v>
      </c>
      <c r="AL87" s="174">
        <f t="shared" si="89"/>
        <v>101</v>
      </c>
      <c r="AM87" s="174">
        <f t="shared" si="90"/>
        <v>144</v>
      </c>
      <c r="AN87" s="174">
        <f t="shared" si="91"/>
        <v>245</v>
      </c>
      <c r="AO87" s="174">
        <f t="shared" si="92"/>
        <v>148</v>
      </c>
      <c r="AQ87" s="188" t="s">
        <v>9</v>
      </c>
      <c r="AR87" s="189">
        <v>27</v>
      </c>
      <c r="AS87" s="189">
        <v>0</v>
      </c>
      <c r="AT87" s="190">
        <v>27</v>
      </c>
      <c r="AU87" s="189">
        <v>22</v>
      </c>
      <c r="AV87" s="189">
        <v>0</v>
      </c>
      <c r="AW87" s="190">
        <v>22</v>
      </c>
      <c r="AX87" s="189">
        <v>18</v>
      </c>
      <c r="AY87" s="189">
        <v>0</v>
      </c>
      <c r="AZ87" s="190">
        <v>18</v>
      </c>
      <c r="BA87" s="189">
        <v>23</v>
      </c>
      <c r="BB87" s="189">
        <v>0</v>
      </c>
      <c r="BC87" s="190">
        <v>23</v>
      </c>
      <c r="BD87" s="189">
        <v>18</v>
      </c>
      <c r="BE87" s="189">
        <v>0</v>
      </c>
      <c r="BF87" s="190">
        <v>18</v>
      </c>
      <c r="BG87" s="189">
        <v>25</v>
      </c>
      <c r="BH87" s="189">
        <v>0</v>
      </c>
      <c r="BI87" s="190">
        <f t="shared" si="79"/>
        <v>25</v>
      </c>
      <c r="BJ87" s="189">
        <v>22</v>
      </c>
      <c r="BK87" s="189">
        <v>0</v>
      </c>
      <c r="BL87" s="190">
        <f t="shared" si="80"/>
        <v>22</v>
      </c>
      <c r="BM87" s="189">
        <v>19</v>
      </c>
      <c r="BN87" s="189">
        <v>2</v>
      </c>
      <c r="BO87" s="190">
        <f t="shared" si="81"/>
        <v>21</v>
      </c>
      <c r="BP87" s="189">
        <v>25</v>
      </c>
      <c r="BQ87" s="189">
        <v>0</v>
      </c>
      <c r="BR87" s="190">
        <f t="shared" si="82"/>
        <v>25</v>
      </c>
      <c r="BS87" s="189">
        <v>26</v>
      </c>
      <c r="BT87" s="189">
        <v>0</v>
      </c>
      <c r="BU87" s="190">
        <f t="shared" si="83"/>
        <v>26</v>
      </c>
      <c r="BV87" s="189">
        <v>19</v>
      </c>
      <c r="BW87" s="189">
        <v>2</v>
      </c>
      <c r="BX87" s="190">
        <f t="shared" si="84"/>
        <v>21</v>
      </c>
      <c r="BY87" s="189">
        <v>25</v>
      </c>
      <c r="BZ87" s="189">
        <v>0</v>
      </c>
      <c r="CA87" s="190">
        <f t="shared" si="85"/>
        <v>25</v>
      </c>
      <c r="CB87" s="174">
        <f t="shared" si="93"/>
        <v>269</v>
      </c>
      <c r="CC87" s="174">
        <f t="shared" si="94"/>
        <v>4</v>
      </c>
      <c r="CD87" s="174">
        <f t="shared" si="95"/>
        <v>273</v>
      </c>
    </row>
    <row r="88" spans="1:82" x14ac:dyDescent="0.25">
      <c r="A88" s="188" t="s">
        <v>12</v>
      </c>
      <c r="B88" s="189">
        <v>12</v>
      </c>
      <c r="C88" s="189">
        <v>9</v>
      </c>
      <c r="D88" s="190">
        <v>21</v>
      </c>
      <c r="E88" s="189">
        <v>13</v>
      </c>
      <c r="F88" s="189">
        <v>9</v>
      </c>
      <c r="G88" s="190">
        <v>22</v>
      </c>
      <c r="H88" s="189">
        <v>6</v>
      </c>
      <c r="I88" s="189">
        <v>6</v>
      </c>
      <c r="J88" s="190">
        <v>12</v>
      </c>
      <c r="K88" s="189">
        <v>14</v>
      </c>
      <c r="L88" s="189">
        <v>8</v>
      </c>
      <c r="M88" s="190">
        <v>22</v>
      </c>
      <c r="N88" s="189">
        <v>9</v>
      </c>
      <c r="O88" s="189">
        <v>6</v>
      </c>
      <c r="P88" s="190">
        <v>15</v>
      </c>
      <c r="Q88" s="189">
        <v>10</v>
      </c>
      <c r="R88" s="189">
        <v>10</v>
      </c>
      <c r="S88" s="190">
        <f t="shared" si="72"/>
        <v>20</v>
      </c>
      <c r="T88" s="189">
        <v>10</v>
      </c>
      <c r="U88" s="189">
        <v>9</v>
      </c>
      <c r="V88" s="190">
        <f t="shared" si="73"/>
        <v>19</v>
      </c>
      <c r="W88" s="189">
        <v>8</v>
      </c>
      <c r="X88" s="189">
        <v>13</v>
      </c>
      <c r="Y88" s="190">
        <f t="shared" si="74"/>
        <v>21</v>
      </c>
      <c r="Z88" s="189">
        <v>8</v>
      </c>
      <c r="AA88" s="189">
        <v>10</v>
      </c>
      <c r="AB88" s="190">
        <f t="shared" si="75"/>
        <v>18</v>
      </c>
      <c r="AC88" s="189">
        <v>12</v>
      </c>
      <c r="AD88" s="189">
        <v>6</v>
      </c>
      <c r="AE88" s="190">
        <f t="shared" si="76"/>
        <v>18</v>
      </c>
      <c r="AF88" s="189">
        <v>5</v>
      </c>
      <c r="AG88" s="189">
        <v>4</v>
      </c>
      <c r="AH88" s="190">
        <f t="shared" si="77"/>
        <v>9</v>
      </c>
      <c r="AI88" s="191">
        <v>13</v>
      </c>
      <c r="AJ88" s="191">
        <v>3</v>
      </c>
      <c r="AK88" s="192">
        <f t="shared" si="88"/>
        <v>16</v>
      </c>
      <c r="AL88" s="174">
        <f t="shared" si="89"/>
        <v>120</v>
      </c>
      <c r="AM88" s="174">
        <f t="shared" si="90"/>
        <v>93</v>
      </c>
      <c r="AN88" s="174">
        <f t="shared" si="91"/>
        <v>213</v>
      </c>
      <c r="AO88" s="174">
        <f t="shared" si="92"/>
        <v>152</v>
      </c>
      <c r="AQ88" s="188" t="s">
        <v>12</v>
      </c>
      <c r="AR88" s="189">
        <v>21</v>
      </c>
      <c r="AS88" s="189">
        <v>0</v>
      </c>
      <c r="AT88" s="190">
        <v>21</v>
      </c>
      <c r="AU88" s="189">
        <v>24</v>
      </c>
      <c r="AV88" s="189">
        <v>0</v>
      </c>
      <c r="AW88" s="190">
        <v>24</v>
      </c>
      <c r="AX88" s="189">
        <v>17</v>
      </c>
      <c r="AY88" s="189">
        <v>0</v>
      </c>
      <c r="AZ88" s="190">
        <v>17</v>
      </c>
      <c r="BA88" s="189">
        <v>20</v>
      </c>
      <c r="BB88" s="189">
        <v>0</v>
      </c>
      <c r="BC88" s="190">
        <v>20</v>
      </c>
      <c r="BD88" s="189">
        <v>21</v>
      </c>
      <c r="BE88" s="189">
        <v>0</v>
      </c>
      <c r="BF88" s="190">
        <v>21</v>
      </c>
      <c r="BG88" s="189">
        <v>21</v>
      </c>
      <c r="BH88" s="189">
        <v>0</v>
      </c>
      <c r="BI88" s="190">
        <f t="shared" si="79"/>
        <v>21</v>
      </c>
      <c r="BJ88" s="189">
        <v>16</v>
      </c>
      <c r="BK88" s="189">
        <v>1</v>
      </c>
      <c r="BL88" s="190">
        <f t="shared" si="80"/>
        <v>17</v>
      </c>
      <c r="BM88" s="189">
        <v>14</v>
      </c>
      <c r="BN88" s="189">
        <v>1</v>
      </c>
      <c r="BO88" s="190">
        <f t="shared" si="81"/>
        <v>15</v>
      </c>
      <c r="BP88" s="189">
        <v>16</v>
      </c>
      <c r="BQ88" s="189">
        <v>0</v>
      </c>
      <c r="BR88" s="190">
        <f t="shared" si="82"/>
        <v>16</v>
      </c>
      <c r="BS88" s="189">
        <v>13</v>
      </c>
      <c r="BT88" s="189">
        <v>0</v>
      </c>
      <c r="BU88" s="190">
        <f t="shared" si="83"/>
        <v>13</v>
      </c>
      <c r="BV88" s="189">
        <v>10</v>
      </c>
      <c r="BW88" s="189">
        <v>1</v>
      </c>
      <c r="BX88" s="190">
        <f t="shared" si="84"/>
        <v>11</v>
      </c>
      <c r="BY88" s="189">
        <v>16</v>
      </c>
      <c r="BZ88" s="189">
        <v>0</v>
      </c>
      <c r="CA88" s="190">
        <f t="shared" si="85"/>
        <v>16</v>
      </c>
      <c r="CB88" s="174">
        <f t="shared" si="93"/>
        <v>209</v>
      </c>
      <c r="CC88" s="174">
        <f t="shared" si="94"/>
        <v>3</v>
      </c>
      <c r="CD88" s="174">
        <f t="shared" si="95"/>
        <v>212</v>
      </c>
    </row>
    <row r="89" spans="1:82" x14ac:dyDescent="0.25">
      <c r="A89" s="188" t="s">
        <v>103</v>
      </c>
      <c r="B89" s="189">
        <v>24</v>
      </c>
      <c r="C89" s="189">
        <v>58</v>
      </c>
      <c r="D89" s="190">
        <v>82</v>
      </c>
      <c r="E89" s="189">
        <v>36</v>
      </c>
      <c r="F89" s="189">
        <v>80</v>
      </c>
      <c r="G89" s="190">
        <v>116</v>
      </c>
      <c r="H89" s="189">
        <v>35</v>
      </c>
      <c r="I89" s="189">
        <v>53</v>
      </c>
      <c r="J89" s="190">
        <v>88</v>
      </c>
      <c r="K89" s="189">
        <v>29</v>
      </c>
      <c r="L89" s="189">
        <v>55</v>
      </c>
      <c r="M89" s="190">
        <v>84</v>
      </c>
      <c r="N89" s="189">
        <v>19</v>
      </c>
      <c r="O89" s="189">
        <v>51</v>
      </c>
      <c r="P89" s="190">
        <v>70</v>
      </c>
      <c r="Q89" s="189">
        <v>13</v>
      </c>
      <c r="R89" s="189">
        <v>34</v>
      </c>
      <c r="S89" s="190">
        <f t="shared" si="72"/>
        <v>47</v>
      </c>
      <c r="T89" s="189">
        <v>17</v>
      </c>
      <c r="U89" s="189">
        <v>34</v>
      </c>
      <c r="V89" s="190">
        <f t="shared" si="73"/>
        <v>51</v>
      </c>
      <c r="W89" s="189">
        <v>11</v>
      </c>
      <c r="X89" s="189">
        <v>26</v>
      </c>
      <c r="Y89" s="190">
        <f t="shared" si="74"/>
        <v>37</v>
      </c>
      <c r="Z89" s="189">
        <v>24</v>
      </c>
      <c r="AA89" s="189">
        <v>33</v>
      </c>
      <c r="AB89" s="190">
        <f t="shared" si="75"/>
        <v>57</v>
      </c>
      <c r="AC89" s="189">
        <v>17</v>
      </c>
      <c r="AD89" s="189">
        <v>41</v>
      </c>
      <c r="AE89" s="190">
        <f t="shared" si="76"/>
        <v>58</v>
      </c>
      <c r="AF89" s="189">
        <v>15</v>
      </c>
      <c r="AG89" s="189">
        <v>38</v>
      </c>
      <c r="AH89" s="190">
        <f t="shared" si="77"/>
        <v>53</v>
      </c>
      <c r="AI89" s="191">
        <v>31</v>
      </c>
      <c r="AJ89" s="191">
        <v>73</v>
      </c>
      <c r="AK89" s="192">
        <f t="shared" si="88"/>
        <v>104</v>
      </c>
      <c r="AL89" s="174">
        <f t="shared" si="89"/>
        <v>271</v>
      </c>
      <c r="AM89" s="174">
        <f t="shared" si="90"/>
        <v>576</v>
      </c>
      <c r="AN89" s="174">
        <f t="shared" si="91"/>
        <v>847</v>
      </c>
      <c r="AO89" s="174">
        <f t="shared" si="92"/>
        <v>575</v>
      </c>
      <c r="AQ89" s="188" t="s">
        <v>103</v>
      </c>
      <c r="AR89" s="189">
        <v>0</v>
      </c>
      <c r="AS89" s="189">
        <v>2</v>
      </c>
      <c r="AT89" s="190">
        <v>2</v>
      </c>
      <c r="AU89" s="189">
        <v>1</v>
      </c>
      <c r="AV89" s="189">
        <v>2</v>
      </c>
      <c r="AW89" s="190">
        <v>3</v>
      </c>
      <c r="AX89" s="189">
        <v>2</v>
      </c>
      <c r="AY89" s="189">
        <v>0</v>
      </c>
      <c r="AZ89" s="190">
        <v>2</v>
      </c>
      <c r="BA89" s="189">
        <v>11</v>
      </c>
      <c r="BB89" s="189">
        <v>0</v>
      </c>
      <c r="BC89" s="190">
        <v>11</v>
      </c>
      <c r="BD89" s="189">
        <v>18</v>
      </c>
      <c r="BE89" s="189">
        <v>0</v>
      </c>
      <c r="BF89" s="190">
        <v>18</v>
      </c>
      <c r="BG89" s="189">
        <v>18</v>
      </c>
      <c r="BH89" s="189">
        <v>0</v>
      </c>
      <c r="BI89" s="190">
        <f t="shared" si="79"/>
        <v>18</v>
      </c>
      <c r="BJ89" s="189">
        <v>13</v>
      </c>
      <c r="BK89" s="189">
        <v>0</v>
      </c>
      <c r="BL89" s="190">
        <f t="shared" si="80"/>
        <v>13</v>
      </c>
      <c r="BM89" s="189">
        <v>11</v>
      </c>
      <c r="BN89" s="189">
        <v>0</v>
      </c>
      <c r="BO89" s="190">
        <f t="shared" si="81"/>
        <v>11</v>
      </c>
      <c r="BP89" s="189">
        <v>8</v>
      </c>
      <c r="BQ89" s="189">
        <v>0</v>
      </c>
      <c r="BR89" s="190">
        <f t="shared" si="82"/>
        <v>8</v>
      </c>
      <c r="BS89" s="189">
        <v>5</v>
      </c>
      <c r="BT89" s="189">
        <v>1</v>
      </c>
      <c r="BU89" s="190">
        <f t="shared" si="83"/>
        <v>6</v>
      </c>
      <c r="BV89" s="189">
        <v>4</v>
      </c>
      <c r="BW89" s="189">
        <v>0</v>
      </c>
      <c r="BX89" s="190">
        <f t="shared" si="84"/>
        <v>4</v>
      </c>
      <c r="BY89" s="189">
        <v>10</v>
      </c>
      <c r="BZ89" s="189">
        <v>5</v>
      </c>
      <c r="CA89" s="190">
        <f t="shared" si="85"/>
        <v>15</v>
      </c>
      <c r="CB89" s="174">
        <f t="shared" si="93"/>
        <v>101</v>
      </c>
      <c r="CC89" s="174">
        <f t="shared" si="94"/>
        <v>10</v>
      </c>
      <c r="CD89" s="174">
        <f t="shared" si="95"/>
        <v>111</v>
      </c>
    </row>
    <row r="90" spans="1:82" x14ac:dyDescent="0.25">
      <c r="A90" s="193" t="s">
        <v>86</v>
      </c>
      <c r="B90" s="189">
        <v>0</v>
      </c>
      <c r="C90" s="189">
        <v>0</v>
      </c>
      <c r="D90" s="190">
        <v>0</v>
      </c>
      <c r="E90" s="189">
        <v>18</v>
      </c>
      <c r="F90" s="189">
        <v>16</v>
      </c>
      <c r="G90" s="190">
        <v>34</v>
      </c>
      <c r="H90" s="189">
        <v>29</v>
      </c>
      <c r="I90" s="189">
        <v>15</v>
      </c>
      <c r="J90" s="190">
        <v>44</v>
      </c>
      <c r="K90" s="189">
        <v>34</v>
      </c>
      <c r="L90" s="189">
        <v>19</v>
      </c>
      <c r="M90" s="190">
        <v>53</v>
      </c>
      <c r="N90" s="189">
        <v>27</v>
      </c>
      <c r="O90" s="189">
        <v>18</v>
      </c>
      <c r="P90" s="190">
        <v>45</v>
      </c>
      <c r="Q90" s="189">
        <v>14</v>
      </c>
      <c r="R90" s="189">
        <v>24</v>
      </c>
      <c r="S90" s="190">
        <f t="shared" si="72"/>
        <v>38</v>
      </c>
      <c r="T90" s="189">
        <v>9</v>
      </c>
      <c r="U90" s="189">
        <v>23</v>
      </c>
      <c r="V90" s="190">
        <f t="shared" si="73"/>
        <v>32</v>
      </c>
      <c r="W90" s="189">
        <v>11</v>
      </c>
      <c r="X90" s="189">
        <v>16</v>
      </c>
      <c r="Y90" s="190">
        <f t="shared" si="74"/>
        <v>27</v>
      </c>
      <c r="Z90" s="189">
        <v>13</v>
      </c>
      <c r="AA90" s="189">
        <v>16</v>
      </c>
      <c r="AB90" s="190">
        <f t="shared" si="75"/>
        <v>29</v>
      </c>
      <c r="AC90" s="189">
        <v>10</v>
      </c>
      <c r="AD90" s="189">
        <v>18</v>
      </c>
      <c r="AE90" s="190">
        <f t="shared" si="76"/>
        <v>28</v>
      </c>
      <c r="AF90" s="189">
        <v>18</v>
      </c>
      <c r="AG90" s="189">
        <v>19</v>
      </c>
      <c r="AH90" s="190">
        <f t="shared" si="77"/>
        <v>37</v>
      </c>
      <c r="AI90" s="191">
        <v>17</v>
      </c>
      <c r="AJ90" s="191">
        <v>29</v>
      </c>
      <c r="AK90" s="192">
        <f t="shared" si="88"/>
        <v>46</v>
      </c>
      <c r="AL90" s="174">
        <f t="shared" si="89"/>
        <v>200</v>
      </c>
      <c r="AM90" s="174">
        <f t="shared" si="90"/>
        <v>213</v>
      </c>
      <c r="AN90" s="174">
        <f t="shared" si="91"/>
        <v>413</v>
      </c>
      <c r="AO90" s="174">
        <f t="shared" si="92"/>
        <v>273</v>
      </c>
      <c r="AQ90" s="193" t="s">
        <v>86</v>
      </c>
      <c r="AR90" s="189">
        <v>0</v>
      </c>
      <c r="AS90" s="189">
        <v>0</v>
      </c>
      <c r="AT90" s="190">
        <v>0</v>
      </c>
      <c r="AU90" s="189">
        <v>2</v>
      </c>
      <c r="AV90" s="189">
        <v>0</v>
      </c>
      <c r="AW90" s="190">
        <v>2</v>
      </c>
      <c r="AX90" s="189">
        <v>9</v>
      </c>
      <c r="AY90" s="189">
        <v>0</v>
      </c>
      <c r="AZ90" s="190">
        <v>9</v>
      </c>
      <c r="BA90" s="189">
        <v>22</v>
      </c>
      <c r="BB90" s="189">
        <v>0</v>
      </c>
      <c r="BC90" s="190">
        <v>22</v>
      </c>
      <c r="BD90" s="189">
        <v>25</v>
      </c>
      <c r="BE90" s="189">
        <v>0</v>
      </c>
      <c r="BF90" s="190">
        <v>25</v>
      </c>
      <c r="BG90" s="189">
        <v>33</v>
      </c>
      <c r="BH90" s="189">
        <v>1</v>
      </c>
      <c r="BI90" s="190">
        <f t="shared" si="79"/>
        <v>34</v>
      </c>
      <c r="BJ90" s="189">
        <v>29</v>
      </c>
      <c r="BK90" s="189">
        <v>0</v>
      </c>
      <c r="BL90" s="190">
        <f t="shared" si="80"/>
        <v>29</v>
      </c>
      <c r="BM90" s="189">
        <v>18</v>
      </c>
      <c r="BN90" s="189">
        <v>0</v>
      </c>
      <c r="BO90" s="190">
        <f t="shared" si="81"/>
        <v>18</v>
      </c>
      <c r="BP90" s="189">
        <v>17</v>
      </c>
      <c r="BQ90" s="189">
        <v>0</v>
      </c>
      <c r="BR90" s="190">
        <f t="shared" si="82"/>
        <v>17</v>
      </c>
      <c r="BS90" s="189">
        <v>24</v>
      </c>
      <c r="BT90" s="189">
        <v>1</v>
      </c>
      <c r="BU90" s="190">
        <f t="shared" si="83"/>
        <v>25</v>
      </c>
      <c r="BV90" s="189">
        <v>16</v>
      </c>
      <c r="BW90" s="189">
        <v>0</v>
      </c>
      <c r="BX90" s="190">
        <f t="shared" si="84"/>
        <v>16</v>
      </c>
      <c r="BY90" s="189">
        <v>20</v>
      </c>
      <c r="BZ90" s="189">
        <v>0</v>
      </c>
      <c r="CA90" s="190">
        <f t="shared" si="85"/>
        <v>20</v>
      </c>
      <c r="CB90" s="174">
        <f t="shared" si="93"/>
        <v>215</v>
      </c>
      <c r="CC90" s="174">
        <f t="shared" si="94"/>
        <v>2</v>
      </c>
      <c r="CD90" s="174">
        <f t="shared" si="95"/>
        <v>217</v>
      </c>
    </row>
    <row r="91" spans="1:82" x14ac:dyDescent="0.25">
      <c r="A91" s="193" t="s">
        <v>130</v>
      </c>
      <c r="B91" s="189">
        <v>0</v>
      </c>
      <c r="C91" s="189">
        <v>0</v>
      </c>
      <c r="D91" s="190">
        <v>0</v>
      </c>
      <c r="E91" s="189">
        <v>0</v>
      </c>
      <c r="F91" s="189">
        <v>0</v>
      </c>
      <c r="G91" s="190">
        <v>0</v>
      </c>
      <c r="H91" s="189">
        <v>15</v>
      </c>
      <c r="I91" s="189">
        <v>16</v>
      </c>
      <c r="J91" s="190">
        <v>31</v>
      </c>
      <c r="K91" s="189">
        <v>17</v>
      </c>
      <c r="L91" s="189">
        <v>20</v>
      </c>
      <c r="M91" s="190">
        <v>37</v>
      </c>
      <c r="N91" s="189">
        <v>14</v>
      </c>
      <c r="O91" s="189">
        <v>14</v>
      </c>
      <c r="P91" s="190">
        <v>28</v>
      </c>
      <c r="Q91" s="189">
        <v>10</v>
      </c>
      <c r="R91" s="189">
        <v>11</v>
      </c>
      <c r="S91" s="190">
        <f t="shared" si="72"/>
        <v>21</v>
      </c>
      <c r="T91" s="189">
        <v>10</v>
      </c>
      <c r="U91" s="189">
        <v>25</v>
      </c>
      <c r="V91" s="190">
        <f t="shared" si="73"/>
        <v>35</v>
      </c>
      <c r="W91" s="189">
        <v>19</v>
      </c>
      <c r="X91" s="189">
        <v>24</v>
      </c>
      <c r="Y91" s="190">
        <f t="shared" si="74"/>
        <v>43</v>
      </c>
      <c r="Z91" s="189">
        <v>13</v>
      </c>
      <c r="AA91" s="189">
        <v>22</v>
      </c>
      <c r="AB91" s="190">
        <f t="shared" si="75"/>
        <v>35</v>
      </c>
      <c r="AC91" s="189">
        <v>16</v>
      </c>
      <c r="AD91" s="189">
        <v>31</v>
      </c>
      <c r="AE91" s="190">
        <f t="shared" si="76"/>
        <v>47</v>
      </c>
      <c r="AF91" s="189">
        <v>15</v>
      </c>
      <c r="AG91" s="189">
        <v>20</v>
      </c>
      <c r="AH91" s="190">
        <f t="shared" si="77"/>
        <v>35</v>
      </c>
      <c r="AI91" s="191">
        <v>16</v>
      </c>
      <c r="AJ91" s="191">
        <v>31</v>
      </c>
      <c r="AK91" s="192">
        <f t="shared" si="88"/>
        <v>47</v>
      </c>
      <c r="AL91" s="174">
        <f t="shared" si="89"/>
        <v>145</v>
      </c>
      <c r="AM91" s="174">
        <f t="shared" si="90"/>
        <v>214</v>
      </c>
      <c r="AN91" s="174">
        <f t="shared" si="91"/>
        <v>359</v>
      </c>
      <c r="AO91" s="174">
        <f t="shared" si="92"/>
        <v>195</v>
      </c>
      <c r="AQ91" s="193" t="s">
        <v>130</v>
      </c>
      <c r="AR91" s="189">
        <v>0</v>
      </c>
      <c r="AS91" s="189">
        <v>0</v>
      </c>
      <c r="AT91" s="190">
        <v>0</v>
      </c>
      <c r="AU91" s="189">
        <v>0</v>
      </c>
      <c r="AV91" s="189">
        <v>0</v>
      </c>
      <c r="AW91" s="190">
        <v>0</v>
      </c>
      <c r="AX91" s="189">
        <v>6</v>
      </c>
      <c r="AY91" s="189">
        <v>1</v>
      </c>
      <c r="AZ91" s="190">
        <v>7</v>
      </c>
      <c r="BA91" s="189">
        <v>13</v>
      </c>
      <c r="BB91" s="189">
        <v>0</v>
      </c>
      <c r="BC91" s="190">
        <v>13</v>
      </c>
      <c r="BD91" s="189">
        <v>21</v>
      </c>
      <c r="BE91" s="189">
        <v>1</v>
      </c>
      <c r="BF91" s="190">
        <v>22</v>
      </c>
      <c r="BG91" s="189">
        <v>24</v>
      </c>
      <c r="BH91" s="189">
        <v>0</v>
      </c>
      <c r="BI91" s="190">
        <f t="shared" si="79"/>
        <v>24</v>
      </c>
      <c r="BJ91" s="189">
        <v>24</v>
      </c>
      <c r="BK91" s="189">
        <v>0</v>
      </c>
      <c r="BL91" s="190">
        <f t="shared" si="80"/>
        <v>24</v>
      </c>
      <c r="BM91" s="189">
        <v>17</v>
      </c>
      <c r="BN91" s="189">
        <v>0</v>
      </c>
      <c r="BO91" s="190">
        <f t="shared" si="81"/>
        <v>17</v>
      </c>
      <c r="BP91" s="189">
        <v>24</v>
      </c>
      <c r="BQ91" s="189">
        <v>0</v>
      </c>
      <c r="BR91" s="190">
        <f t="shared" si="82"/>
        <v>24</v>
      </c>
      <c r="BS91" s="189">
        <v>28</v>
      </c>
      <c r="BT91" s="189">
        <v>1</v>
      </c>
      <c r="BU91" s="190">
        <f t="shared" si="83"/>
        <v>29</v>
      </c>
      <c r="BV91" s="189">
        <v>25</v>
      </c>
      <c r="BW91" s="189">
        <v>0</v>
      </c>
      <c r="BX91" s="190">
        <f t="shared" si="84"/>
        <v>25</v>
      </c>
      <c r="BY91" s="189">
        <v>28</v>
      </c>
      <c r="BZ91" s="189">
        <v>0</v>
      </c>
      <c r="CA91" s="190">
        <f t="shared" si="85"/>
        <v>28</v>
      </c>
      <c r="CB91" s="174">
        <f t="shared" si="93"/>
        <v>210</v>
      </c>
      <c r="CC91" s="174">
        <f t="shared" si="94"/>
        <v>3</v>
      </c>
      <c r="CD91" s="174">
        <f t="shared" si="95"/>
        <v>213</v>
      </c>
    </row>
    <row r="92" spans="1:82" x14ac:dyDescent="0.25">
      <c r="A92" s="193" t="s">
        <v>87</v>
      </c>
      <c r="B92" s="189">
        <v>0</v>
      </c>
      <c r="C92" s="189">
        <v>0</v>
      </c>
      <c r="D92" s="190">
        <v>0</v>
      </c>
      <c r="E92" s="189">
        <v>0</v>
      </c>
      <c r="F92" s="189">
        <v>0</v>
      </c>
      <c r="G92" s="190">
        <v>0</v>
      </c>
      <c r="H92" s="189">
        <v>4</v>
      </c>
      <c r="I92" s="189">
        <v>5</v>
      </c>
      <c r="J92" s="190">
        <v>9</v>
      </c>
      <c r="K92" s="189">
        <v>3</v>
      </c>
      <c r="L92" s="189">
        <v>7</v>
      </c>
      <c r="M92" s="190">
        <v>10</v>
      </c>
      <c r="N92" s="189">
        <v>9</v>
      </c>
      <c r="O92" s="189">
        <v>4</v>
      </c>
      <c r="P92" s="190">
        <v>13</v>
      </c>
      <c r="Q92" s="189">
        <v>6</v>
      </c>
      <c r="R92" s="189">
        <v>8</v>
      </c>
      <c r="S92" s="190">
        <f t="shared" si="72"/>
        <v>14</v>
      </c>
      <c r="T92" s="189">
        <v>3</v>
      </c>
      <c r="U92" s="189">
        <v>4</v>
      </c>
      <c r="V92" s="190">
        <f t="shared" si="73"/>
        <v>7</v>
      </c>
      <c r="W92" s="189">
        <v>4</v>
      </c>
      <c r="X92" s="189">
        <v>11</v>
      </c>
      <c r="Y92" s="190">
        <f t="shared" si="74"/>
        <v>15</v>
      </c>
      <c r="Z92" s="189">
        <v>6</v>
      </c>
      <c r="AA92" s="189">
        <v>6</v>
      </c>
      <c r="AB92" s="190">
        <f t="shared" si="75"/>
        <v>12</v>
      </c>
      <c r="AC92" s="189">
        <v>4</v>
      </c>
      <c r="AD92" s="189">
        <v>3</v>
      </c>
      <c r="AE92" s="190">
        <f t="shared" si="76"/>
        <v>7</v>
      </c>
      <c r="AF92" s="189">
        <v>9</v>
      </c>
      <c r="AG92" s="189">
        <v>3</v>
      </c>
      <c r="AH92" s="190">
        <f t="shared" si="77"/>
        <v>12</v>
      </c>
      <c r="AI92" s="191">
        <v>9</v>
      </c>
      <c r="AJ92" s="191">
        <v>14</v>
      </c>
      <c r="AK92" s="192">
        <f t="shared" si="88"/>
        <v>23</v>
      </c>
      <c r="AL92" s="174">
        <f t="shared" si="89"/>
        <v>57</v>
      </c>
      <c r="AM92" s="174">
        <f t="shared" si="90"/>
        <v>65</v>
      </c>
      <c r="AN92" s="174">
        <f t="shared" si="91"/>
        <v>122</v>
      </c>
      <c r="AO92" s="174">
        <f t="shared" si="92"/>
        <v>68</v>
      </c>
      <c r="AQ92" s="193" t="s">
        <v>87</v>
      </c>
      <c r="AR92" s="189">
        <v>0</v>
      </c>
      <c r="AS92" s="189">
        <v>0</v>
      </c>
      <c r="AT92" s="190">
        <v>0</v>
      </c>
      <c r="AU92" s="189">
        <v>0</v>
      </c>
      <c r="AV92" s="189">
        <v>0</v>
      </c>
      <c r="AW92" s="190">
        <v>0</v>
      </c>
      <c r="AX92" s="189">
        <v>1</v>
      </c>
      <c r="AY92" s="189">
        <v>0</v>
      </c>
      <c r="AZ92" s="190">
        <v>1</v>
      </c>
      <c r="BA92" s="189">
        <v>5</v>
      </c>
      <c r="BB92" s="189">
        <v>0</v>
      </c>
      <c r="BC92" s="190">
        <v>5</v>
      </c>
      <c r="BD92" s="189">
        <v>3</v>
      </c>
      <c r="BE92" s="189">
        <v>0</v>
      </c>
      <c r="BF92" s="190">
        <v>3</v>
      </c>
      <c r="BG92" s="189">
        <v>8</v>
      </c>
      <c r="BH92" s="189">
        <v>0</v>
      </c>
      <c r="BI92" s="190">
        <f t="shared" si="79"/>
        <v>8</v>
      </c>
      <c r="BJ92" s="189">
        <v>10</v>
      </c>
      <c r="BK92" s="189">
        <v>1</v>
      </c>
      <c r="BL92" s="190">
        <f t="shared" si="80"/>
        <v>11</v>
      </c>
      <c r="BM92" s="189">
        <v>7</v>
      </c>
      <c r="BN92" s="189">
        <v>0</v>
      </c>
      <c r="BO92" s="190">
        <f t="shared" si="81"/>
        <v>7</v>
      </c>
      <c r="BP92" s="189">
        <v>6</v>
      </c>
      <c r="BQ92" s="189">
        <v>1</v>
      </c>
      <c r="BR92" s="190">
        <f t="shared" si="82"/>
        <v>7</v>
      </c>
      <c r="BS92" s="189">
        <v>7</v>
      </c>
      <c r="BT92" s="189">
        <v>0</v>
      </c>
      <c r="BU92" s="190">
        <f t="shared" si="83"/>
        <v>7</v>
      </c>
      <c r="BV92" s="189">
        <v>9</v>
      </c>
      <c r="BW92" s="189">
        <v>1</v>
      </c>
      <c r="BX92" s="190">
        <f t="shared" si="84"/>
        <v>10</v>
      </c>
      <c r="BY92" s="189">
        <v>6</v>
      </c>
      <c r="BZ92" s="189">
        <v>0</v>
      </c>
      <c r="CA92" s="190">
        <f t="shared" si="85"/>
        <v>6</v>
      </c>
      <c r="CB92" s="174">
        <f t="shared" si="93"/>
        <v>62</v>
      </c>
      <c r="CC92" s="174">
        <f t="shared" si="94"/>
        <v>3</v>
      </c>
      <c r="CD92" s="174">
        <f t="shared" si="95"/>
        <v>65</v>
      </c>
    </row>
    <row r="93" spans="1:82" x14ac:dyDescent="0.25">
      <c r="A93" s="193" t="s">
        <v>95</v>
      </c>
      <c r="B93" s="189">
        <v>0</v>
      </c>
      <c r="C93" s="189">
        <v>0</v>
      </c>
      <c r="D93" s="190">
        <v>0</v>
      </c>
      <c r="E93" s="189">
        <v>0</v>
      </c>
      <c r="F93" s="189">
        <v>0</v>
      </c>
      <c r="G93" s="190">
        <v>0</v>
      </c>
      <c r="H93" s="189">
        <v>0</v>
      </c>
      <c r="I93" s="189">
        <v>0</v>
      </c>
      <c r="J93" s="190">
        <v>0</v>
      </c>
      <c r="K93" s="189">
        <v>0</v>
      </c>
      <c r="L93" s="189">
        <v>0</v>
      </c>
      <c r="M93" s="190">
        <v>0</v>
      </c>
      <c r="N93" s="189">
        <v>30</v>
      </c>
      <c r="O93" s="189">
        <v>21</v>
      </c>
      <c r="P93" s="190">
        <v>51</v>
      </c>
      <c r="Q93" s="189">
        <v>11</v>
      </c>
      <c r="R93" s="189">
        <v>5</v>
      </c>
      <c r="S93" s="190">
        <f t="shared" si="72"/>
        <v>16</v>
      </c>
      <c r="T93" s="189">
        <v>7</v>
      </c>
      <c r="U93" s="189">
        <v>4</v>
      </c>
      <c r="V93" s="190">
        <f t="shared" si="73"/>
        <v>11</v>
      </c>
      <c r="W93" s="189">
        <v>7</v>
      </c>
      <c r="X93" s="189">
        <v>11</v>
      </c>
      <c r="Y93" s="190">
        <f t="shared" si="74"/>
        <v>18</v>
      </c>
      <c r="Z93" s="189">
        <v>7</v>
      </c>
      <c r="AA93" s="189">
        <v>7</v>
      </c>
      <c r="AB93" s="190">
        <f t="shared" si="75"/>
        <v>14</v>
      </c>
      <c r="AC93" s="189">
        <v>10</v>
      </c>
      <c r="AD93" s="189">
        <v>14</v>
      </c>
      <c r="AE93" s="190">
        <f t="shared" si="76"/>
        <v>24</v>
      </c>
      <c r="AF93" s="189">
        <v>9</v>
      </c>
      <c r="AG93" s="189">
        <v>7</v>
      </c>
      <c r="AH93" s="190">
        <f t="shared" si="77"/>
        <v>16</v>
      </c>
      <c r="AI93" s="191">
        <v>11</v>
      </c>
      <c r="AJ93" s="191">
        <v>7</v>
      </c>
      <c r="AK93" s="192">
        <f t="shared" si="88"/>
        <v>18</v>
      </c>
      <c r="AL93" s="174">
        <f t="shared" si="89"/>
        <v>92</v>
      </c>
      <c r="AM93" s="174">
        <f t="shared" si="90"/>
        <v>76</v>
      </c>
      <c r="AN93" s="174">
        <f t="shared" si="91"/>
        <v>168</v>
      </c>
      <c r="AO93" s="174">
        <f t="shared" si="92"/>
        <v>96</v>
      </c>
      <c r="AQ93" s="193" t="s">
        <v>95</v>
      </c>
      <c r="AR93" s="189">
        <v>0</v>
      </c>
      <c r="AS93" s="189">
        <v>0</v>
      </c>
      <c r="AT93" s="190">
        <v>0</v>
      </c>
      <c r="AU93" s="189">
        <v>0</v>
      </c>
      <c r="AV93" s="189">
        <v>0</v>
      </c>
      <c r="AW93" s="190">
        <v>0</v>
      </c>
      <c r="AX93" s="189">
        <v>0</v>
      </c>
      <c r="AY93" s="189">
        <v>0</v>
      </c>
      <c r="AZ93" s="190">
        <v>0</v>
      </c>
      <c r="BA93" s="189">
        <v>0</v>
      </c>
      <c r="BB93" s="189">
        <v>0</v>
      </c>
      <c r="BC93" s="190">
        <v>0</v>
      </c>
      <c r="BD93" s="189">
        <v>3</v>
      </c>
      <c r="BE93" s="189">
        <v>0</v>
      </c>
      <c r="BF93" s="190">
        <v>3</v>
      </c>
      <c r="BG93" s="189">
        <v>19</v>
      </c>
      <c r="BH93" s="189">
        <v>0</v>
      </c>
      <c r="BI93" s="190">
        <f t="shared" si="79"/>
        <v>19</v>
      </c>
      <c r="BJ93" s="189">
        <v>19</v>
      </c>
      <c r="BK93" s="189">
        <v>0</v>
      </c>
      <c r="BL93" s="190">
        <f t="shared" si="80"/>
        <v>19</v>
      </c>
      <c r="BM93" s="189">
        <v>15</v>
      </c>
      <c r="BN93" s="189">
        <v>0</v>
      </c>
      <c r="BO93" s="190">
        <f t="shared" si="81"/>
        <v>15</v>
      </c>
      <c r="BP93" s="189">
        <v>16</v>
      </c>
      <c r="BQ93" s="189">
        <v>2</v>
      </c>
      <c r="BR93" s="190">
        <f t="shared" si="82"/>
        <v>18</v>
      </c>
      <c r="BS93" s="189">
        <v>16</v>
      </c>
      <c r="BT93" s="189">
        <v>0</v>
      </c>
      <c r="BU93" s="190">
        <f t="shared" si="83"/>
        <v>16</v>
      </c>
      <c r="BV93" s="189">
        <v>17</v>
      </c>
      <c r="BW93" s="189">
        <v>0</v>
      </c>
      <c r="BX93" s="190">
        <f t="shared" si="84"/>
        <v>17</v>
      </c>
      <c r="BY93" s="189">
        <v>22</v>
      </c>
      <c r="BZ93" s="189">
        <v>0</v>
      </c>
      <c r="CA93" s="190">
        <f t="shared" si="85"/>
        <v>22</v>
      </c>
      <c r="CB93" s="174">
        <f t="shared" si="93"/>
        <v>127</v>
      </c>
      <c r="CC93" s="174">
        <f t="shared" si="94"/>
        <v>2</v>
      </c>
      <c r="CD93" s="174">
        <f t="shared" si="95"/>
        <v>129</v>
      </c>
    </row>
    <row r="94" spans="1:82" x14ac:dyDescent="0.25">
      <c r="A94" s="176" t="s">
        <v>14</v>
      </c>
      <c r="B94" s="194">
        <f>SUM(B75:B93)</f>
        <v>304</v>
      </c>
      <c r="C94" s="194">
        <f>SUM(C75:C93)</f>
        <v>233</v>
      </c>
      <c r="D94" s="194">
        <f>SUM(D75:D93)</f>
        <v>537</v>
      </c>
      <c r="E94" s="194">
        <f>SUM(E75:E93)</f>
        <v>285</v>
      </c>
      <c r="F94" s="194">
        <f>SUM(F75:F93)</f>
        <v>285</v>
      </c>
      <c r="G94" s="194">
        <v>570</v>
      </c>
      <c r="H94" s="194">
        <f t="shared" ref="H94:AN94" si="96">SUM(H75:H93)</f>
        <v>312</v>
      </c>
      <c r="I94" s="194">
        <f t="shared" si="96"/>
        <v>269</v>
      </c>
      <c r="J94" s="194">
        <f t="shared" si="96"/>
        <v>581</v>
      </c>
      <c r="K94" s="194">
        <f t="shared" si="96"/>
        <v>312</v>
      </c>
      <c r="L94" s="194">
        <f t="shared" si="96"/>
        <v>269</v>
      </c>
      <c r="M94" s="194">
        <f t="shared" si="96"/>
        <v>581</v>
      </c>
      <c r="N94" s="194">
        <f t="shared" si="96"/>
        <v>355</v>
      </c>
      <c r="O94" s="194">
        <f t="shared" si="96"/>
        <v>291</v>
      </c>
      <c r="P94" s="194">
        <f t="shared" si="96"/>
        <v>646</v>
      </c>
      <c r="Q94" s="194">
        <f t="shared" si="96"/>
        <v>271</v>
      </c>
      <c r="R94" s="194">
        <f t="shared" si="96"/>
        <v>283</v>
      </c>
      <c r="S94" s="194">
        <f t="shared" si="96"/>
        <v>554</v>
      </c>
      <c r="T94" s="194">
        <f t="shared" si="96"/>
        <v>223</v>
      </c>
      <c r="U94" s="194">
        <f t="shared" si="96"/>
        <v>351</v>
      </c>
      <c r="V94" s="194">
        <f t="shared" si="96"/>
        <v>574</v>
      </c>
      <c r="W94" s="194">
        <f t="shared" si="96"/>
        <v>213</v>
      </c>
      <c r="X94" s="194">
        <f t="shared" si="96"/>
        <v>316</v>
      </c>
      <c r="Y94" s="194">
        <f t="shared" si="96"/>
        <v>529</v>
      </c>
      <c r="Z94" s="194">
        <f t="shared" si="96"/>
        <v>246</v>
      </c>
      <c r="AA94" s="194">
        <f t="shared" si="96"/>
        <v>285</v>
      </c>
      <c r="AB94" s="194">
        <f t="shared" si="96"/>
        <v>531</v>
      </c>
      <c r="AC94" s="194">
        <f t="shared" si="96"/>
        <v>272</v>
      </c>
      <c r="AD94" s="194">
        <f t="shared" si="96"/>
        <v>323</v>
      </c>
      <c r="AE94" s="194">
        <f t="shared" si="96"/>
        <v>595</v>
      </c>
      <c r="AF94" s="194">
        <f t="shared" si="96"/>
        <v>289</v>
      </c>
      <c r="AG94" s="194">
        <f t="shared" si="96"/>
        <v>292</v>
      </c>
      <c r="AH94" s="194">
        <f t="shared" si="96"/>
        <v>581</v>
      </c>
      <c r="AI94" s="194">
        <f t="shared" si="96"/>
        <v>334</v>
      </c>
      <c r="AJ94" s="194">
        <f t="shared" si="96"/>
        <v>421</v>
      </c>
      <c r="AK94" s="194">
        <f t="shared" si="96"/>
        <v>755</v>
      </c>
      <c r="AL94" s="194">
        <f t="shared" si="96"/>
        <v>3416</v>
      </c>
      <c r="AM94" s="194">
        <f t="shared" si="96"/>
        <v>3618</v>
      </c>
      <c r="AN94" s="194">
        <f t="shared" si="96"/>
        <v>7034</v>
      </c>
      <c r="AO94" s="174">
        <f>SUM(AO75:AO93)</f>
        <v>4572</v>
      </c>
      <c r="AQ94" s="171" t="s">
        <v>14</v>
      </c>
      <c r="AR94" s="195">
        <f t="shared" ref="AR94:CD94" si="97">SUM(AR75:AR93)</f>
        <v>594</v>
      </c>
      <c r="AS94" s="195">
        <f t="shared" si="97"/>
        <v>47</v>
      </c>
      <c r="AT94" s="195">
        <f t="shared" si="97"/>
        <v>641</v>
      </c>
      <c r="AU94" s="195">
        <f t="shared" si="97"/>
        <v>597</v>
      </c>
      <c r="AV94" s="195">
        <f t="shared" si="97"/>
        <v>12</v>
      </c>
      <c r="AW94" s="195">
        <f t="shared" si="97"/>
        <v>609</v>
      </c>
      <c r="AX94" s="195">
        <f t="shared" si="97"/>
        <v>568</v>
      </c>
      <c r="AY94" s="195">
        <f t="shared" si="97"/>
        <v>7</v>
      </c>
      <c r="AZ94" s="195">
        <f t="shared" si="97"/>
        <v>575</v>
      </c>
      <c r="BA94" s="195">
        <f t="shared" si="97"/>
        <v>613</v>
      </c>
      <c r="BB94" s="195">
        <f t="shared" si="97"/>
        <v>4</v>
      </c>
      <c r="BC94" s="195">
        <f t="shared" si="97"/>
        <v>617</v>
      </c>
      <c r="BD94" s="195">
        <f t="shared" si="97"/>
        <v>612</v>
      </c>
      <c r="BE94" s="195">
        <f t="shared" si="97"/>
        <v>11</v>
      </c>
      <c r="BF94" s="195">
        <f t="shared" si="97"/>
        <v>623</v>
      </c>
      <c r="BG94" s="195">
        <f t="shared" si="97"/>
        <v>684</v>
      </c>
      <c r="BH94" s="195">
        <f t="shared" si="97"/>
        <v>7</v>
      </c>
      <c r="BI94" s="195">
        <f t="shared" si="97"/>
        <v>691</v>
      </c>
      <c r="BJ94" s="195">
        <f t="shared" si="97"/>
        <v>600</v>
      </c>
      <c r="BK94" s="195">
        <f t="shared" si="97"/>
        <v>11</v>
      </c>
      <c r="BL94" s="195">
        <f t="shared" si="97"/>
        <v>611</v>
      </c>
      <c r="BM94" s="195">
        <f t="shared" si="97"/>
        <v>541</v>
      </c>
      <c r="BN94" s="195">
        <f t="shared" si="97"/>
        <v>5</v>
      </c>
      <c r="BO94" s="195">
        <f t="shared" si="97"/>
        <v>546</v>
      </c>
      <c r="BP94" s="195">
        <f t="shared" si="97"/>
        <v>479</v>
      </c>
      <c r="BQ94" s="195">
        <f t="shared" si="97"/>
        <v>14</v>
      </c>
      <c r="BR94" s="195">
        <f t="shared" si="97"/>
        <v>493</v>
      </c>
      <c r="BS94" s="195">
        <f t="shared" si="97"/>
        <v>517</v>
      </c>
      <c r="BT94" s="195">
        <f t="shared" si="97"/>
        <v>21</v>
      </c>
      <c r="BU94" s="195">
        <f t="shared" si="97"/>
        <v>538</v>
      </c>
      <c r="BV94" s="195">
        <f t="shared" si="97"/>
        <v>454</v>
      </c>
      <c r="BW94" s="195">
        <f t="shared" si="97"/>
        <v>16</v>
      </c>
      <c r="BX94" s="195">
        <f t="shared" si="97"/>
        <v>470</v>
      </c>
      <c r="BY94" s="195">
        <f t="shared" si="97"/>
        <v>509</v>
      </c>
      <c r="BZ94" s="195">
        <f t="shared" si="97"/>
        <v>21</v>
      </c>
      <c r="CA94" s="195">
        <f t="shared" si="97"/>
        <v>530</v>
      </c>
      <c r="CB94" s="195">
        <f t="shared" si="97"/>
        <v>6768</v>
      </c>
      <c r="CC94" s="195">
        <f t="shared" si="97"/>
        <v>176</v>
      </c>
      <c r="CD94" s="195">
        <f t="shared" si="97"/>
        <v>6944</v>
      </c>
    </row>
    <row r="97" spans="1:79" x14ac:dyDescent="0.25">
      <c r="A97" s="186" t="s">
        <v>64</v>
      </c>
      <c r="B97" s="172">
        <v>45017</v>
      </c>
      <c r="C97" s="173"/>
      <c r="D97" s="173"/>
      <c r="E97" s="172">
        <v>45047</v>
      </c>
      <c r="F97" s="173"/>
      <c r="G97" s="173"/>
      <c r="H97" s="172">
        <v>45078</v>
      </c>
      <c r="I97" s="173"/>
      <c r="J97" s="173"/>
      <c r="K97" s="172">
        <v>45108</v>
      </c>
      <c r="L97" s="173"/>
      <c r="M97" s="173"/>
      <c r="N97" s="172">
        <v>45139</v>
      </c>
      <c r="O97" s="173"/>
      <c r="P97" s="173"/>
      <c r="Q97" s="172">
        <v>45170</v>
      </c>
      <c r="R97" s="173"/>
      <c r="S97" s="173"/>
      <c r="T97" s="172">
        <v>45200</v>
      </c>
      <c r="U97" s="173"/>
      <c r="V97" s="173"/>
      <c r="W97" s="172">
        <v>45231</v>
      </c>
      <c r="X97" s="173"/>
      <c r="Y97" s="173"/>
      <c r="Z97" s="172">
        <v>45261</v>
      </c>
      <c r="AA97" s="173"/>
      <c r="AB97" s="173"/>
      <c r="AC97" s="172">
        <v>45292</v>
      </c>
      <c r="AD97" s="173"/>
      <c r="AE97" s="173"/>
      <c r="AF97" s="172">
        <v>45323</v>
      </c>
      <c r="AG97" s="173"/>
      <c r="AH97" s="173"/>
      <c r="AI97" s="172">
        <v>45352</v>
      </c>
      <c r="AJ97" s="173"/>
      <c r="AK97" s="173"/>
      <c r="AL97" s="337" t="s">
        <v>44</v>
      </c>
      <c r="AM97" s="338"/>
      <c r="AN97" s="339"/>
      <c r="AQ97" s="175" t="s">
        <v>27</v>
      </c>
      <c r="AR97" s="172">
        <v>45017</v>
      </c>
      <c r="AS97" s="173"/>
      <c r="AT97" s="173"/>
      <c r="AU97" s="172">
        <v>45047</v>
      </c>
      <c r="AV97" s="173"/>
      <c r="AW97" s="173"/>
      <c r="AX97" s="172">
        <v>45078</v>
      </c>
      <c r="AY97" s="173"/>
      <c r="AZ97" s="173"/>
      <c r="BA97" s="172">
        <v>45108</v>
      </c>
      <c r="BB97" s="173"/>
      <c r="BC97" s="173"/>
      <c r="BD97" s="172">
        <v>45139</v>
      </c>
      <c r="BE97" s="173"/>
      <c r="BF97" s="173"/>
      <c r="BG97" s="172">
        <v>45170</v>
      </c>
      <c r="BH97" s="173"/>
      <c r="BI97" s="173"/>
      <c r="BJ97" s="172">
        <v>45200</v>
      </c>
      <c r="BK97" s="173"/>
      <c r="BL97" s="173"/>
      <c r="BM97" s="172">
        <v>45231</v>
      </c>
      <c r="BN97" s="173"/>
      <c r="BO97" s="173"/>
      <c r="BP97" s="172">
        <v>45261</v>
      </c>
      <c r="BQ97" s="173"/>
      <c r="BR97" s="173"/>
      <c r="BS97" s="172">
        <v>45292</v>
      </c>
      <c r="BT97" s="173"/>
      <c r="BU97" s="173"/>
      <c r="BV97" s="172">
        <v>45323</v>
      </c>
      <c r="BW97" s="173"/>
      <c r="BX97" s="173"/>
      <c r="BY97" s="172">
        <v>45352</v>
      </c>
      <c r="BZ97" s="173"/>
      <c r="CA97" s="173"/>
    </row>
    <row r="98" spans="1:79" x14ac:dyDescent="0.25">
      <c r="A98" s="176" t="s">
        <v>102</v>
      </c>
      <c r="B98" s="177" t="s">
        <v>15</v>
      </c>
      <c r="C98" s="177" t="s">
        <v>16</v>
      </c>
      <c r="D98" s="177" t="s">
        <v>14</v>
      </c>
      <c r="E98" s="177" t="s">
        <v>15</v>
      </c>
      <c r="F98" s="177" t="s">
        <v>16</v>
      </c>
      <c r="G98" s="177" t="s">
        <v>14</v>
      </c>
      <c r="H98" s="177" t="s">
        <v>15</v>
      </c>
      <c r="I98" s="177" t="s">
        <v>16</v>
      </c>
      <c r="J98" s="177" t="s">
        <v>14</v>
      </c>
      <c r="K98" s="177" t="s">
        <v>15</v>
      </c>
      <c r="L98" s="177" t="s">
        <v>16</v>
      </c>
      <c r="M98" s="177" t="s">
        <v>14</v>
      </c>
      <c r="N98" s="177" t="s">
        <v>15</v>
      </c>
      <c r="O98" s="177" t="s">
        <v>16</v>
      </c>
      <c r="P98" s="177" t="s">
        <v>14</v>
      </c>
      <c r="Q98" s="177" t="s">
        <v>15</v>
      </c>
      <c r="R98" s="177" t="s">
        <v>16</v>
      </c>
      <c r="S98" s="177" t="s">
        <v>14</v>
      </c>
      <c r="T98" s="177" t="s">
        <v>15</v>
      </c>
      <c r="U98" s="177" t="s">
        <v>16</v>
      </c>
      <c r="V98" s="177" t="s">
        <v>14</v>
      </c>
      <c r="W98" s="177" t="s">
        <v>15</v>
      </c>
      <c r="X98" s="177" t="s">
        <v>16</v>
      </c>
      <c r="Y98" s="177" t="s">
        <v>14</v>
      </c>
      <c r="Z98" s="177" t="s">
        <v>15</v>
      </c>
      <c r="AA98" s="177" t="s">
        <v>16</v>
      </c>
      <c r="AB98" s="177" t="s">
        <v>14</v>
      </c>
      <c r="AC98" s="177" t="s">
        <v>15</v>
      </c>
      <c r="AD98" s="177" t="s">
        <v>16</v>
      </c>
      <c r="AE98" s="177" t="s">
        <v>14</v>
      </c>
      <c r="AF98" s="177" t="s">
        <v>15</v>
      </c>
      <c r="AG98" s="177" t="s">
        <v>16</v>
      </c>
      <c r="AH98" s="177" t="s">
        <v>14</v>
      </c>
      <c r="AI98" s="177" t="s">
        <v>15</v>
      </c>
      <c r="AJ98" s="177" t="s">
        <v>16</v>
      </c>
      <c r="AK98" s="177" t="s">
        <v>14</v>
      </c>
      <c r="AL98" s="177" t="s">
        <v>15</v>
      </c>
      <c r="AM98" s="177" t="s">
        <v>16</v>
      </c>
      <c r="AN98" s="177" t="s">
        <v>14</v>
      </c>
      <c r="AQ98" s="176" t="s">
        <v>102</v>
      </c>
      <c r="AR98" s="175" t="s">
        <v>15</v>
      </c>
      <c r="AS98" s="175" t="s">
        <v>16</v>
      </c>
      <c r="AT98" s="175" t="s">
        <v>14</v>
      </c>
      <c r="AU98" s="175" t="s">
        <v>15</v>
      </c>
      <c r="AV98" s="175" t="s">
        <v>16</v>
      </c>
      <c r="AW98" s="175" t="s">
        <v>14</v>
      </c>
      <c r="AX98" s="175" t="s">
        <v>15</v>
      </c>
      <c r="AY98" s="175" t="s">
        <v>16</v>
      </c>
      <c r="AZ98" s="175" t="s">
        <v>14</v>
      </c>
      <c r="BA98" s="175" t="s">
        <v>15</v>
      </c>
      <c r="BB98" s="175" t="s">
        <v>16</v>
      </c>
      <c r="BC98" s="175" t="s">
        <v>14</v>
      </c>
      <c r="BD98" s="175" t="s">
        <v>15</v>
      </c>
      <c r="BE98" s="175" t="s">
        <v>16</v>
      </c>
      <c r="BF98" s="175" t="s">
        <v>14</v>
      </c>
      <c r="BG98" s="175" t="s">
        <v>15</v>
      </c>
      <c r="BH98" s="175" t="s">
        <v>16</v>
      </c>
      <c r="BI98" s="175" t="s">
        <v>14</v>
      </c>
      <c r="BJ98" s="175" t="s">
        <v>15</v>
      </c>
      <c r="BK98" s="175" t="s">
        <v>16</v>
      </c>
      <c r="BL98" s="175" t="s">
        <v>14</v>
      </c>
      <c r="BM98" s="175" t="s">
        <v>15</v>
      </c>
      <c r="BN98" s="175" t="s">
        <v>16</v>
      </c>
      <c r="BO98" s="175" t="s">
        <v>14</v>
      </c>
      <c r="BP98" s="175" t="s">
        <v>15</v>
      </c>
      <c r="BQ98" s="175" t="s">
        <v>16</v>
      </c>
      <c r="BR98" s="175" t="s">
        <v>14</v>
      </c>
      <c r="BS98" s="175" t="s">
        <v>15</v>
      </c>
      <c r="BT98" s="175" t="s">
        <v>16</v>
      </c>
      <c r="BU98" s="175" t="s">
        <v>14</v>
      </c>
      <c r="BV98" s="175" t="s">
        <v>15</v>
      </c>
      <c r="BW98" s="175" t="s">
        <v>16</v>
      </c>
      <c r="BX98" s="175" t="s">
        <v>14</v>
      </c>
      <c r="BY98" s="175" t="s">
        <v>15</v>
      </c>
      <c r="BZ98" s="175" t="s">
        <v>16</v>
      </c>
      <c r="CA98" s="175" t="s">
        <v>14</v>
      </c>
    </row>
    <row r="99" spans="1:79" x14ac:dyDescent="0.25">
      <c r="A99" s="178" t="s">
        <v>4</v>
      </c>
      <c r="B99" s="179">
        <v>48</v>
      </c>
      <c r="C99" s="179">
        <v>20</v>
      </c>
      <c r="D99" s="180">
        <f t="shared" ref="D99:D111" si="98">SUM(B99:C99)</f>
        <v>68</v>
      </c>
      <c r="E99" s="179">
        <v>40</v>
      </c>
      <c r="F99" s="179">
        <v>16</v>
      </c>
      <c r="G99" s="180">
        <f>E99+F99</f>
        <v>56</v>
      </c>
      <c r="H99" s="179">
        <v>45</v>
      </c>
      <c r="I99" s="179">
        <v>26</v>
      </c>
      <c r="J99" s="180">
        <f>H99+I99</f>
        <v>71</v>
      </c>
      <c r="K99" s="179">
        <v>46</v>
      </c>
      <c r="L99" s="179">
        <v>16</v>
      </c>
      <c r="M99" s="180">
        <f>K99+L99</f>
        <v>62</v>
      </c>
      <c r="N99" s="179">
        <v>27</v>
      </c>
      <c r="O99" s="179">
        <v>15</v>
      </c>
      <c r="P99" s="180">
        <f>N99+O99</f>
        <v>42</v>
      </c>
      <c r="Q99" s="179">
        <v>31</v>
      </c>
      <c r="R99" s="179">
        <v>14</v>
      </c>
      <c r="S99" s="180">
        <f>Q99+R99</f>
        <v>45</v>
      </c>
      <c r="T99" s="179">
        <v>28</v>
      </c>
      <c r="U99" s="179">
        <v>16</v>
      </c>
      <c r="V99" s="180">
        <f>T99+U99</f>
        <v>44</v>
      </c>
      <c r="W99" s="179">
        <v>19</v>
      </c>
      <c r="X99" s="179">
        <v>19</v>
      </c>
      <c r="Y99" s="180">
        <f>W99+X99</f>
        <v>38</v>
      </c>
      <c r="Z99" s="179">
        <v>45</v>
      </c>
      <c r="AA99" s="179">
        <v>20</v>
      </c>
      <c r="AB99" s="180">
        <f>Z99+AA99</f>
        <v>65</v>
      </c>
      <c r="AC99" s="179">
        <v>53</v>
      </c>
      <c r="AD99" s="179">
        <v>18</v>
      </c>
      <c r="AE99" s="180">
        <f>AC99+AD99</f>
        <v>71</v>
      </c>
      <c r="AF99" s="179">
        <v>40</v>
      </c>
      <c r="AG99" s="179">
        <v>13</v>
      </c>
      <c r="AH99" s="180">
        <f>AF99+AG99</f>
        <v>53</v>
      </c>
      <c r="AI99" s="179">
        <v>31</v>
      </c>
      <c r="AJ99" s="179">
        <v>14</v>
      </c>
      <c r="AK99" s="180">
        <f>AI99+AJ99</f>
        <v>45</v>
      </c>
      <c r="AL99" s="174">
        <f>B99+E99+H99+K99+N99+Q99+T99+W99+Z99+AC99+AF99+AI99</f>
        <v>453</v>
      </c>
      <c r="AM99" s="174">
        <f t="shared" ref="AM99" si="99">C99+F99+I99+L99+O99+R99+U99+X99+AA99+AD99+AG99+AJ99</f>
        <v>207</v>
      </c>
      <c r="AN99" s="174">
        <f t="shared" ref="AN99" si="100">D99+G99+J99+M99+P99+S99+V99+Y99+AB99+AE99+AH99+AK99</f>
        <v>660</v>
      </c>
      <c r="AQ99" s="178" t="s">
        <v>4</v>
      </c>
      <c r="AR99" s="179">
        <v>43</v>
      </c>
      <c r="AS99" s="179">
        <v>0</v>
      </c>
      <c r="AT99" s="180">
        <f t="shared" ref="AT99:AT111" si="101">SUM(AR99:AS99)</f>
        <v>43</v>
      </c>
      <c r="AU99" s="179">
        <v>59</v>
      </c>
      <c r="AV99" s="179">
        <v>1</v>
      </c>
      <c r="AW99" s="180">
        <f t="shared" ref="AW99:AW111" si="102">AU99+AV99</f>
        <v>60</v>
      </c>
      <c r="AX99" s="179">
        <v>71</v>
      </c>
      <c r="AY99" s="179">
        <v>2</v>
      </c>
      <c r="AZ99" s="180">
        <f t="shared" ref="AZ99:AZ111" si="103">AX99+AY99</f>
        <v>73</v>
      </c>
      <c r="BA99" s="179">
        <v>84</v>
      </c>
      <c r="BB99" s="179">
        <v>2</v>
      </c>
      <c r="BC99" s="180">
        <f t="shared" ref="BC99:BC111" si="104">BA99+BB99</f>
        <v>86</v>
      </c>
      <c r="BD99" s="179">
        <v>76</v>
      </c>
      <c r="BE99" s="179">
        <v>3</v>
      </c>
      <c r="BF99" s="180">
        <f t="shared" ref="BF99:BF113" si="105">BD99+BE99</f>
        <v>79</v>
      </c>
      <c r="BG99" s="179">
        <v>79</v>
      </c>
      <c r="BH99" s="179">
        <v>5</v>
      </c>
      <c r="BI99" s="180">
        <f t="shared" ref="BI99:BI113" si="106">BG99+BH99</f>
        <v>84</v>
      </c>
      <c r="BJ99" s="179">
        <v>75</v>
      </c>
      <c r="BK99" s="179">
        <v>1</v>
      </c>
      <c r="BL99" s="180">
        <f t="shared" ref="BL99:BL113" si="107">BJ99+BK99</f>
        <v>76</v>
      </c>
      <c r="BM99" s="179">
        <v>67</v>
      </c>
      <c r="BN99" s="179">
        <v>5</v>
      </c>
      <c r="BO99" s="180">
        <f t="shared" ref="BO99:BO113" si="108">BM99+BN99</f>
        <v>72</v>
      </c>
      <c r="BP99" s="179">
        <v>80</v>
      </c>
      <c r="BQ99" s="179">
        <v>0</v>
      </c>
      <c r="BR99" s="180">
        <f t="shared" ref="BR99:BR113" si="109">BP99+BQ99</f>
        <v>80</v>
      </c>
      <c r="BS99" s="179">
        <v>87</v>
      </c>
      <c r="BT99" s="179">
        <v>5</v>
      </c>
      <c r="BU99" s="180">
        <f t="shared" ref="BU99:BU113" si="110">BS99+BT99</f>
        <v>92</v>
      </c>
      <c r="BV99" s="179">
        <v>90</v>
      </c>
      <c r="BW99" s="179">
        <v>4</v>
      </c>
      <c r="BX99" s="180">
        <f t="shared" ref="BX99:BX113" si="111">BV99+BW99</f>
        <v>94</v>
      </c>
      <c r="BY99" s="179">
        <v>92</v>
      </c>
      <c r="BZ99" s="179">
        <v>4</v>
      </c>
      <c r="CA99" s="180">
        <f t="shared" ref="CA99:CA113" si="112">BY99+BZ99</f>
        <v>96</v>
      </c>
    </row>
    <row r="100" spans="1:79" x14ac:dyDescent="0.25">
      <c r="A100" s="178" t="s">
        <v>8</v>
      </c>
      <c r="B100" s="179">
        <v>17</v>
      </c>
      <c r="C100" s="179">
        <v>7</v>
      </c>
      <c r="D100" s="180">
        <f t="shared" si="98"/>
        <v>24</v>
      </c>
      <c r="E100" s="179">
        <v>9</v>
      </c>
      <c r="F100" s="179">
        <v>5</v>
      </c>
      <c r="G100" s="180">
        <f t="shared" ref="G100:G113" si="113">E100+F100</f>
        <v>14</v>
      </c>
      <c r="H100" s="179">
        <v>18</v>
      </c>
      <c r="I100" s="179">
        <v>4</v>
      </c>
      <c r="J100" s="180">
        <f t="shared" ref="J100:J113" si="114">H100+I100</f>
        <v>22</v>
      </c>
      <c r="K100" s="179">
        <v>15</v>
      </c>
      <c r="L100" s="179">
        <v>7</v>
      </c>
      <c r="M100" s="180">
        <f t="shared" ref="M100:M113" si="115">K100+L100</f>
        <v>22</v>
      </c>
      <c r="N100" s="179">
        <v>15</v>
      </c>
      <c r="O100" s="179">
        <v>5</v>
      </c>
      <c r="P100" s="180">
        <f t="shared" ref="P100:P113" si="116">N100+O100</f>
        <v>20</v>
      </c>
      <c r="Q100" s="179">
        <v>18</v>
      </c>
      <c r="R100" s="179">
        <v>6</v>
      </c>
      <c r="S100" s="180">
        <f t="shared" ref="S100:S113" si="117">Q100+R100</f>
        <v>24</v>
      </c>
      <c r="T100" s="179">
        <v>15</v>
      </c>
      <c r="U100" s="179">
        <v>2</v>
      </c>
      <c r="V100" s="180">
        <f t="shared" ref="V100:V113" si="118">T100+U100</f>
        <v>17</v>
      </c>
      <c r="W100" s="179">
        <v>12</v>
      </c>
      <c r="X100" s="179">
        <v>7</v>
      </c>
      <c r="Y100" s="180">
        <f t="shared" ref="Y100:Y113" si="119">W100+X100</f>
        <v>19</v>
      </c>
      <c r="Z100" s="179">
        <v>21</v>
      </c>
      <c r="AA100" s="179">
        <v>6</v>
      </c>
      <c r="AB100" s="180">
        <f t="shared" ref="AB100:AB113" si="120">Z100+AA100</f>
        <v>27</v>
      </c>
      <c r="AC100" s="179">
        <v>11</v>
      </c>
      <c r="AD100" s="179">
        <v>11</v>
      </c>
      <c r="AE100" s="180">
        <f t="shared" ref="AE100:AE113" si="121">AC100+AD100</f>
        <v>22</v>
      </c>
      <c r="AF100" s="179">
        <v>17</v>
      </c>
      <c r="AG100" s="179">
        <v>12</v>
      </c>
      <c r="AH100" s="180">
        <f t="shared" ref="AH100:AH113" si="122">AF100+AG100</f>
        <v>29</v>
      </c>
      <c r="AI100" s="179">
        <v>14</v>
      </c>
      <c r="AJ100" s="179">
        <v>14</v>
      </c>
      <c r="AK100" s="180">
        <f t="shared" ref="AK100:AK113" si="123">AI100+AJ100</f>
        <v>28</v>
      </c>
      <c r="AL100" s="174">
        <f t="shared" ref="AL100:AL113" si="124">B100+E100+H100+K100+N100+Q100+T100+W100+Z100+AC100+AF100+AI100</f>
        <v>182</v>
      </c>
      <c r="AM100" s="174">
        <f t="shared" ref="AM100:AM113" si="125">C100+F100+I100+L100+O100+R100+U100+X100+AA100+AD100+AG100+AJ100</f>
        <v>86</v>
      </c>
      <c r="AN100" s="174">
        <f t="shared" ref="AN100:AN113" si="126">D100+G100+J100+M100+P100+S100+V100+Y100+AB100+AE100+AH100+AK100</f>
        <v>268</v>
      </c>
      <c r="AQ100" s="178" t="s">
        <v>8</v>
      </c>
      <c r="AR100" s="179">
        <v>26</v>
      </c>
      <c r="AS100" s="179">
        <v>0</v>
      </c>
      <c r="AT100" s="180">
        <f t="shared" si="101"/>
        <v>26</v>
      </c>
      <c r="AU100" s="179">
        <v>30</v>
      </c>
      <c r="AV100" s="179">
        <v>0</v>
      </c>
      <c r="AW100" s="180">
        <f t="shared" si="102"/>
        <v>30</v>
      </c>
      <c r="AX100" s="179">
        <v>28</v>
      </c>
      <c r="AY100" s="179">
        <v>0</v>
      </c>
      <c r="AZ100" s="180">
        <f t="shared" si="103"/>
        <v>28</v>
      </c>
      <c r="BA100" s="179">
        <v>33</v>
      </c>
      <c r="BB100" s="179">
        <v>0</v>
      </c>
      <c r="BC100" s="180">
        <f t="shared" si="104"/>
        <v>33</v>
      </c>
      <c r="BD100" s="179">
        <v>35</v>
      </c>
      <c r="BE100" s="179">
        <v>0</v>
      </c>
      <c r="BF100" s="180">
        <f t="shared" si="105"/>
        <v>35</v>
      </c>
      <c r="BG100" s="179">
        <v>37</v>
      </c>
      <c r="BH100" s="179">
        <v>0</v>
      </c>
      <c r="BI100" s="180">
        <f t="shared" si="106"/>
        <v>37</v>
      </c>
      <c r="BJ100" s="179">
        <v>37</v>
      </c>
      <c r="BK100" s="179">
        <v>0</v>
      </c>
      <c r="BL100" s="180">
        <f t="shared" si="107"/>
        <v>37</v>
      </c>
      <c r="BM100" s="179">
        <v>32</v>
      </c>
      <c r="BN100" s="179">
        <v>0</v>
      </c>
      <c r="BO100" s="180">
        <f t="shared" si="108"/>
        <v>32</v>
      </c>
      <c r="BP100" s="179">
        <v>29</v>
      </c>
      <c r="BQ100" s="179">
        <v>0</v>
      </c>
      <c r="BR100" s="180">
        <f t="shared" si="109"/>
        <v>29</v>
      </c>
      <c r="BS100" s="179">
        <v>27</v>
      </c>
      <c r="BT100" s="179">
        <v>4</v>
      </c>
      <c r="BU100" s="180">
        <f t="shared" si="110"/>
        <v>31</v>
      </c>
      <c r="BV100" s="179">
        <v>29</v>
      </c>
      <c r="BW100" s="179">
        <v>2</v>
      </c>
      <c r="BX100" s="180">
        <f t="shared" si="111"/>
        <v>31</v>
      </c>
      <c r="BY100" s="179">
        <v>21</v>
      </c>
      <c r="BZ100" s="179">
        <v>0</v>
      </c>
      <c r="CA100" s="180">
        <f t="shared" si="112"/>
        <v>21</v>
      </c>
    </row>
    <row r="101" spans="1:79" x14ac:dyDescent="0.25">
      <c r="A101" s="178" t="s">
        <v>7</v>
      </c>
      <c r="B101" s="179">
        <v>9</v>
      </c>
      <c r="C101" s="179">
        <v>11</v>
      </c>
      <c r="D101" s="180">
        <f t="shared" si="98"/>
        <v>20</v>
      </c>
      <c r="E101" s="179">
        <v>20</v>
      </c>
      <c r="F101" s="179">
        <v>10</v>
      </c>
      <c r="G101" s="180">
        <f t="shared" si="113"/>
        <v>30</v>
      </c>
      <c r="H101" s="179">
        <v>18</v>
      </c>
      <c r="I101" s="179">
        <v>8</v>
      </c>
      <c r="J101" s="180">
        <f t="shared" si="114"/>
        <v>26</v>
      </c>
      <c r="K101" s="179">
        <v>17</v>
      </c>
      <c r="L101" s="179">
        <v>9</v>
      </c>
      <c r="M101" s="180">
        <f t="shared" si="115"/>
        <v>26</v>
      </c>
      <c r="N101" s="179">
        <v>22</v>
      </c>
      <c r="O101" s="179">
        <v>11</v>
      </c>
      <c r="P101" s="180">
        <f t="shared" si="116"/>
        <v>33</v>
      </c>
      <c r="Q101" s="179">
        <v>11</v>
      </c>
      <c r="R101" s="179">
        <v>2</v>
      </c>
      <c r="S101" s="180">
        <f t="shared" si="117"/>
        <v>13</v>
      </c>
      <c r="T101" s="179">
        <v>7</v>
      </c>
      <c r="U101" s="179">
        <v>6</v>
      </c>
      <c r="V101" s="180">
        <f t="shared" si="118"/>
        <v>13</v>
      </c>
      <c r="W101" s="179">
        <v>5</v>
      </c>
      <c r="X101" s="179">
        <v>9</v>
      </c>
      <c r="Y101" s="180">
        <f t="shared" si="119"/>
        <v>14</v>
      </c>
      <c r="Z101" s="179">
        <v>9</v>
      </c>
      <c r="AA101" s="179">
        <v>12</v>
      </c>
      <c r="AB101" s="180">
        <f t="shared" si="120"/>
        <v>21</v>
      </c>
      <c r="AC101" s="179">
        <v>15</v>
      </c>
      <c r="AD101" s="179">
        <v>7</v>
      </c>
      <c r="AE101" s="180">
        <f t="shared" si="121"/>
        <v>22</v>
      </c>
      <c r="AF101" s="179">
        <v>18</v>
      </c>
      <c r="AG101" s="179">
        <v>8</v>
      </c>
      <c r="AH101" s="180">
        <f t="shared" si="122"/>
        <v>26</v>
      </c>
      <c r="AI101" s="179">
        <v>12</v>
      </c>
      <c r="AJ101" s="179">
        <v>14</v>
      </c>
      <c r="AK101" s="180">
        <f t="shared" si="123"/>
        <v>26</v>
      </c>
      <c r="AL101" s="174">
        <f t="shared" si="124"/>
        <v>163</v>
      </c>
      <c r="AM101" s="174">
        <f t="shared" si="125"/>
        <v>107</v>
      </c>
      <c r="AN101" s="174">
        <f t="shared" si="126"/>
        <v>270</v>
      </c>
      <c r="AQ101" s="178" t="s">
        <v>7</v>
      </c>
      <c r="AR101" s="179">
        <v>22</v>
      </c>
      <c r="AS101" s="179">
        <v>0</v>
      </c>
      <c r="AT101" s="180">
        <f t="shared" si="101"/>
        <v>22</v>
      </c>
      <c r="AU101" s="179">
        <v>17</v>
      </c>
      <c r="AV101" s="179">
        <v>0</v>
      </c>
      <c r="AW101" s="180">
        <f t="shared" si="102"/>
        <v>17</v>
      </c>
      <c r="AX101" s="179">
        <v>24</v>
      </c>
      <c r="AY101" s="179">
        <v>1</v>
      </c>
      <c r="AZ101" s="180">
        <f t="shared" si="103"/>
        <v>25</v>
      </c>
      <c r="BA101" s="179">
        <v>27</v>
      </c>
      <c r="BB101" s="179">
        <v>0</v>
      </c>
      <c r="BC101" s="180">
        <f t="shared" si="104"/>
        <v>27</v>
      </c>
      <c r="BD101" s="179">
        <v>33</v>
      </c>
      <c r="BE101" s="179">
        <v>0</v>
      </c>
      <c r="BF101" s="180">
        <f t="shared" si="105"/>
        <v>33</v>
      </c>
      <c r="BG101" s="179">
        <v>38</v>
      </c>
      <c r="BH101" s="179">
        <v>0</v>
      </c>
      <c r="BI101" s="180">
        <f t="shared" si="106"/>
        <v>38</v>
      </c>
      <c r="BJ101" s="179">
        <v>34</v>
      </c>
      <c r="BK101" s="179">
        <v>0</v>
      </c>
      <c r="BL101" s="180">
        <f t="shared" si="107"/>
        <v>34</v>
      </c>
      <c r="BM101" s="179">
        <v>28</v>
      </c>
      <c r="BN101" s="179">
        <v>0</v>
      </c>
      <c r="BO101" s="180">
        <f t="shared" si="108"/>
        <v>28</v>
      </c>
      <c r="BP101" s="179">
        <v>25</v>
      </c>
      <c r="BQ101" s="179">
        <v>0</v>
      </c>
      <c r="BR101" s="180">
        <f t="shared" si="109"/>
        <v>25</v>
      </c>
      <c r="BS101" s="179">
        <v>28</v>
      </c>
      <c r="BT101" s="179">
        <v>1</v>
      </c>
      <c r="BU101" s="180">
        <f t="shared" si="110"/>
        <v>29</v>
      </c>
      <c r="BV101" s="179">
        <v>31</v>
      </c>
      <c r="BW101" s="179">
        <v>2</v>
      </c>
      <c r="BX101" s="180">
        <f t="shared" si="111"/>
        <v>33</v>
      </c>
      <c r="BY101" s="179">
        <v>31</v>
      </c>
      <c r="BZ101" s="179">
        <v>0</v>
      </c>
      <c r="CA101" s="180">
        <f t="shared" si="112"/>
        <v>31</v>
      </c>
    </row>
    <row r="102" spans="1:79" x14ac:dyDescent="0.25">
      <c r="A102" s="178" t="s">
        <v>13</v>
      </c>
      <c r="B102" s="179">
        <v>1</v>
      </c>
      <c r="C102" s="179">
        <v>3</v>
      </c>
      <c r="D102" s="180">
        <f t="shared" si="98"/>
        <v>4</v>
      </c>
      <c r="E102" s="179">
        <v>3</v>
      </c>
      <c r="F102" s="179">
        <v>3</v>
      </c>
      <c r="G102" s="180">
        <f t="shared" si="113"/>
        <v>6</v>
      </c>
      <c r="H102" s="179">
        <v>2</v>
      </c>
      <c r="I102" s="179">
        <v>0</v>
      </c>
      <c r="J102" s="180">
        <f t="shared" si="114"/>
        <v>2</v>
      </c>
      <c r="K102" s="179">
        <v>3</v>
      </c>
      <c r="L102" s="179">
        <v>2</v>
      </c>
      <c r="M102" s="180">
        <f t="shared" si="115"/>
        <v>5</v>
      </c>
      <c r="N102" s="179">
        <v>4</v>
      </c>
      <c r="O102" s="179">
        <v>0</v>
      </c>
      <c r="P102" s="180">
        <f t="shared" si="116"/>
        <v>4</v>
      </c>
      <c r="Q102" s="179">
        <v>4</v>
      </c>
      <c r="R102" s="179">
        <v>2</v>
      </c>
      <c r="S102" s="180">
        <f t="shared" si="117"/>
        <v>6</v>
      </c>
      <c r="T102" s="179">
        <v>5</v>
      </c>
      <c r="U102" s="179">
        <v>3</v>
      </c>
      <c r="V102" s="180">
        <f t="shared" si="118"/>
        <v>8</v>
      </c>
      <c r="W102" s="179">
        <v>3</v>
      </c>
      <c r="X102" s="179">
        <v>2</v>
      </c>
      <c r="Y102" s="180">
        <f t="shared" si="119"/>
        <v>5</v>
      </c>
      <c r="Z102" s="179">
        <v>4</v>
      </c>
      <c r="AA102" s="179">
        <v>6</v>
      </c>
      <c r="AB102" s="180">
        <f t="shared" si="120"/>
        <v>10</v>
      </c>
      <c r="AC102" s="179">
        <v>10</v>
      </c>
      <c r="AD102" s="179">
        <v>5</v>
      </c>
      <c r="AE102" s="180">
        <f t="shared" si="121"/>
        <v>15</v>
      </c>
      <c r="AF102" s="179">
        <v>5</v>
      </c>
      <c r="AG102" s="179">
        <v>9</v>
      </c>
      <c r="AH102" s="180">
        <f t="shared" si="122"/>
        <v>14</v>
      </c>
      <c r="AI102" s="179">
        <v>7</v>
      </c>
      <c r="AJ102" s="179">
        <v>4</v>
      </c>
      <c r="AK102" s="180">
        <f t="shared" si="123"/>
        <v>11</v>
      </c>
      <c r="AL102" s="174">
        <f t="shared" si="124"/>
        <v>51</v>
      </c>
      <c r="AM102" s="174">
        <f t="shared" si="125"/>
        <v>39</v>
      </c>
      <c r="AN102" s="174">
        <f t="shared" si="126"/>
        <v>90</v>
      </c>
      <c r="AQ102" s="178" t="s">
        <v>13</v>
      </c>
      <c r="AR102" s="179">
        <v>17</v>
      </c>
      <c r="AS102" s="179">
        <v>0</v>
      </c>
      <c r="AT102" s="180">
        <f t="shared" si="101"/>
        <v>17</v>
      </c>
      <c r="AU102" s="179">
        <v>11</v>
      </c>
      <c r="AV102" s="179">
        <v>0</v>
      </c>
      <c r="AW102" s="180">
        <f t="shared" si="102"/>
        <v>11</v>
      </c>
      <c r="AX102" s="179">
        <v>11</v>
      </c>
      <c r="AY102" s="179">
        <v>0</v>
      </c>
      <c r="AZ102" s="180">
        <f t="shared" si="103"/>
        <v>11</v>
      </c>
      <c r="BA102" s="179">
        <v>13</v>
      </c>
      <c r="BB102" s="179">
        <v>0</v>
      </c>
      <c r="BC102" s="180">
        <f t="shared" si="104"/>
        <v>13</v>
      </c>
      <c r="BD102" s="179">
        <v>10</v>
      </c>
      <c r="BE102" s="179">
        <v>0</v>
      </c>
      <c r="BF102" s="180">
        <f t="shared" si="105"/>
        <v>10</v>
      </c>
      <c r="BG102" s="179">
        <v>8</v>
      </c>
      <c r="BH102" s="179">
        <v>0</v>
      </c>
      <c r="BI102" s="180">
        <f t="shared" si="106"/>
        <v>8</v>
      </c>
      <c r="BJ102" s="179">
        <v>7</v>
      </c>
      <c r="BK102" s="179">
        <v>0</v>
      </c>
      <c r="BL102" s="180">
        <f t="shared" si="107"/>
        <v>7</v>
      </c>
      <c r="BM102" s="179">
        <v>10</v>
      </c>
      <c r="BN102" s="179">
        <v>0</v>
      </c>
      <c r="BO102" s="180">
        <f t="shared" si="108"/>
        <v>10</v>
      </c>
      <c r="BP102" s="179">
        <v>12</v>
      </c>
      <c r="BQ102" s="179">
        <v>0</v>
      </c>
      <c r="BR102" s="180">
        <f t="shared" si="109"/>
        <v>12</v>
      </c>
      <c r="BS102" s="179">
        <v>10</v>
      </c>
      <c r="BT102" s="179">
        <v>5</v>
      </c>
      <c r="BU102" s="180">
        <f t="shared" si="110"/>
        <v>15</v>
      </c>
      <c r="BV102" s="179">
        <v>16</v>
      </c>
      <c r="BW102" s="179">
        <v>5</v>
      </c>
      <c r="BX102" s="180">
        <f t="shared" si="111"/>
        <v>21</v>
      </c>
      <c r="BY102" s="179">
        <v>17</v>
      </c>
      <c r="BZ102" s="179">
        <v>1</v>
      </c>
      <c r="CA102" s="180">
        <f t="shared" si="112"/>
        <v>18</v>
      </c>
    </row>
    <row r="103" spans="1:79" x14ac:dyDescent="0.25">
      <c r="A103" s="178" t="s">
        <v>127</v>
      </c>
      <c r="B103" s="179">
        <v>24</v>
      </c>
      <c r="C103" s="179">
        <v>15</v>
      </c>
      <c r="D103" s="180">
        <f t="shared" si="98"/>
        <v>39</v>
      </c>
      <c r="E103" s="179">
        <v>36</v>
      </c>
      <c r="F103" s="179">
        <v>5</v>
      </c>
      <c r="G103" s="180">
        <f t="shared" si="113"/>
        <v>41</v>
      </c>
      <c r="H103" s="179">
        <v>26</v>
      </c>
      <c r="I103" s="179">
        <v>14</v>
      </c>
      <c r="J103" s="180">
        <f t="shared" si="114"/>
        <v>40</v>
      </c>
      <c r="K103" s="179">
        <v>27</v>
      </c>
      <c r="L103" s="179">
        <v>10</v>
      </c>
      <c r="M103" s="180">
        <f t="shared" si="115"/>
        <v>37</v>
      </c>
      <c r="N103" s="179">
        <v>29</v>
      </c>
      <c r="O103" s="179">
        <v>13</v>
      </c>
      <c r="P103" s="180">
        <f t="shared" si="116"/>
        <v>42</v>
      </c>
      <c r="Q103" s="179">
        <v>11</v>
      </c>
      <c r="R103" s="179">
        <v>15</v>
      </c>
      <c r="S103" s="180">
        <f t="shared" si="117"/>
        <v>26</v>
      </c>
      <c r="T103" s="179">
        <v>18</v>
      </c>
      <c r="U103" s="179">
        <v>11</v>
      </c>
      <c r="V103" s="180">
        <f t="shared" si="118"/>
        <v>29</v>
      </c>
      <c r="W103" s="179">
        <v>16</v>
      </c>
      <c r="X103" s="179">
        <v>9</v>
      </c>
      <c r="Y103" s="180">
        <f t="shared" si="119"/>
        <v>25</v>
      </c>
      <c r="Z103" s="179">
        <v>18</v>
      </c>
      <c r="AA103" s="179">
        <v>11</v>
      </c>
      <c r="AB103" s="180">
        <f t="shared" si="120"/>
        <v>29</v>
      </c>
      <c r="AC103" s="179">
        <v>16</v>
      </c>
      <c r="AD103" s="179">
        <v>11</v>
      </c>
      <c r="AE103" s="180">
        <f t="shared" si="121"/>
        <v>27</v>
      </c>
      <c r="AF103" s="179">
        <v>24</v>
      </c>
      <c r="AG103" s="179">
        <v>12</v>
      </c>
      <c r="AH103" s="180">
        <f t="shared" si="122"/>
        <v>36</v>
      </c>
      <c r="AI103" s="179">
        <v>17</v>
      </c>
      <c r="AJ103" s="179">
        <v>10</v>
      </c>
      <c r="AK103" s="180">
        <f t="shared" si="123"/>
        <v>27</v>
      </c>
      <c r="AL103" s="174">
        <f t="shared" si="124"/>
        <v>262</v>
      </c>
      <c r="AM103" s="174">
        <f t="shared" si="125"/>
        <v>136</v>
      </c>
      <c r="AN103" s="174">
        <f t="shared" si="126"/>
        <v>398</v>
      </c>
      <c r="AQ103" s="178" t="s">
        <v>127</v>
      </c>
      <c r="AR103" s="179">
        <v>33</v>
      </c>
      <c r="AS103" s="179">
        <v>2</v>
      </c>
      <c r="AT103" s="180">
        <f t="shared" si="101"/>
        <v>35</v>
      </c>
      <c r="AU103" s="179">
        <v>42</v>
      </c>
      <c r="AV103" s="179">
        <v>0</v>
      </c>
      <c r="AW103" s="180">
        <f t="shared" si="102"/>
        <v>42</v>
      </c>
      <c r="AX103" s="179">
        <v>46</v>
      </c>
      <c r="AY103" s="179">
        <v>0</v>
      </c>
      <c r="AZ103" s="180">
        <f t="shared" si="103"/>
        <v>46</v>
      </c>
      <c r="BA103" s="179">
        <v>67</v>
      </c>
      <c r="BB103" s="179">
        <v>1</v>
      </c>
      <c r="BC103" s="180">
        <f t="shared" si="104"/>
        <v>68</v>
      </c>
      <c r="BD103" s="179">
        <v>60</v>
      </c>
      <c r="BE103" s="179">
        <v>1</v>
      </c>
      <c r="BF103" s="180">
        <f t="shared" si="105"/>
        <v>61</v>
      </c>
      <c r="BG103" s="179">
        <v>65</v>
      </c>
      <c r="BH103" s="179">
        <v>0</v>
      </c>
      <c r="BI103" s="180">
        <f t="shared" si="106"/>
        <v>65</v>
      </c>
      <c r="BJ103" s="179">
        <v>52</v>
      </c>
      <c r="BK103" s="179">
        <v>1</v>
      </c>
      <c r="BL103" s="180">
        <f t="shared" si="107"/>
        <v>53</v>
      </c>
      <c r="BM103" s="179">
        <v>78</v>
      </c>
      <c r="BN103" s="179">
        <v>1</v>
      </c>
      <c r="BO103" s="180">
        <f t="shared" si="108"/>
        <v>79</v>
      </c>
      <c r="BP103" s="179">
        <v>56</v>
      </c>
      <c r="BQ103" s="179">
        <v>1</v>
      </c>
      <c r="BR103" s="180">
        <f t="shared" si="109"/>
        <v>57</v>
      </c>
      <c r="BS103" s="179">
        <v>57</v>
      </c>
      <c r="BT103" s="179">
        <v>11</v>
      </c>
      <c r="BU103" s="180">
        <f t="shared" si="110"/>
        <v>68</v>
      </c>
      <c r="BV103" s="179">
        <v>50</v>
      </c>
      <c r="BW103" s="179">
        <v>9</v>
      </c>
      <c r="BX103" s="180">
        <f t="shared" si="111"/>
        <v>59</v>
      </c>
      <c r="BY103" s="179">
        <v>44</v>
      </c>
      <c r="BZ103" s="179">
        <v>6</v>
      </c>
      <c r="CA103" s="180">
        <f t="shared" si="112"/>
        <v>50</v>
      </c>
    </row>
    <row r="104" spans="1:79" x14ac:dyDescent="0.25">
      <c r="A104" s="178" t="s">
        <v>128</v>
      </c>
      <c r="B104" s="179">
        <v>29</v>
      </c>
      <c r="C104" s="179">
        <v>22</v>
      </c>
      <c r="D104" s="180">
        <f t="shared" si="98"/>
        <v>51</v>
      </c>
      <c r="E104" s="179">
        <v>52</v>
      </c>
      <c r="F104" s="179">
        <v>22</v>
      </c>
      <c r="G104" s="180">
        <f t="shared" si="113"/>
        <v>74</v>
      </c>
      <c r="H104" s="179">
        <v>52</v>
      </c>
      <c r="I104" s="179">
        <v>22</v>
      </c>
      <c r="J104" s="180">
        <f t="shared" si="114"/>
        <v>74</v>
      </c>
      <c r="K104" s="179">
        <v>44</v>
      </c>
      <c r="L104" s="179">
        <v>18</v>
      </c>
      <c r="M104" s="180">
        <f t="shared" si="115"/>
        <v>62</v>
      </c>
      <c r="N104" s="179">
        <v>37</v>
      </c>
      <c r="O104" s="179">
        <v>18</v>
      </c>
      <c r="P104" s="180">
        <f t="shared" si="116"/>
        <v>55</v>
      </c>
      <c r="Q104" s="179">
        <v>20</v>
      </c>
      <c r="R104" s="179">
        <v>17</v>
      </c>
      <c r="S104" s="180">
        <f t="shared" si="117"/>
        <v>37</v>
      </c>
      <c r="T104" s="179">
        <v>21</v>
      </c>
      <c r="U104" s="179">
        <v>4</v>
      </c>
      <c r="V104" s="180">
        <f t="shared" si="118"/>
        <v>25</v>
      </c>
      <c r="W104" s="179">
        <v>29</v>
      </c>
      <c r="X104" s="179">
        <v>10</v>
      </c>
      <c r="Y104" s="180">
        <f t="shared" si="119"/>
        <v>39</v>
      </c>
      <c r="Z104" s="179">
        <v>23</v>
      </c>
      <c r="AA104" s="179">
        <v>22</v>
      </c>
      <c r="AB104" s="180">
        <f t="shared" si="120"/>
        <v>45</v>
      </c>
      <c r="AC104" s="179">
        <v>23</v>
      </c>
      <c r="AD104" s="179">
        <v>10</v>
      </c>
      <c r="AE104" s="180">
        <f t="shared" si="121"/>
        <v>33</v>
      </c>
      <c r="AF104" s="179">
        <v>25</v>
      </c>
      <c r="AG104" s="179">
        <v>10</v>
      </c>
      <c r="AH104" s="180">
        <f t="shared" si="122"/>
        <v>35</v>
      </c>
      <c r="AI104" s="179">
        <v>24</v>
      </c>
      <c r="AJ104" s="179">
        <v>18</v>
      </c>
      <c r="AK104" s="180">
        <f t="shared" si="123"/>
        <v>42</v>
      </c>
      <c r="AL104" s="174">
        <f t="shared" si="124"/>
        <v>379</v>
      </c>
      <c r="AM104" s="174">
        <f t="shared" si="125"/>
        <v>193</v>
      </c>
      <c r="AN104" s="174">
        <f t="shared" si="126"/>
        <v>572</v>
      </c>
      <c r="AQ104" s="178" t="s">
        <v>128</v>
      </c>
      <c r="AR104" s="179">
        <v>57</v>
      </c>
      <c r="AS104" s="179">
        <v>2</v>
      </c>
      <c r="AT104" s="180">
        <f t="shared" si="101"/>
        <v>59</v>
      </c>
      <c r="AU104" s="179">
        <v>53</v>
      </c>
      <c r="AV104" s="179">
        <v>2</v>
      </c>
      <c r="AW104" s="180">
        <f t="shared" si="102"/>
        <v>55</v>
      </c>
      <c r="AX104" s="179">
        <v>70</v>
      </c>
      <c r="AY104" s="179">
        <v>2</v>
      </c>
      <c r="AZ104" s="180">
        <f t="shared" si="103"/>
        <v>72</v>
      </c>
      <c r="BA104" s="179">
        <v>85</v>
      </c>
      <c r="BB104" s="179">
        <v>3</v>
      </c>
      <c r="BC104" s="180">
        <f t="shared" si="104"/>
        <v>88</v>
      </c>
      <c r="BD104" s="179">
        <v>88</v>
      </c>
      <c r="BE104" s="179">
        <v>6</v>
      </c>
      <c r="BF104" s="180">
        <f t="shared" si="105"/>
        <v>94</v>
      </c>
      <c r="BG104" s="179">
        <v>87</v>
      </c>
      <c r="BH104" s="179">
        <v>1</v>
      </c>
      <c r="BI104" s="180">
        <f t="shared" si="106"/>
        <v>88</v>
      </c>
      <c r="BJ104" s="179">
        <v>80</v>
      </c>
      <c r="BK104" s="179">
        <v>3</v>
      </c>
      <c r="BL104" s="180">
        <f t="shared" si="107"/>
        <v>83</v>
      </c>
      <c r="BM104" s="179">
        <v>111</v>
      </c>
      <c r="BN104" s="179">
        <v>7</v>
      </c>
      <c r="BO104" s="180">
        <f t="shared" si="108"/>
        <v>118</v>
      </c>
      <c r="BP104" s="179">
        <v>72</v>
      </c>
      <c r="BQ104" s="179">
        <v>4</v>
      </c>
      <c r="BR104" s="180">
        <f t="shared" si="109"/>
        <v>76</v>
      </c>
      <c r="BS104" s="179">
        <v>72</v>
      </c>
      <c r="BT104" s="179">
        <v>0</v>
      </c>
      <c r="BU104" s="180">
        <f t="shared" si="110"/>
        <v>72</v>
      </c>
      <c r="BV104" s="179">
        <v>70</v>
      </c>
      <c r="BW104" s="179">
        <v>6</v>
      </c>
      <c r="BX104" s="180">
        <f t="shared" si="111"/>
        <v>76</v>
      </c>
      <c r="BY104" s="179">
        <v>71</v>
      </c>
      <c r="BZ104" s="179">
        <v>2</v>
      </c>
      <c r="CA104" s="180">
        <f t="shared" si="112"/>
        <v>73</v>
      </c>
    </row>
    <row r="105" spans="1:79" x14ac:dyDescent="0.25">
      <c r="A105" s="178" t="s">
        <v>3</v>
      </c>
      <c r="B105" s="179">
        <v>13</v>
      </c>
      <c r="C105" s="179">
        <v>3</v>
      </c>
      <c r="D105" s="180">
        <f t="shared" si="98"/>
        <v>16</v>
      </c>
      <c r="E105" s="179">
        <v>25</v>
      </c>
      <c r="F105" s="179">
        <v>11</v>
      </c>
      <c r="G105" s="180">
        <f t="shared" si="113"/>
        <v>36</v>
      </c>
      <c r="H105" s="179">
        <v>39</v>
      </c>
      <c r="I105" s="179">
        <v>13</v>
      </c>
      <c r="J105" s="180">
        <f t="shared" si="114"/>
        <v>52</v>
      </c>
      <c r="K105" s="179">
        <v>41</v>
      </c>
      <c r="L105" s="179">
        <v>7</v>
      </c>
      <c r="M105" s="180">
        <f t="shared" si="115"/>
        <v>48</v>
      </c>
      <c r="N105" s="179">
        <v>27</v>
      </c>
      <c r="O105" s="179">
        <v>9</v>
      </c>
      <c r="P105" s="180">
        <f t="shared" si="116"/>
        <v>36</v>
      </c>
      <c r="Q105" s="179">
        <v>25</v>
      </c>
      <c r="R105" s="179">
        <v>7</v>
      </c>
      <c r="S105" s="180">
        <f t="shared" si="117"/>
        <v>32</v>
      </c>
      <c r="T105" s="179">
        <v>32</v>
      </c>
      <c r="U105" s="179">
        <v>13</v>
      </c>
      <c r="V105" s="180">
        <f t="shared" si="118"/>
        <v>45</v>
      </c>
      <c r="W105" s="179">
        <v>22</v>
      </c>
      <c r="X105" s="179">
        <v>11</v>
      </c>
      <c r="Y105" s="180">
        <f t="shared" si="119"/>
        <v>33</v>
      </c>
      <c r="Z105" s="179">
        <v>30</v>
      </c>
      <c r="AA105" s="179">
        <v>17</v>
      </c>
      <c r="AB105" s="180">
        <f t="shared" si="120"/>
        <v>47</v>
      </c>
      <c r="AC105" s="179">
        <v>31</v>
      </c>
      <c r="AD105" s="179">
        <v>12</v>
      </c>
      <c r="AE105" s="180">
        <f t="shared" si="121"/>
        <v>43</v>
      </c>
      <c r="AF105" s="179">
        <v>22</v>
      </c>
      <c r="AG105" s="179">
        <v>12</v>
      </c>
      <c r="AH105" s="180">
        <f t="shared" si="122"/>
        <v>34</v>
      </c>
      <c r="AI105" s="179">
        <v>23</v>
      </c>
      <c r="AJ105" s="179">
        <v>14</v>
      </c>
      <c r="AK105" s="180">
        <f t="shared" si="123"/>
        <v>37</v>
      </c>
      <c r="AL105" s="174">
        <f t="shared" si="124"/>
        <v>330</v>
      </c>
      <c r="AM105" s="174">
        <f t="shared" si="125"/>
        <v>129</v>
      </c>
      <c r="AN105" s="174">
        <f t="shared" si="126"/>
        <v>459</v>
      </c>
      <c r="AQ105" s="178" t="s">
        <v>3</v>
      </c>
      <c r="AR105" s="179">
        <v>39</v>
      </c>
      <c r="AS105" s="179">
        <v>3</v>
      </c>
      <c r="AT105" s="180">
        <f t="shared" si="101"/>
        <v>42</v>
      </c>
      <c r="AU105" s="179">
        <v>41</v>
      </c>
      <c r="AV105" s="179">
        <v>0</v>
      </c>
      <c r="AW105" s="180">
        <f t="shared" si="102"/>
        <v>41</v>
      </c>
      <c r="AX105" s="179">
        <v>52</v>
      </c>
      <c r="AY105" s="179">
        <v>1</v>
      </c>
      <c r="AZ105" s="180">
        <f t="shared" si="103"/>
        <v>53</v>
      </c>
      <c r="BA105" s="179">
        <v>70</v>
      </c>
      <c r="BB105" s="179">
        <v>1</v>
      </c>
      <c r="BC105" s="180">
        <f t="shared" si="104"/>
        <v>71</v>
      </c>
      <c r="BD105" s="179">
        <v>75</v>
      </c>
      <c r="BE105" s="179">
        <v>0</v>
      </c>
      <c r="BF105" s="180">
        <f t="shared" si="105"/>
        <v>75</v>
      </c>
      <c r="BG105" s="179">
        <v>64</v>
      </c>
      <c r="BH105" s="179">
        <v>2</v>
      </c>
      <c r="BI105" s="180">
        <f t="shared" si="106"/>
        <v>66</v>
      </c>
      <c r="BJ105" s="179">
        <v>68</v>
      </c>
      <c r="BK105" s="179">
        <v>2</v>
      </c>
      <c r="BL105" s="180">
        <f t="shared" si="107"/>
        <v>70</v>
      </c>
      <c r="BM105" s="179">
        <v>101</v>
      </c>
      <c r="BN105" s="179">
        <v>1</v>
      </c>
      <c r="BO105" s="180">
        <f t="shared" si="108"/>
        <v>102</v>
      </c>
      <c r="BP105" s="179">
        <v>83</v>
      </c>
      <c r="BQ105" s="179">
        <v>2</v>
      </c>
      <c r="BR105" s="180">
        <f t="shared" si="109"/>
        <v>85</v>
      </c>
      <c r="BS105" s="179">
        <v>84</v>
      </c>
      <c r="BT105" s="179">
        <v>0</v>
      </c>
      <c r="BU105" s="180">
        <f t="shared" si="110"/>
        <v>84</v>
      </c>
      <c r="BV105" s="179">
        <v>81</v>
      </c>
      <c r="BW105" s="179">
        <v>0</v>
      </c>
      <c r="BX105" s="180">
        <f t="shared" si="111"/>
        <v>81</v>
      </c>
      <c r="BY105" s="179">
        <v>70</v>
      </c>
      <c r="BZ105" s="179">
        <v>0</v>
      </c>
      <c r="CA105" s="180">
        <f t="shared" si="112"/>
        <v>70</v>
      </c>
    </row>
    <row r="106" spans="1:79" x14ac:dyDescent="0.25">
      <c r="A106" s="178" t="s">
        <v>10</v>
      </c>
      <c r="B106" s="179">
        <v>9</v>
      </c>
      <c r="C106" s="179">
        <v>6</v>
      </c>
      <c r="D106" s="180">
        <f t="shared" si="98"/>
        <v>15</v>
      </c>
      <c r="E106" s="179">
        <v>8</v>
      </c>
      <c r="F106" s="179">
        <v>6</v>
      </c>
      <c r="G106" s="180">
        <f t="shared" si="113"/>
        <v>14</v>
      </c>
      <c r="H106" s="179">
        <v>8</v>
      </c>
      <c r="I106" s="179">
        <v>5</v>
      </c>
      <c r="J106" s="180">
        <f t="shared" si="114"/>
        <v>13</v>
      </c>
      <c r="K106" s="179">
        <v>4</v>
      </c>
      <c r="L106" s="179">
        <v>7</v>
      </c>
      <c r="M106" s="180">
        <f t="shared" si="115"/>
        <v>11</v>
      </c>
      <c r="N106" s="179">
        <v>11</v>
      </c>
      <c r="O106" s="179">
        <v>8</v>
      </c>
      <c r="P106" s="180">
        <f t="shared" si="116"/>
        <v>19</v>
      </c>
      <c r="Q106" s="179">
        <v>6</v>
      </c>
      <c r="R106" s="179">
        <v>3</v>
      </c>
      <c r="S106" s="180">
        <f t="shared" si="117"/>
        <v>9</v>
      </c>
      <c r="T106" s="179">
        <v>6</v>
      </c>
      <c r="U106" s="179">
        <v>13</v>
      </c>
      <c r="V106" s="180">
        <f t="shared" si="118"/>
        <v>19</v>
      </c>
      <c r="W106" s="179">
        <v>6</v>
      </c>
      <c r="X106" s="179">
        <v>2</v>
      </c>
      <c r="Y106" s="180">
        <f t="shared" si="119"/>
        <v>8</v>
      </c>
      <c r="Z106" s="179">
        <v>9</v>
      </c>
      <c r="AA106" s="179">
        <v>9</v>
      </c>
      <c r="AB106" s="180">
        <f t="shared" si="120"/>
        <v>18</v>
      </c>
      <c r="AC106" s="179">
        <v>16</v>
      </c>
      <c r="AD106" s="179">
        <v>17</v>
      </c>
      <c r="AE106" s="180">
        <f t="shared" si="121"/>
        <v>33</v>
      </c>
      <c r="AF106" s="179">
        <v>18</v>
      </c>
      <c r="AG106" s="179">
        <v>13</v>
      </c>
      <c r="AH106" s="180">
        <f t="shared" si="122"/>
        <v>31</v>
      </c>
      <c r="AI106" s="179">
        <v>9</v>
      </c>
      <c r="AJ106" s="179">
        <v>17</v>
      </c>
      <c r="AK106" s="180">
        <f t="shared" si="123"/>
        <v>26</v>
      </c>
      <c r="AL106" s="174">
        <f t="shared" si="124"/>
        <v>110</v>
      </c>
      <c r="AM106" s="174">
        <f t="shared" si="125"/>
        <v>106</v>
      </c>
      <c r="AN106" s="174">
        <f t="shared" si="126"/>
        <v>216</v>
      </c>
      <c r="AQ106" s="178" t="s">
        <v>10</v>
      </c>
      <c r="AR106" s="179">
        <v>17</v>
      </c>
      <c r="AS106" s="179">
        <v>0</v>
      </c>
      <c r="AT106" s="180">
        <f t="shared" si="101"/>
        <v>17</v>
      </c>
      <c r="AU106" s="179">
        <v>20</v>
      </c>
      <c r="AV106" s="179">
        <v>0</v>
      </c>
      <c r="AW106" s="180">
        <f t="shared" si="102"/>
        <v>20</v>
      </c>
      <c r="AX106" s="179">
        <v>21</v>
      </c>
      <c r="AY106" s="179">
        <v>0</v>
      </c>
      <c r="AZ106" s="180">
        <f t="shared" si="103"/>
        <v>21</v>
      </c>
      <c r="BA106" s="179">
        <v>22</v>
      </c>
      <c r="BB106" s="179">
        <v>0</v>
      </c>
      <c r="BC106" s="180">
        <f t="shared" si="104"/>
        <v>22</v>
      </c>
      <c r="BD106" s="179">
        <v>25</v>
      </c>
      <c r="BE106" s="179">
        <v>0</v>
      </c>
      <c r="BF106" s="180">
        <f t="shared" si="105"/>
        <v>25</v>
      </c>
      <c r="BG106" s="179">
        <v>22</v>
      </c>
      <c r="BH106" s="179">
        <v>0</v>
      </c>
      <c r="BI106" s="180">
        <f t="shared" si="106"/>
        <v>22</v>
      </c>
      <c r="BJ106" s="179">
        <v>18</v>
      </c>
      <c r="BK106" s="179">
        <v>0</v>
      </c>
      <c r="BL106" s="180">
        <f t="shared" si="107"/>
        <v>18</v>
      </c>
      <c r="BM106" s="179">
        <v>15</v>
      </c>
      <c r="BN106" s="179">
        <v>0</v>
      </c>
      <c r="BO106" s="180">
        <f t="shared" si="108"/>
        <v>15</v>
      </c>
      <c r="BP106" s="179">
        <v>14</v>
      </c>
      <c r="BQ106" s="179">
        <v>1</v>
      </c>
      <c r="BR106" s="180">
        <f t="shared" si="109"/>
        <v>15</v>
      </c>
      <c r="BS106" s="179">
        <v>12</v>
      </c>
      <c r="BT106" s="179">
        <v>1</v>
      </c>
      <c r="BU106" s="180">
        <f t="shared" si="110"/>
        <v>13</v>
      </c>
      <c r="BV106" s="179">
        <v>22</v>
      </c>
      <c r="BW106" s="179">
        <v>2</v>
      </c>
      <c r="BX106" s="180">
        <f t="shared" si="111"/>
        <v>24</v>
      </c>
      <c r="BY106" s="179">
        <v>19</v>
      </c>
      <c r="BZ106" s="179">
        <v>2</v>
      </c>
      <c r="CA106" s="180">
        <f t="shared" si="112"/>
        <v>21</v>
      </c>
    </row>
    <row r="107" spans="1:79" x14ac:dyDescent="0.25">
      <c r="A107" s="178" t="s">
        <v>11</v>
      </c>
      <c r="B107" s="179">
        <v>9</v>
      </c>
      <c r="C107" s="179">
        <v>5</v>
      </c>
      <c r="D107" s="180">
        <f t="shared" si="98"/>
        <v>14</v>
      </c>
      <c r="E107" s="179">
        <v>12</v>
      </c>
      <c r="F107" s="179">
        <v>6</v>
      </c>
      <c r="G107" s="180">
        <f t="shared" si="113"/>
        <v>18</v>
      </c>
      <c r="H107" s="179">
        <v>30</v>
      </c>
      <c r="I107" s="179">
        <v>7</v>
      </c>
      <c r="J107" s="180">
        <f t="shared" si="114"/>
        <v>37</v>
      </c>
      <c r="K107" s="179">
        <v>11</v>
      </c>
      <c r="L107" s="179">
        <v>10</v>
      </c>
      <c r="M107" s="180">
        <f t="shared" si="115"/>
        <v>21</v>
      </c>
      <c r="N107" s="179">
        <v>23</v>
      </c>
      <c r="O107" s="179">
        <v>7</v>
      </c>
      <c r="P107" s="180">
        <f t="shared" si="116"/>
        <v>30</v>
      </c>
      <c r="Q107" s="179">
        <v>14</v>
      </c>
      <c r="R107" s="179">
        <v>4</v>
      </c>
      <c r="S107" s="180">
        <f t="shared" si="117"/>
        <v>18</v>
      </c>
      <c r="T107" s="179">
        <v>13</v>
      </c>
      <c r="U107" s="179">
        <v>7</v>
      </c>
      <c r="V107" s="180">
        <f t="shared" si="118"/>
        <v>20</v>
      </c>
      <c r="W107" s="179">
        <v>13</v>
      </c>
      <c r="X107" s="179">
        <v>11</v>
      </c>
      <c r="Y107" s="180">
        <f t="shared" si="119"/>
        <v>24</v>
      </c>
      <c r="Z107" s="179">
        <v>9</v>
      </c>
      <c r="AA107" s="179">
        <v>7</v>
      </c>
      <c r="AB107" s="180">
        <f t="shared" si="120"/>
        <v>16</v>
      </c>
      <c r="AC107" s="179">
        <v>23</v>
      </c>
      <c r="AD107" s="179">
        <v>3</v>
      </c>
      <c r="AE107" s="180">
        <f t="shared" si="121"/>
        <v>26</v>
      </c>
      <c r="AF107" s="179">
        <v>23</v>
      </c>
      <c r="AG107" s="179">
        <v>7</v>
      </c>
      <c r="AH107" s="180">
        <f t="shared" si="122"/>
        <v>30</v>
      </c>
      <c r="AI107" s="179">
        <v>24</v>
      </c>
      <c r="AJ107" s="179">
        <v>9</v>
      </c>
      <c r="AK107" s="180">
        <f t="shared" si="123"/>
        <v>33</v>
      </c>
      <c r="AL107" s="174">
        <f t="shared" si="124"/>
        <v>204</v>
      </c>
      <c r="AM107" s="174">
        <f t="shared" si="125"/>
        <v>83</v>
      </c>
      <c r="AN107" s="174">
        <f t="shared" si="126"/>
        <v>287</v>
      </c>
      <c r="AQ107" s="178" t="s">
        <v>11</v>
      </c>
      <c r="AR107" s="179">
        <v>25</v>
      </c>
      <c r="AS107" s="179">
        <v>1</v>
      </c>
      <c r="AT107" s="180">
        <f t="shared" si="101"/>
        <v>26</v>
      </c>
      <c r="AU107" s="179">
        <v>36</v>
      </c>
      <c r="AV107" s="179">
        <v>0</v>
      </c>
      <c r="AW107" s="180">
        <f t="shared" si="102"/>
        <v>36</v>
      </c>
      <c r="AX107" s="179">
        <v>38</v>
      </c>
      <c r="AY107" s="179">
        <v>1</v>
      </c>
      <c r="AZ107" s="180">
        <f t="shared" si="103"/>
        <v>39</v>
      </c>
      <c r="BA107" s="179">
        <v>44</v>
      </c>
      <c r="BB107" s="179">
        <v>0</v>
      </c>
      <c r="BC107" s="180">
        <f t="shared" si="104"/>
        <v>44</v>
      </c>
      <c r="BD107" s="179">
        <v>49</v>
      </c>
      <c r="BE107" s="179">
        <v>0</v>
      </c>
      <c r="BF107" s="180">
        <f t="shared" si="105"/>
        <v>49</v>
      </c>
      <c r="BG107" s="179">
        <v>43</v>
      </c>
      <c r="BH107" s="179">
        <v>0</v>
      </c>
      <c r="BI107" s="180">
        <f t="shared" si="106"/>
        <v>43</v>
      </c>
      <c r="BJ107" s="179">
        <v>47</v>
      </c>
      <c r="BK107" s="179">
        <v>1</v>
      </c>
      <c r="BL107" s="180">
        <f t="shared" si="107"/>
        <v>48</v>
      </c>
      <c r="BM107" s="179">
        <v>53</v>
      </c>
      <c r="BN107" s="179">
        <v>0</v>
      </c>
      <c r="BO107" s="180">
        <f t="shared" si="108"/>
        <v>53</v>
      </c>
      <c r="BP107" s="179">
        <v>52</v>
      </c>
      <c r="BQ107" s="179">
        <v>0</v>
      </c>
      <c r="BR107" s="180">
        <f t="shared" si="109"/>
        <v>52</v>
      </c>
      <c r="BS107" s="179">
        <v>45</v>
      </c>
      <c r="BT107" s="179">
        <v>3</v>
      </c>
      <c r="BU107" s="180">
        <f t="shared" si="110"/>
        <v>48</v>
      </c>
      <c r="BV107" s="179">
        <v>55</v>
      </c>
      <c r="BW107" s="179">
        <v>2</v>
      </c>
      <c r="BX107" s="180">
        <f t="shared" si="111"/>
        <v>57</v>
      </c>
      <c r="BY107" s="179">
        <v>43</v>
      </c>
      <c r="BZ107" s="179">
        <v>0</v>
      </c>
      <c r="CA107" s="180">
        <f t="shared" si="112"/>
        <v>43</v>
      </c>
    </row>
    <row r="108" spans="1:79" x14ac:dyDescent="0.25">
      <c r="A108" s="178" t="s">
        <v>5</v>
      </c>
      <c r="B108" s="179">
        <v>4</v>
      </c>
      <c r="C108" s="179">
        <v>2</v>
      </c>
      <c r="D108" s="180">
        <f t="shared" si="98"/>
        <v>6</v>
      </c>
      <c r="E108" s="179">
        <v>21</v>
      </c>
      <c r="F108" s="179">
        <v>8</v>
      </c>
      <c r="G108" s="180">
        <f t="shared" si="113"/>
        <v>29</v>
      </c>
      <c r="H108" s="179">
        <v>16</v>
      </c>
      <c r="I108" s="179">
        <v>4</v>
      </c>
      <c r="J108" s="180">
        <f t="shared" si="114"/>
        <v>20</v>
      </c>
      <c r="K108" s="179">
        <v>18</v>
      </c>
      <c r="L108" s="179">
        <v>2</v>
      </c>
      <c r="M108" s="180">
        <f t="shared" si="115"/>
        <v>20</v>
      </c>
      <c r="N108" s="179">
        <v>14</v>
      </c>
      <c r="O108" s="179">
        <v>2</v>
      </c>
      <c r="P108" s="180">
        <f t="shared" si="116"/>
        <v>16</v>
      </c>
      <c r="Q108" s="179">
        <v>16</v>
      </c>
      <c r="R108" s="179">
        <v>2</v>
      </c>
      <c r="S108" s="180">
        <f t="shared" si="117"/>
        <v>18</v>
      </c>
      <c r="T108" s="179">
        <v>9</v>
      </c>
      <c r="U108" s="179">
        <v>5</v>
      </c>
      <c r="V108" s="180">
        <f t="shared" si="118"/>
        <v>14</v>
      </c>
      <c r="W108" s="179">
        <v>10</v>
      </c>
      <c r="X108" s="179">
        <v>11</v>
      </c>
      <c r="Y108" s="180">
        <f t="shared" si="119"/>
        <v>21</v>
      </c>
      <c r="Z108" s="179">
        <v>13</v>
      </c>
      <c r="AA108" s="179">
        <v>7</v>
      </c>
      <c r="AB108" s="180">
        <f t="shared" si="120"/>
        <v>20</v>
      </c>
      <c r="AC108" s="179">
        <v>26</v>
      </c>
      <c r="AD108" s="179">
        <v>10</v>
      </c>
      <c r="AE108" s="180">
        <f t="shared" si="121"/>
        <v>36</v>
      </c>
      <c r="AF108" s="179">
        <v>14</v>
      </c>
      <c r="AG108" s="179">
        <v>6</v>
      </c>
      <c r="AH108" s="180">
        <f t="shared" si="122"/>
        <v>20</v>
      </c>
      <c r="AI108" s="179">
        <v>21</v>
      </c>
      <c r="AJ108" s="179">
        <v>4</v>
      </c>
      <c r="AK108" s="180">
        <f t="shared" si="123"/>
        <v>25</v>
      </c>
      <c r="AL108" s="174">
        <f t="shared" si="124"/>
        <v>182</v>
      </c>
      <c r="AM108" s="174">
        <f t="shared" si="125"/>
        <v>63</v>
      </c>
      <c r="AN108" s="174">
        <f t="shared" si="126"/>
        <v>245</v>
      </c>
      <c r="AQ108" s="178" t="s">
        <v>5</v>
      </c>
      <c r="AR108" s="179">
        <v>30</v>
      </c>
      <c r="AS108" s="179">
        <v>0</v>
      </c>
      <c r="AT108" s="180">
        <f t="shared" si="101"/>
        <v>30</v>
      </c>
      <c r="AU108" s="179">
        <v>26</v>
      </c>
      <c r="AV108" s="179">
        <v>0</v>
      </c>
      <c r="AW108" s="180">
        <f t="shared" si="102"/>
        <v>26</v>
      </c>
      <c r="AX108" s="179">
        <v>31</v>
      </c>
      <c r="AY108" s="179">
        <v>0</v>
      </c>
      <c r="AZ108" s="180">
        <f t="shared" si="103"/>
        <v>31</v>
      </c>
      <c r="BA108" s="179">
        <v>41</v>
      </c>
      <c r="BB108" s="179">
        <v>1</v>
      </c>
      <c r="BC108" s="180">
        <f t="shared" si="104"/>
        <v>42</v>
      </c>
      <c r="BD108" s="179">
        <v>35</v>
      </c>
      <c r="BE108" s="179">
        <v>1</v>
      </c>
      <c r="BF108" s="180">
        <f t="shared" si="105"/>
        <v>36</v>
      </c>
      <c r="BG108" s="179">
        <v>46</v>
      </c>
      <c r="BH108" s="179">
        <v>1</v>
      </c>
      <c r="BI108" s="180">
        <f t="shared" si="106"/>
        <v>47</v>
      </c>
      <c r="BJ108" s="179">
        <v>39</v>
      </c>
      <c r="BK108" s="179">
        <v>1</v>
      </c>
      <c r="BL108" s="180">
        <f t="shared" si="107"/>
        <v>40</v>
      </c>
      <c r="BM108" s="179">
        <v>34</v>
      </c>
      <c r="BN108" s="179">
        <v>1</v>
      </c>
      <c r="BO108" s="180">
        <f t="shared" si="108"/>
        <v>35</v>
      </c>
      <c r="BP108" s="179">
        <v>39</v>
      </c>
      <c r="BQ108" s="179">
        <v>1</v>
      </c>
      <c r="BR108" s="180">
        <f t="shared" si="109"/>
        <v>40</v>
      </c>
      <c r="BS108" s="179">
        <v>61</v>
      </c>
      <c r="BT108" s="179">
        <v>24</v>
      </c>
      <c r="BU108" s="180">
        <f t="shared" si="110"/>
        <v>85</v>
      </c>
      <c r="BV108" s="179">
        <v>61</v>
      </c>
      <c r="BW108" s="179">
        <v>24</v>
      </c>
      <c r="BX108" s="180">
        <f t="shared" si="111"/>
        <v>85</v>
      </c>
      <c r="BY108" s="179">
        <v>62</v>
      </c>
      <c r="BZ108" s="179">
        <v>11</v>
      </c>
      <c r="CA108" s="180">
        <f t="shared" si="112"/>
        <v>73</v>
      </c>
    </row>
    <row r="109" spans="1:79" x14ac:dyDescent="0.25">
      <c r="A109" s="178" t="s">
        <v>6</v>
      </c>
      <c r="B109" s="179">
        <v>45</v>
      </c>
      <c r="C109" s="179">
        <v>15</v>
      </c>
      <c r="D109" s="180">
        <f t="shared" si="98"/>
        <v>60</v>
      </c>
      <c r="E109" s="179">
        <v>39</v>
      </c>
      <c r="F109" s="179">
        <v>26</v>
      </c>
      <c r="G109" s="180">
        <f t="shared" si="113"/>
        <v>65</v>
      </c>
      <c r="H109" s="179">
        <v>22</v>
      </c>
      <c r="I109" s="179">
        <v>13</v>
      </c>
      <c r="J109" s="180">
        <f t="shared" si="114"/>
        <v>35</v>
      </c>
      <c r="K109" s="179">
        <v>52</v>
      </c>
      <c r="L109" s="179">
        <v>19</v>
      </c>
      <c r="M109" s="180">
        <f t="shared" si="115"/>
        <v>71</v>
      </c>
      <c r="N109" s="179">
        <v>29</v>
      </c>
      <c r="O109" s="179">
        <v>19</v>
      </c>
      <c r="P109" s="180">
        <f t="shared" si="116"/>
        <v>48</v>
      </c>
      <c r="Q109" s="179">
        <v>38</v>
      </c>
      <c r="R109" s="179">
        <v>22</v>
      </c>
      <c r="S109" s="180">
        <f t="shared" si="117"/>
        <v>60</v>
      </c>
      <c r="T109" s="179">
        <v>35</v>
      </c>
      <c r="U109" s="179">
        <v>19</v>
      </c>
      <c r="V109" s="180">
        <f t="shared" si="118"/>
        <v>54</v>
      </c>
      <c r="W109" s="179">
        <v>23</v>
      </c>
      <c r="X109" s="179">
        <v>17</v>
      </c>
      <c r="Y109" s="180">
        <f t="shared" si="119"/>
        <v>40</v>
      </c>
      <c r="Z109" s="179">
        <v>38</v>
      </c>
      <c r="AA109" s="179">
        <v>29</v>
      </c>
      <c r="AB109" s="180">
        <f t="shared" si="120"/>
        <v>67</v>
      </c>
      <c r="AC109" s="179">
        <v>38</v>
      </c>
      <c r="AD109" s="179">
        <v>31</v>
      </c>
      <c r="AE109" s="180">
        <f t="shared" si="121"/>
        <v>69</v>
      </c>
      <c r="AF109" s="179">
        <v>44</v>
      </c>
      <c r="AG109" s="179">
        <v>22</v>
      </c>
      <c r="AH109" s="180">
        <f t="shared" si="122"/>
        <v>66</v>
      </c>
      <c r="AI109" s="179">
        <v>37</v>
      </c>
      <c r="AJ109" s="179">
        <v>26</v>
      </c>
      <c r="AK109" s="180">
        <f t="shared" si="123"/>
        <v>63</v>
      </c>
      <c r="AL109" s="174">
        <f t="shared" si="124"/>
        <v>440</v>
      </c>
      <c r="AM109" s="174">
        <f t="shared" si="125"/>
        <v>258</v>
      </c>
      <c r="AN109" s="174">
        <f t="shared" si="126"/>
        <v>698</v>
      </c>
      <c r="AQ109" s="178" t="s">
        <v>6</v>
      </c>
      <c r="AR109" s="179">
        <v>54</v>
      </c>
      <c r="AS109" s="179">
        <v>0</v>
      </c>
      <c r="AT109" s="180">
        <f t="shared" si="101"/>
        <v>54</v>
      </c>
      <c r="AU109" s="179">
        <v>67</v>
      </c>
      <c r="AV109" s="179">
        <v>0</v>
      </c>
      <c r="AW109" s="180">
        <f t="shared" si="102"/>
        <v>67</v>
      </c>
      <c r="AX109" s="179">
        <v>80</v>
      </c>
      <c r="AY109" s="179">
        <v>0</v>
      </c>
      <c r="AZ109" s="180">
        <f t="shared" si="103"/>
        <v>80</v>
      </c>
      <c r="BA109" s="179">
        <v>79</v>
      </c>
      <c r="BB109" s="179">
        <v>1</v>
      </c>
      <c r="BC109" s="180">
        <f t="shared" si="104"/>
        <v>80</v>
      </c>
      <c r="BD109" s="179">
        <v>95</v>
      </c>
      <c r="BE109" s="179">
        <v>0</v>
      </c>
      <c r="BF109" s="180">
        <f t="shared" si="105"/>
        <v>95</v>
      </c>
      <c r="BG109" s="179">
        <v>94</v>
      </c>
      <c r="BH109" s="179">
        <v>0</v>
      </c>
      <c r="BI109" s="180">
        <f t="shared" si="106"/>
        <v>94</v>
      </c>
      <c r="BJ109" s="179">
        <v>90</v>
      </c>
      <c r="BK109" s="179">
        <v>1</v>
      </c>
      <c r="BL109" s="180">
        <f t="shared" si="107"/>
        <v>91</v>
      </c>
      <c r="BM109" s="179">
        <v>97</v>
      </c>
      <c r="BN109" s="179">
        <v>0</v>
      </c>
      <c r="BO109" s="180">
        <f t="shared" si="108"/>
        <v>97</v>
      </c>
      <c r="BP109" s="179">
        <v>79</v>
      </c>
      <c r="BQ109" s="179">
        <v>1</v>
      </c>
      <c r="BR109" s="180">
        <f t="shared" si="109"/>
        <v>80</v>
      </c>
      <c r="BS109" s="179">
        <v>71</v>
      </c>
      <c r="BT109" s="179">
        <v>18</v>
      </c>
      <c r="BU109" s="180">
        <f t="shared" si="110"/>
        <v>89</v>
      </c>
      <c r="BV109" s="179">
        <v>93</v>
      </c>
      <c r="BW109" s="179">
        <v>6</v>
      </c>
      <c r="BX109" s="180">
        <f t="shared" si="111"/>
        <v>99</v>
      </c>
      <c r="BY109" s="179">
        <v>92</v>
      </c>
      <c r="BZ109" s="179">
        <v>4</v>
      </c>
      <c r="CA109" s="180">
        <f t="shared" si="112"/>
        <v>96</v>
      </c>
    </row>
    <row r="110" spans="1:79" x14ac:dyDescent="0.25">
      <c r="A110" s="178" t="s">
        <v>9</v>
      </c>
      <c r="B110" s="179">
        <v>11</v>
      </c>
      <c r="C110" s="179">
        <v>4</v>
      </c>
      <c r="D110" s="180">
        <f t="shared" si="98"/>
        <v>15</v>
      </c>
      <c r="E110" s="179">
        <v>10</v>
      </c>
      <c r="F110" s="179">
        <v>7</v>
      </c>
      <c r="G110" s="180">
        <f t="shared" si="113"/>
        <v>17</v>
      </c>
      <c r="H110" s="179">
        <v>14</v>
      </c>
      <c r="I110" s="179">
        <v>3</v>
      </c>
      <c r="J110" s="180">
        <f t="shared" si="114"/>
        <v>17</v>
      </c>
      <c r="K110" s="179">
        <v>19</v>
      </c>
      <c r="L110" s="179">
        <v>7</v>
      </c>
      <c r="M110" s="180">
        <f t="shared" si="115"/>
        <v>26</v>
      </c>
      <c r="N110" s="179">
        <v>8</v>
      </c>
      <c r="O110" s="179">
        <v>6</v>
      </c>
      <c r="P110" s="180">
        <f t="shared" si="116"/>
        <v>14</v>
      </c>
      <c r="Q110" s="179">
        <v>10</v>
      </c>
      <c r="R110" s="179">
        <v>4</v>
      </c>
      <c r="S110" s="180">
        <f t="shared" si="117"/>
        <v>14</v>
      </c>
      <c r="T110" s="179">
        <v>5</v>
      </c>
      <c r="U110" s="179">
        <v>2</v>
      </c>
      <c r="V110" s="180">
        <f t="shared" si="118"/>
        <v>7</v>
      </c>
      <c r="W110" s="179">
        <v>7</v>
      </c>
      <c r="X110" s="179">
        <v>2</v>
      </c>
      <c r="Y110" s="180">
        <f t="shared" si="119"/>
        <v>9</v>
      </c>
      <c r="Z110" s="179">
        <v>6</v>
      </c>
      <c r="AA110" s="179">
        <v>1</v>
      </c>
      <c r="AB110" s="180">
        <f t="shared" si="120"/>
        <v>7</v>
      </c>
      <c r="AC110" s="179">
        <v>7</v>
      </c>
      <c r="AD110" s="179">
        <v>3</v>
      </c>
      <c r="AE110" s="180">
        <f t="shared" si="121"/>
        <v>10</v>
      </c>
      <c r="AF110" s="179">
        <v>17</v>
      </c>
      <c r="AG110" s="179">
        <v>6</v>
      </c>
      <c r="AH110" s="180">
        <f t="shared" si="122"/>
        <v>23</v>
      </c>
      <c r="AI110" s="179">
        <v>16</v>
      </c>
      <c r="AJ110" s="179">
        <v>13</v>
      </c>
      <c r="AK110" s="180">
        <f t="shared" si="123"/>
        <v>29</v>
      </c>
      <c r="AL110" s="174">
        <f t="shared" si="124"/>
        <v>130</v>
      </c>
      <c r="AM110" s="174">
        <f t="shared" si="125"/>
        <v>58</v>
      </c>
      <c r="AN110" s="174">
        <f t="shared" si="126"/>
        <v>188</v>
      </c>
      <c r="AQ110" s="178" t="s">
        <v>9</v>
      </c>
      <c r="AR110" s="179">
        <v>22</v>
      </c>
      <c r="AS110" s="179">
        <v>0</v>
      </c>
      <c r="AT110" s="180">
        <f t="shared" si="101"/>
        <v>22</v>
      </c>
      <c r="AU110" s="179">
        <v>23</v>
      </c>
      <c r="AV110" s="179">
        <v>0</v>
      </c>
      <c r="AW110" s="180">
        <f t="shared" si="102"/>
        <v>23</v>
      </c>
      <c r="AX110" s="179">
        <v>21</v>
      </c>
      <c r="AY110" s="179">
        <v>0</v>
      </c>
      <c r="AZ110" s="180">
        <f t="shared" si="103"/>
        <v>21</v>
      </c>
      <c r="BA110" s="179">
        <v>21</v>
      </c>
      <c r="BB110" s="179">
        <v>1</v>
      </c>
      <c r="BC110" s="180">
        <f t="shared" si="104"/>
        <v>22</v>
      </c>
      <c r="BD110" s="179">
        <v>27</v>
      </c>
      <c r="BE110" s="179">
        <v>0</v>
      </c>
      <c r="BF110" s="180">
        <f t="shared" si="105"/>
        <v>27</v>
      </c>
      <c r="BG110" s="179">
        <v>25</v>
      </c>
      <c r="BH110" s="179">
        <v>0</v>
      </c>
      <c r="BI110" s="180">
        <f t="shared" si="106"/>
        <v>25</v>
      </c>
      <c r="BJ110" s="179">
        <v>19</v>
      </c>
      <c r="BK110" s="179">
        <v>0</v>
      </c>
      <c r="BL110" s="180">
        <f t="shared" si="107"/>
        <v>19</v>
      </c>
      <c r="BM110" s="179">
        <v>15</v>
      </c>
      <c r="BN110" s="179">
        <v>0</v>
      </c>
      <c r="BO110" s="180">
        <f t="shared" si="108"/>
        <v>15</v>
      </c>
      <c r="BP110" s="179">
        <v>16</v>
      </c>
      <c r="BQ110" s="179">
        <v>0</v>
      </c>
      <c r="BR110" s="180">
        <f t="shared" si="109"/>
        <v>16</v>
      </c>
      <c r="BS110" s="179">
        <v>14</v>
      </c>
      <c r="BT110" s="179">
        <v>0</v>
      </c>
      <c r="BU110" s="180">
        <f t="shared" si="110"/>
        <v>14</v>
      </c>
      <c r="BV110" s="179">
        <v>17</v>
      </c>
      <c r="BW110" s="179">
        <v>1</v>
      </c>
      <c r="BX110" s="180">
        <f t="shared" si="111"/>
        <v>18</v>
      </c>
      <c r="BY110" s="179">
        <v>24</v>
      </c>
      <c r="BZ110" s="179">
        <v>0</v>
      </c>
      <c r="CA110" s="180">
        <f t="shared" si="112"/>
        <v>24</v>
      </c>
    </row>
    <row r="111" spans="1:79" x14ac:dyDescent="0.25">
      <c r="A111" s="178" t="s">
        <v>12</v>
      </c>
      <c r="B111" s="179">
        <v>4</v>
      </c>
      <c r="C111" s="179">
        <v>1</v>
      </c>
      <c r="D111" s="180">
        <f t="shared" si="98"/>
        <v>5</v>
      </c>
      <c r="E111" s="179">
        <v>10</v>
      </c>
      <c r="F111" s="179">
        <v>5</v>
      </c>
      <c r="G111" s="180">
        <f t="shared" si="113"/>
        <v>15</v>
      </c>
      <c r="H111" s="179">
        <v>10</v>
      </c>
      <c r="I111" s="179">
        <v>5</v>
      </c>
      <c r="J111" s="180">
        <f t="shared" si="114"/>
        <v>15</v>
      </c>
      <c r="K111" s="179">
        <v>7</v>
      </c>
      <c r="L111" s="179">
        <v>2</v>
      </c>
      <c r="M111" s="180">
        <f t="shared" si="115"/>
        <v>9</v>
      </c>
      <c r="N111" s="179">
        <v>11</v>
      </c>
      <c r="O111" s="179">
        <v>3</v>
      </c>
      <c r="P111" s="180">
        <f t="shared" si="116"/>
        <v>14</v>
      </c>
      <c r="Q111" s="179">
        <v>7</v>
      </c>
      <c r="R111" s="179">
        <v>1</v>
      </c>
      <c r="S111" s="180">
        <f t="shared" si="117"/>
        <v>8</v>
      </c>
      <c r="T111" s="179">
        <v>10</v>
      </c>
      <c r="U111" s="179">
        <v>1</v>
      </c>
      <c r="V111" s="180">
        <f t="shared" si="118"/>
        <v>11</v>
      </c>
      <c r="W111" s="179">
        <v>6</v>
      </c>
      <c r="X111" s="179">
        <v>1</v>
      </c>
      <c r="Y111" s="180">
        <f t="shared" si="119"/>
        <v>7</v>
      </c>
      <c r="Z111" s="179">
        <v>10</v>
      </c>
      <c r="AA111" s="179">
        <v>4</v>
      </c>
      <c r="AB111" s="180">
        <f t="shared" si="120"/>
        <v>14</v>
      </c>
      <c r="AC111" s="179">
        <v>12</v>
      </c>
      <c r="AD111" s="179">
        <v>4</v>
      </c>
      <c r="AE111" s="180">
        <f t="shared" si="121"/>
        <v>16</v>
      </c>
      <c r="AF111" s="179">
        <v>18</v>
      </c>
      <c r="AG111" s="179">
        <v>3</v>
      </c>
      <c r="AH111" s="180">
        <f t="shared" si="122"/>
        <v>21</v>
      </c>
      <c r="AI111" s="179">
        <v>14</v>
      </c>
      <c r="AJ111" s="179">
        <v>3</v>
      </c>
      <c r="AK111" s="180">
        <f t="shared" si="123"/>
        <v>17</v>
      </c>
      <c r="AL111" s="174">
        <f t="shared" si="124"/>
        <v>119</v>
      </c>
      <c r="AM111" s="174">
        <f t="shared" si="125"/>
        <v>33</v>
      </c>
      <c r="AN111" s="174">
        <f t="shared" si="126"/>
        <v>152</v>
      </c>
      <c r="AQ111" s="178" t="s">
        <v>12</v>
      </c>
      <c r="AR111" s="179">
        <v>10</v>
      </c>
      <c r="AS111" s="179">
        <v>0</v>
      </c>
      <c r="AT111" s="180">
        <f t="shared" si="101"/>
        <v>10</v>
      </c>
      <c r="AU111" s="179">
        <v>11</v>
      </c>
      <c r="AV111" s="179">
        <v>0</v>
      </c>
      <c r="AW111" s="180">
        <f t="shared" si="102"/>
        <v>11</v>
      </c>
      <c r="AX111" s="179">
        <v>10</v>
      </c>
      <c r="AY111" s="179">
        <v>0</v>
      </c>
      <c r="AZ111" s="180">
        <f t="shared" si="103"/>
        <v>10</v>
      </c>
      <c r="BA111" s="179">
        <v>14</v>
      </c>
      <c r="BB111" s="179">
        <v>1</v>
      </c>
      <c r="BC111" s="180">
        <f t="shared" si="104"/>
        <v>15</v>
      </c>
      <c r="BD111" s="179">
        <v>18</v>
      </c>
      <c r="BE111" s="179">
        <v>0</v>
      </c>
      <c r="BF111" s="180">
        <f t="shared" si="105"/>
        <v>18</v>
      </c>
      <c r="BG111" s="179">
        <v>17</v>
      </c>
      <c r="BH111" s="179">
        <v>0</v>
      </c>
      <c r="BI111" s="180">
        <f t="shared" si="106"/>
        <v>17</v>
      </c>
      <c r="BJ111" s="179">
        <v>17</v>
      </c>
      <c r="BK111" s="179">
        <v>0</v>
      </c>
      <c r="BL111" s="180">
        <f t="shared" si="107"/>
        <v>17</v>
      </c>
      <c r="BM111" s="179">
        <v>14</v>
      </c>
      <c r="BN111" s="179">
        <v>0</v>
      </c>
      <c r="BO111" s="180">
        <f t="shared" si="108"/>
        <v>14</v>
      </c>
      <c r="BP111" s="179">
        <v>14</v>
      </c>
      <c r="BQ111" s="179">
        <v>0</v>
      </c>
      <c r="BR111" s="180">
        <f t="shared" si="109"/>
        <v>14</v>
      </c>
      <c r="BS111" s="179">
        <v>12</v>
      </c>
      <c r="BT111" s="179">
        <v>0</v>
      </c>
      <c r="BU111" s="180">
        <f t="shared" si="110"/>
        <v>12</v>
      </c>
      <c r="BV111" s="179">
        <v>16</v>
      </c>
      <c r="BW111" s="179">
        <v>0</v>
      </c>
      <c r="BX111" s="180">
        <f t="shared" si="111"/>
        <v>16</v>
      </c>
      <c r="BY111" s="179">
        <v>25</v>
      </c>
      <c r="BZ111" s="179">
        <v>0</v>
      </c>
      <c r="CA111" s="180">
        <f t="shared" si="112"/>
        <v>25</v>
      </c>
    </row>
    <row r="112" spans="1:79" x14ac:dyDescent="0.25">
      <c r="A112" s="178" t="s">
        <v>23</v>
      </c>
      <c r="B112" s="179">
        <v>0</v>
      </c>
      <c r="C112" s="179">
        <v>0</v>
      </c>
      <c r="D112" s="180">
        <v>0</v>
      </c>
      <c r="E112" s="179">
        <v>0</v>
      </c>
      <c r="F112" s="179">
        <v>0</v>
      </c>
      <c r="G112" s="180">
        <v>0</v>
      </c>
      <c r="H112" s="179">
        <v>0</v>
      </c>
      <c r="I112" s="179">
        <v>0</v>
      </c>
      <c r="J112" s="180">
        <v>0</v>
      </c>
      <c r="K112" s="179">
        <v>0</v>
      </c>
      <c r="L112" s="179">
        <v>0</v>
      </c>
      <c r="M112" s="180">
        <v>0</v>
      </c>
      <c r="N112" s="179">
        <v>9</v>
      </c>
      <c r="O112" s="179">
        <v>8</v>
      </c>
      <c r="P112" s="180">
        <f t="shared" si="116"/>
        <v>17</v>
      </c>
      <c r="Q112" s="179">
        <v>13</v>
      </c>
      <c r="R112" s="179">
        <v>6</v>
      </c>
      <c r="S112" s="180">
        <f t="shared" si="117"/>
        <v>19</v>
      </c>
      <c r="T112" s="179">
        <v>16</v>
      </c>
      <c r="U112" s="179">
        <v>8</v>
      </c>
      <c r="V112" s="180">
        <f t="shared" si="118"/>
        <v>24</v>
      </c>
      <c r="W112" s="179">
        <v>11</v>
      </c>
      <c r="X112" s="179">
        <v>3</v>
      </c>
      <c r="Y112" s="180">
        <f t="shared" si="119"/>
        <v>14</v>
      </c>
      <c r="Z112" s="179">
        <v>18</v>
      </c>
      <c r="AA112" s="179">
        <v>11</v>
      </c>
      <c r="AB112" s="180">
        <f t="shared" si="120"/>
        <v>29</v>
      </c>
      <c r="AC112" s="179">
        <v>17</v>
      </c>
      <c r="AD112" s="179">
        <v>15</v>
      </c>
      <c r="AE112" s="180">
        <f t="shared" si="121"/>
        <v>32</v>
      </c>
      <c r="AF112" s="179">
        <v>33</v>
      </c>
      <c r="AG112" s="179">
        <v>10</v>
      </c>
      <c r="AH112" s="180">
        <f t="shared" si="122"/>
        <v>43</v>
      </c>
      <c r="AI112" s="179">
        <v>16</v>
      </c>
      <c r="AJ112" s="179">
        <v>16</v>
      </c>
      <c r="AK112" s="180">
        <f t="shared" si="123"/>
        <v>32</v>
      </c>
      <c r="AL112" s="174">
        <f t="shared" si="124"/>
        <v>133</v>
      </c>
      <c r="AM112" s="174">
        <f t="shared" si="125"/>
        <v>77</v>
      </c>
      <c r="AN112" s="174">
        <f t="shared" si="126"/>
        <v>210</v>
      </c>
      <c r="AQ112" s="178" t="s">
        <v>23</v>
      </c>
      <c r="AR112" s="179">
        <v>0</v>
      </c>
      <c r="AS112" s="179">
        <v>0</v>
      </c>
      <c r="AT112" s="180">
        <v>0</v>
      </c>
      <c r="AU112" s="179">
        <v>0</v>
      </c>
      <c r="AV112" s="179">
        <v>0</v>
      </c>
      <c r="AW112" s="180">
        <v>0</v>
      </c>
      <c r="AX112" s="179">
        <v>0</v>
      </c>
      <c r="AY112" s="179">
        <v>0</v>
      </c>
      <c r="AZ112" s="180">
        <v>0</v>
      </c>
      <c r="BA112" s="179">
        <v>0</v>
      </c>
      <c r="BB112" s="179">
        <v>0</v>
      </c>
      <c r="BC112" s="180">
        <v>0</v>
      </c>
      <c r="BD112" s="179">
        <v>9</v>
      </c>
      <c r="BE112" s="179">
        <v>1</v>
      </c>
      <c r="BF112" s="180">
        <f t="shared" si="105"/>
        <v>10</v>
      </c>
      <c r="BG112" s="179">
        <v>19</v>
      </c>
      <c r="BH112" s="179">
        <v>0</v>
      </c>
      <c r="BI112" s="180">
        <f t="shared" si="106"/>
        <v>19</v>
      </c>
      <c r="BJ112" s="179">
        <v>18</v>
      </c>
      <c r="BK112" s="179">
        <v>0</v>
      </c>
      <c r="BL112" s="180">
        <f t="shared" si="107"/>
        <v>18</v>
      </c>
      <c r="BM112" s="179">
        <v>26</v>
      </c>
      <c r="BN112" s="179">
        <v>0</v>
      </c>
      <c r="BO112" s="180">
        <f t="shared" si="108"/>
        <v>26</v>
      </c>
      <c r="BP112" s="179">
        <v>21</v>
      </c>
      <c r="BQ112" s="179">
        <v>0</v>
      </c>
      <c r="BR112" s="180">
        <f t="shared" si="109"/>
        <v>21</v>
      </c>
      <c r="BS112" s="179">
        <v>26</v>
      </c>
      <c r="BT112" s="179">
        <v>1</v>
      </c>
      <c r="BU112" s="180">
        <f t="shared" si="110"/>
        <v>27</v>
      </c>
      <c r="BV112" s="179">
        <v>33</v>
      </c>
      <c r="BW112" s="179">
        <v>2</v>
      </c>
      <c r="BX112" s="180">
        <f t="shared" si="111"/>
        <v>35</v>
      </c>
      <c r="BY112" s="179">
        <v>44</v>
      </c>
      <c r="BZ112" s="179">
        <v>1</v>
      </c>
      <c r="CA112" s="180">
        <f t="shared" si="112"/>
        <v>45</v>
      </c>
    </row>
    <row r="113" spans="1:79" x14ac:dyDescent="0.25">
      <c r="A113" s="178" t="s">
        <v>103</v>
      </c>
      <c r="B113" s="179">
        <v>53</v>
      </c>
      <c r="C113" s="179">
        <v>53</v>
      </c>
      <c r="D113" s="180">
        <f>SUM(B113:C113)</f>
        <v>106</v>
      </c>
      <c r="E113" s="179">
        <v>57</v>
      </c>
      <c r="F113" s="179">
        <v>67</v>
      </c>
      <c r="G113" s="180">
        <f t="shared" si="113"/>
        <v>124</v>
      </c>
      <c r="H113" s="179">
        <v>56</v>
      </c>
      <c r="I113" s="179">
        <v>67</v>
      </c>
      <c r="J113" s="180">
        <f t="shared" si="114"/>
        <v>123</v>
      </c>
      <c r="K113" s="179">
        <v>58</v>
      </c>
      <c r="L113" s="179">
        <v>49</v>
      </c>
      <c r="M113" s="180">
        <f t="shared" si="115"/>
        <v>107</v>
      </c>
      <c r="N113" s="179">
        <v>46</v>
      </c>
      <c r="O113" s="179">
        <v>69</v>
      </c>
      <c r="P113" s="180">
        <f t="shared" si="116"/>
        <v>115</v>
      </c>
      <c r="Q113" s="179">
        <v>29</v>
      </c>
      <c r="R113" s="179">
        <v>24</v>
      </c>
      <c r="S113" s="180">
        <f t="shared" si="117"/>
        <v>53</v>
      </c>
      <c r="T113" s="179">
        <v>26</v>
      </c>
      <c r="U113" s="179">
        <v>33</v>
      </c>
      <c r="V113" s="180">
        <f t="shared" si="118"/>
        <v>59</v>
      </c>
      <c r="W113" s="179">
        <v>21</v>
      </c>
      <c r="X113" s="179">
        <v>36</v>
      </c>
      <c r="Y113" s="180">
        <f t="shared" si="119"/>
        <v>57</v>
      </c>
      <c r="Z113" s="179">
        <v>44</v>
      </c>
      <c r="AA113" s="179">
        <v>41</v>
      </c>
      <c r="AB113" s="180">
        <f t="shared" si="120"/>
        <v>85</v>
      </c>
      <c r="AC113" s="179">
        <v>38</v>
      </c>
      <c r="AD113" s="179">
        <v>74</v>
      </c>
      <c r="AE113" s="180">
        <f t="shared" si="121"/>
        <v>112</v>
      </c>
      <c r="AF113" s="179">
        <v>28</v>
      </c>
      <c r="AG113" s="179">
        <v>71</v>
      </c>
      <c r="AH113" s="180">
        <f t="shared" si="122"/>
        <v>99</v>
      </c>
      <c r="AI113" s="179">
        <v>18</v>
      </c>
      <c r="AJ113" s="179">
        <v>36</v>
      </c>
      <c r="AK113" s="180">
        <f t="shared" si="123"/>
        <v>54</v>
      </c>
      <c r="AL113" s="174">
        <f t="shared" si="124"/>
        <v>474</v>
      </c>
      <c r="AM113" s="174">
        <f t="shared" si="125"/>
        <v>620</v>
      </c>
      <c r="AN113" s="174">
        <f t="shared" si="126"/>
        <v>1094</v>
      </c>
      <c r="AQ113" s="178" t="s">
        <v>103</v>
      </c>
      <c r="AR113" s="179">
        <v>30</v>
      </c>
      <c r="AS113" s="179">
        <v>1</v>
      </c>
      <c r="AT113" s="180">
        <f>SUM(AR113:AS113)</f>
        <v>31</v>
      </c>
      <c r="AU113" s="179">
        <v>25</v>
      </c>
      <c r="AV113" s="179">
        <v>0</v>
      </c>
      <c r="AW113" s="180">
        <f>AU113+AV113</f>
        <v>25</v>
      </c>
      <c r="AX113" s="179">
        <v>32</v>
      </c>
      <c r="AY113" s="179">
        <v>1</v>
      </c>
      <c r="AZ113" s="180">
        <f>AX113+AY113</f>
        <v>33</v>
      </c>
      <c r="BA113" s="179">
        <v>33</v>
      </c>
      <c r="BB113" s="179">
        <v>4</v>
      </c>
      <c r="BC113" s="180">
        <f>BA113+BB113</f>
        <v>37</v>
      </c>
      <c r="BD113" s="179">
        <v>19</v>
      </c>
      <c r="BE113" s="179">
        <v>1</v>
      </c>
      <c r="BF113" s="180">
        <f t="shared" si="105"/>
        <v>20</v>
      </c>
      <c r="BG113" s="179">
        <v>30</v>
      </c>
      <c r="BH113" s="179">
        <v>2</v>
      </c>
      <c r="BI113" s="180">
        <f t="shared" si="106"/>
        <v>32</v>
      </c>
      <c r="BJ113" s="179">
        <v>20</v>
      </c>
      <c r="BK113" s="179">
        <v>0</v>
      </c>
      <c r="BL113" s="180">
        <f t="shared" si="107"/>
        <v>20</v>
      </c>
      <c r="BM113" s="179">
        <v>8</v>
      </c>
      <c r="BN113" s="179">
        <v>2</v>
      </c>
      <c r="BO113" s="180">
        <f t="shared" si="108"/>
        <v>10</v>
      </c>
      <c r="BP113" s="179">
        <v>1</v>
      </c>
      <c r="BQ113" s="179">
        <v>2</v>
      </c>
      <c r="BR113" s="180">
        <f t="shared" si="109"/>
        <v>3</v>
      </c>
      <c r="BS113" s="179">
        <v>16</v>
      </c>
      <c r="BT113" s="179">
        <v>2</v>
      </c>
      <c r="BU113" s="180">
        <f t="shared" si="110"/>
        <v>18</v>
      </c>
      <c r="BV113" s="179">
        <v>0</v>
      </c>
      <c r="BW113" s="179">
        <v>3</v>
      </c>
      <c r="BX113" s="180">
        <f t="shared" si="111"/>
        <v>3</v>
      </c>
      <c r="BY113" s="179">
        <v>0</v>
      </c>
      <c r="BZ113" s="179">
        <v>1</v>
      </c>
      <c r="CA113" s="180">
        <f t="shared" si="112"/>
        <v>1</v>
      </c>
    </row>
    <row r="114" spans="1:79" s="183" customFormat="1" x14ac:dyDescent="0.25">
      <c r="A114" s="181" t="s">
        <v>14</v>
      </c>
      <c r="B114" s="182">
        <f>SUM(B99:B113)</f>
        <v>276</v>
      </c>
      <c r="C114" s="182">
        <f t="shared" ref="C114:AN114" si="127">SUM(C99:C113)</f>
        <v>167</v>
      </c>
      <c r="D114" s="182">
        <f t="shared" si="127"/>
        <v>443</v>
      </c>
      <c r="E114" s="182">
        <f t="shared" si="127"/>
        <v>342</v>
      </c>
      <c r="F114" s="182">
        <f t="shared" si="127"/>
        <v>197</v>
      </c>
      <c r="G114" s="182">
        <f t="shared" si="127"/>
        <v>539</v>
      </c>
      <c r="H114" s="182">
        <f t="shared" si="127"/>
        <v>356</v>
      </c>
      <c r="I114" s="182">
        <f t="shared" si="127"/>
        <v>191</v>
      </c>
      <c r="J114" s="182">
        <f t="shared" si="127"/>
        <v>547</v>
      </c>
      <c r="K114" s="182">
        <f t="shared" si="127"/>
        <v>362</v>
      </c>
      <c r="L114" s="182">
        <f t="shared" si="127"/>
        <v>165</v>
      </c>
      <c r="M114" s="182">
        <f t="shared" si="127"/>
        <v>527</v>
      </c>
      <c r="N114" s="182">
        <f t="shared" si="127"/>
        <v>312</v>
      </c>
      <c r="O114" s="182">
        <f t="shared" si="127"/>
        <v>193</v>
      </c>
      <c r="P114" s="182">
        <f t="shared" si="127"/>
        <v>505</v>
      </c>
      <c r="Q114" s="182">
        <f t="shared" si="127"/>
        <v>253</v>
      </c>
      <c r="R114" s="182">
        <f t="shared" si="127"/>
        <v>129</v>
      </c>
      <c r="S114" s="182">
        <f t="shared" si="127"/>
        <v>382</v>
      </c>
      <c r="T114" s="182">
        <f t="shared" si="127"/>
        <v>246</v>
      </c>
      <c r="U114" s="182">
        <f t="shared" si="127"/>
        <v>143</v>
      </c>
      <c r="V114" s="182">
        <f t="shared" si="127"/>
        <v>389</v>
      </c>
      <c r="W114" s="182">
        <f t="shared" si="127"/>
        <v>203</v>
      </c>
      <c r="X114" s="182">
        <f t="shared" si="127"/>
        <v>150</v>
      </c>
      <c r="Y114" s="182">
        <f t="shared" si="127"/>
        <v>353</v>
      </c>
      <c r="Z114" s="182">
        <f t="shared" si="127"/>
        <v>297</v>
      </c>
      <c r="AA114" s="182">
        <f t="shared" si="127"/>
        <v>203</v>
      </c>
      <c r="AB114" s="182">
        <f t="shared" si="127"/>
        <v>500</v>
      </c>
      <c r="AC114" s="182">
        <f t="shared" si="127"/>
        <v>336</v>
      </c>
      <c r="AD114" s="182">
        <f t="shared" si="127"/>
        <v>231</v>
      </c>
      <c r="AE114" s="182">
        <f t="shared" si="127"/>
        <v>567</v>
      </c>
      <c r="AF114" s="182">
        <f t="shared" si="127"/>
        <v>346</v>
      </c>
      <c r="AG114" s="182">
        <f t="shared" si="127"/>
        <v>214</v>
      </c>
      <c r="AH114" s="182">
        <f t="shared" si="127"/>
        <v>560</v>
      </c>
      <c r="AI114" s="182">
        <f t="shared" si="127"/>
        <v>283</v>
      </c>
      <c r="AJ114" s="182">
        <f t="shared" si="127"/>
        <v>212</v>
      </c>
      <c r="AK114" s="182">
        <f t="shared" si="127"/>
        <v>495</v>
      </c>
      <c r="AL114" s="182">
        <f t="shared" si="127"/>
        <v>3612</v>
      </c>
      <c r="AM114" s="182">
        <f t="shared" si="127"/>
        <v>2195</v>
      </c>
      <c r="AN114" s="182">
        <f t="shared" si="127"/>
        <v>5807</v>
      </c>
      <c r="AP114" s="305"/>
      <c r="AQ114" s="184" t="s">
        <v>14</v>
      </c>
      <c r="AR114" s="185">
        <v>425</v>
      </c>
      <c r="AS114" s="185">
        <v>9</v>
      </c>
      <c r="AT114" s="185">
        <f>SUM(AT99:AT113)</f>
        <v>434</v>
      </c>
      <c r="AU114" s="185">
        <v>461</v>
      </c>
      <c r="AV114" s="185">
        <v>3</v>
      </c>
      <c r="AW114" s="185">
        <f>SUM(AW99:AW113)</f>
        <v>464</v>
      </c>
      <c r="AX114" s="185">
        <v>535</v>
      </c>
      <c r="AY114" s="185">
        <v>8</v>
      </c>
      <c r="AZ114" s="185">
        <f>SUM(AZ99:AZ113)</f>
        <v>543</v>
      </c>
      <c r="BA114" s="185">
        <v>633</v>
      </c>
      <c r="BB114" s="185">
        <v>15</v>
      </c>
      <c r="BC114" s="185">
        <f t="shared" ref="BC114:CA114" si="128">SUM(BC99:BC113)</f>
        <v>648</v>
      </c>
      <c r="BD114" s="185">
        <f t="shared" si="128"/>
        <v>654</v>
      </c>
      <c r="BE114" s="185">
        <f t="shared" si="128"/>
        <v>13</v>
      </c>
      <c r="BF114" s="185">
        <f t="shared" si="128"/>
        <v>667</v>
      </c>
      <c r="BG114" s="185">
        <f t="shared" si="128"/>
        <v>674</v>
      </c>
      <c r="BH114" s="185">
        <f t="shared" si="128"/>
        <v>11</v>
      </c>
      <c r="BI114" s="185">
        <f t="shared" si="128"/>
        <v>685</v>
      </c>
      <c r="BJ114" s="185">
        <f t="shared" si="128"/>
        <v>621</v>
      </c>
      <c r="BK114" s="185">
        <f t="shared" si="128"/>
        <v>10</v>
      </c>
      <c r="BL114" s="185">
        <f t="shared" si="128"/>
        <v>631</v>
      </c>
      <c r="BM114" s="185">
        <f t="shared" si="128"/>
        <v>689</v>
      </c>
      <c r="BN114" s="185">
        <f t="shared" si="128"/>
        <v>17</v>
      </c>
      <c r="BO114" s="185">
        <f t="shared" si="128"/>
        <v>706</v>
      </c>
      <c r="BP114" s="185">
        <f t="shared" si="128"/>
        <v>593</v>
      </c>
      <c r="BQ114" s="185">
        <f t="shared" si="128"/>
        <v>12</v>
      </c>
      <c r="BR114" s="185">
        <f t="shared" si="128"/>
        <v>605</v>
      </c>
      <c r="BS114" s="185">
        <f t="shared" si="128"/>
        <v>622</v>
      </c>
      <c r="BT114" s="185">
        <f t="shared" si="128"/>
        <v>75</v>
      </c>
      <c r="BU114" s="185">
        <f t="shared" si="128"/>
        <v>697</v>
      </c>
      <c r="BV114" s="185">
        <f t="shared" si="128"/>
        <v>664</v>
      </c>
      <c r="BW114" s="185">
        <f t="shared" si="128"/>
        <v>68</v>
      </c>
      <c r="BX114" s="185">
        <f t="shared" si="128"/>
        <v>732</v>
      </c>
      <c r="BY114" s="185">
        <f t="shared" si="128"/>
        <v>655</v>
      </c>
      <c r="BZ114" s="185">
        <f t="shared" si="128"/>
        <v>32</v>
      </c>
      <c r="CA114" s="185">
        <f t="shared" si="128"/>
        <v>687</v>
      </c>
    </row>
  </sheetData>
  <mergeCells count="53">
    <mergeCell ref="BV40:BX40"/>
    <mergeCell ref="BY40:CA40"/>
    <mergeCell ref="CB40:CD40"/>
    <mergeCell ref="BG40:BI40"/>
    <mergeCell ref="BJ40:BL40"/>
    <mergeCell ref="BM40:BO40"/>
    <mergeCell ref="BP40:BR40"/>
    <mergeCell ref="BS40:BU40"/>
    <mergeCell ref="AR40:AT40"/>
    <mergeCell ref="AU40:AW40"/>
    <mergeCell ref="AX40:AZ40"/>
    <mergeCell ref="BA40:BC40"/>
    <mergeCell ref="BD40:BF40"/>
    <mergeCell ref="AF40:AH40"/>
    <mergeCell ref="AI40:AK40"/>
    <mergeCell ref="AL40:AN40"/>
    <mergeCell ref="Q40:S40"/>
    <mergeCell ref="T40:V40"/>
    <mergeCell ref="W40:Y40"/>
    <mergeCell ref="Z40:AB40"/>
    <mergeCell ref="AC40:AE40"/>
    <mergeCell ref="B40:D40"/>
    <mergeCell ref="E40:G40"/>
    <mergeCell ref="H40:J40"/>
    <mergeCell ref="K40:M40"/>
    <mergeCell ref="N40:P40"/>
    <mergeCell ref="AI73:AK73"/>
    <mergeCell ref="AL73:AN73"/>
    <mergeCell ref="Q73:S73"/>
    <mergeCell ref="B73:D73"/>
    <mergeCell ref="H73:J73"/>
    <mergeCell ref="K73:M73"/>
    <mergeCell ref="N73:P73"/>
    <mergeCell ref="E73:G73"/>
    <mergeCell ref="T73:V73"/>
    <mergeCell ref="W73:Y73"/>
    <mergeCell ref="Z73:AB73"/>
    <mergeCell ref="AC73:AE73"/>
    <mergeCell ref="AF73:AH73"/>
    <mergeCell ref="AL97:AN97"/>
    <mergeCell ref="CB73:CD73"/>
    <mergeCell ref="BM73:BO73"/>
    <mergeCell ref="BP73:BR73"/>
    <mergeCell ref="BS73:BU73"/>
    <mergeCell ref="BV73:BX73"/>
    <mergeCell ref="BY73:CA73"/>
    <mergeCell ref="BJ73:BL73"/>
    <mergeCell ref="AR73:AT73"/>
    <mergeCell ref="AU73:AW73"/>
    <mergeCell ref="AX73:AZ73"/>
    <mergeCell ref="BA73:BC73"/>
    <mergeCell ref="BD73:BF73"/>
    <mergeCell ref="BG73:BI73"/>
  </mergeCells>
  <conditionalFormatting sqref="A4:A23">
    <cfRule type="duplicateValues" dxfId="34" priority="6"/>
  </conditionalFormatting>
  <conditionalFormatting sqref="A23:A32">
    <cfRule type="duplicateValues" dxfId="33" priority="7"/>
  </conditionalFormatting>
  <conditionalFormatting sqref="A33 A36">
    <cfRule type="duplicateValues" dxfId="32" priority="5"/>
  </conditionalFormatting>
  <conditionalFormatting sqref="A34:A35">
    <cfRule type="duplicateValues" dxfId="31" priority="1"/>
  </conditionalFormatting>
  <conditionalFormatting sqref="AQ4:AQ23">
    <cfRule type="duplicateValues" dxfId="30" priority="3"/>
  </conditionalFormatting>
  <conditionalFormatting sqref="AQ23:AQ32">
    <cfRule type="duplicateValues" dxfId="29" priority="4"/>
  </conditionalFormatting>
  <conditionalFormatting sqref="AQ33:AQ36">
    <cfRule type="duplicateValues" dxfId="28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2251-23B6-463E-BBC5-C7378ECE999B}">
  <dimension ref="A1:AE169"/>
  <sheetViews>
    <sheetView topLeftCell="A5" workbookViewId="0">
      <selection activeCell="T35" sqref="T35"/>
    </sheetView>
  </sheetViews>
  <sheetFormatPr defaultRowHeight="12" x14ac:dyDescent="0.25"/>
  <cols>
    <col min="1" max="1" width="17.44140625" style="174" bestFit="1" customWidth="1"/>
    <col min="2" max="2" width="7.88671875" style="174" bestFit="1" customWidth="1"/>
    <col min="3" max="5" width="8" style="174" bestFit="1" customWidth="1"/>
    <col min="6" max="6" width="8.33203125" style="174" bestFit="1" customWidth="1"/>
    <col min="7" max="12" width="8" style="174" bestFit="1" customWidth="1"/>
    <col min="13" max="13" width="8.5546875" style="174" bestFit="1" customWidth="1"/>
    <col min="14" max="14" width="8.88671875" style="174" bestFit="1" customWidth="1"/>
    <col min="15" max="15" width="5.5546875" style="174" bestFit="1" customWidth="1"/>
    <col min="16" max="16" width="1.77734375" style="255" customWidth="1"/>
    <col min="17" max="17" width="14.44140625" style="174" bestFit="1" customWidth="1"/>
    <col min="18" max="28" width="7.109375" style="174" bestFit="1" customWidth="1"/>
    <col min="29" max="29" width="8.5546875" style="174" bestFit="1" customWidth="1"/>
    <col min="30" max="30" width="8" style="174" bestFit="1" customWidth="1"/>
    <col min="31" max="31" width="9" style="174" bestFit="1" customWidth="1"/>
    <col min="32" max="16384" width="8.88671875" style="174"/>
  </cols>
  <sheetData>
    <row r="1" spans="1:21" ht="12.6" thickBot="1" x14ac:dyDescent="0.3"/>
    <row r="2" spans="1:21" x14ac:dyDescent="0.25">
      <c r="A2" s="216" t="s">
        <v>136</v>
      </c>
      <c r="B2" s="314">
        <v>46113</v>
      </c>
      <c r="C2" s="314">
        <v>46143</v>
      </c>
      <c r="D2" s="314">
        <v>46174</v>
      </c>
      <c r="E2" s="314">
        <v>46204</v>
      </c>
      <c r="Q2" s="292" t="s">
        <v>137</v>
      </c>
      <c r="R2" s="293">
        <v>46113</v>
      </c>
      <c r="S2" s="293">
        <v>46143</v>
      </c>
      <c r="T2" s="314">
        <v>46174</v>
      </c>
      <c r="U2" s="314">
        <v>46204</v>
      </c>
    </row>
    <row r="3" spans="1:21" x14ac:dyDescent="0.25">
      <c r="A3" s="315" t="s">
        <v>4</v>
      </c>
      <c r="B3" s="191">
        <v>7581995</v>
      </c>
      <c r="C3" s="191">
        <v>6699525</v>
      </c>
      <c r="D3" s="174">
        <v>7224655</v>
      </c>
      <c r="E3" s="174">
        <v>9759321</v>
      </c>
      <c r="Q3" s="294" t="s">
        <v>4</v>
      </c>
      <c r="R3" s="174">
        <v>174110</v>
      </c>
      <c r="S3" s="174">
        <v>341539</v>
      </c>
      <c r="T3" s="174">
        <v>444545</v>
      </c>
      <c r="U3" s="174">
        <v>390245</v>
      </c>
    </row>
    <row r="4" spans="1:21" x14ac:dyDescent="0.25">
      <c r="A4" s="315" t="s">
        <v>134</v>
      </c>
      <c r="B4" s="191">
        <v>46500</v>
      </c>
      <c r="C4" s="191">
        <v>63000</v>
      </c>
      <c r="D4" s="174">
        <v>385500</v>
      </c>
      <c r="E4" s="174">
        <v>514000</v>
      </c>
      <c r="Q4" s="294" t="s">
        <v>134</v>
      </c>
      <c r="R4" s="174">
        <v>0</v>
      </c>
      <c r="S4" s="174">
        <v>0</v>
      </c>
      <c r="T4" s="174">
        <v>0</v>
      </c>
      <c r="U4" s="174">
        <v>0</v>
      </c>
    </row>
    <row r="5" spans="1:21" x14ac:dyDescent="0.25">
      <c r="A5" s="189" t="s">
        <v>8</v>
      </c>
      <c r="B5" s="191">
        <v>2518388</v>
      </c>
      <c r="C5" s="191">
        <v>2534591</v>
      </c>
      <c r="D5" s="174">
        <v>3848492</v>
      </c>
      <c r="E5" s="174">
        <v>3796980</v>
      </c>
      <c r="Q5" s="295" t="s">
        <v>8</v>
      </c>
      <c r="R5" s="174">
        <v>33848</v>
      </c>
      <c r="S5" s="174">
        <v>112810</v>
      </c>
      <c r="T5" s="174">
        <v>226061</v>
      </c>
      <c r="U5" s="174">
        <v>142080</v>
      </c>
    </row>
    <row r="6" spans="1:21" x14ac:dyDescent="0.25">
      <c r="A6" s="315" t="s">
        <v>135</v>
      </c>
      <c r="B6" s="191">
        <v>1477200</v>
      </c>
      <c r="C6" s="191">
        <v>1422750</v>
      </c>
      <c r="D6" s="174">
        <v>1786320</v>
      </c>
      <c r="E6" s="174">
        <v>2296650</v>
      </c>
      <c r="Q6" s="294" t="s">
        <v>135</v>
      </c>
      <c r="R6" s="174">
        <v>77310</v>
      </c>
      <c r="S6" s="174">
        <v>109045</v>
      </c>
      <c r="T6" s="174">
        <v>135960</v>
      </c>
      <c r="U6" s="174">
        <v>239310</v>
      </c>
    </row>
    <row r="7" spans="1:21" x14ac:dyDescent="0.25">
      <c r="A7" s="189" t="s">
        <v>7</v>
      </c>
      <c r="B7" s="191">
        <v>2435437</v>
      </c>
      <c r="C7" s="191">
        <v>2422954</v>
      </c>
      <c r="D7" s="174">
        <v>3048353</v>
      </c>
      <c r="E7" s="174">
        <v>2765790</v>
      </c>
      <c r="Q7" s="295" t="s">
        <v>7</v>
      </c>
      <c r="R7" s="174">
        <v>199108</v>
      </c>
      <c r="S7" s="174">
        <v>191828</v>
      </c>
      <c r="T7" s="174">
        <v>322979</v>
      </c>
      <c r="U7" s="174">
        <v>231855</v>
      </c>
    </row>
    <row r="8" spans="1:21" x14ac:dyDescent="0.25">
      <c r="A8" s="189" t="s">
        <v>13</v>
      </c>
      <c r="B8" s="191">
        <v>1374661</v>
      </c>
      <c r="C8" s="191">
        <v>1034130</v>
      </c>
      <c r="D8" s="174">
        <v>1452840</v>
      </c>
      <c r="E8" s="174">
        <v>1600213</v>
      </c>
      <c r="Q8" s="295" t="s">
        <v>13</v>
      </c>
      <c r="R8" s="174">
        <v>43440</v>
      </c>
      <c r="S8" s="174">
        <v>52002</v>
      </c>
      <c r="T8" s="174">
        <v>51100</v>
      </c>
      <c r="U8" s="174">
        <v>33024</v>
      </c>
    </row>
    <row r="9" spans="1:21" x14ac:dyDescent="0.25">
      <c r="A9" s="189" t="s">
        <v>95</v>
      </c>
      <c r="B9" s="191">
        <v>2436506</v>
      </c>
      <c r="C9" s="191">
        <v>2245588</v>
      </c>
      <c r="D9" s="174">
        <v>2113350</v>
      </c>
      <c r="E9" s="174">
        <v>2084125</v>
      </c>
      <c r="Q9" s="295" t="s">
        <v>95</v>
      </c>
      <c r="R9" s="174">
        <v>91647</v>
      </c>
      <c r="S9" s="174">
        <v>133680</v>
      </c>
      <c r="T9" s="174">
        <v>162268</v>
      </c>
      <c r="U9" s="174">
        <v>151093</v>
      </c>
    </row>
    <row r="10" spans="1:21" x14ac:dyDescent="0.25">
      <c r="A10" s="189" t="s">
        <v>126</v>
      </c>
      <c r="B10" s="191">
        <v>0</v>
      </c>
      <c r="C10" s="191">
        <v>0</v>
      </c>
      <c r="D10" s="174">
        <v>0</v>
      </c>
      <c r="E10" s="174">
        <v>108800</v>
      </c>
      <c r="Q10" s="295" t="s">
        <v>126</v>
      </c>
      <c r="R10" s="174">
        <v>0</v>
      </c>
      <c r="S10" s="174">
        <v>0</v>
      </c>
      <c r="T10" s="174">
        <v>0</v>
      </c>
      <c r="U10" s="174">
        <v>10900</v>
      </c>
    </row>
    <row r="11" spans="1:21" x14ac:dyDescent="0.25">
      <c r="A11" s="189" t="s">
        <v>127</v>
      </c>
      <c r="B11" s="191">
        <v>3079421</v>
      </c>
      <c r="C11" s="191">
        <v>3505910</v>
      </c>
      <c r="D11" s="174">
        <v>4286701</v>
      </c>
      <c r="E11" s="174">
        <v>5533440</v>
      </c>
      <c r="Q11" s="295" t="s">
        <v>127</v>
      </c>
      <c r="R11" s="174">
        <v>189251</v>
      </c>
      <c r="S11" s="174">
        <v>204623</v>
      </c>
      <c r="T11" s="174">
        <v>330410</v>
      </c>
      <c r="U11" s="174">
        <v>392533</v>
      </c>
    </row>
    <row r="12" spans="1:21" x14ac:dyDescent="0.25">
      <c r="A12" s="189" t="s">
        <v>3</v>
      </c>
      <c r="B12" s="191">
        <v>4731307</v>
      </c>
      <c r="C12" s="191">
        <v>3868551</v>
      </c>
      <c r="D12" s="174">
        <v>6243375</v>
      </c>
      <c r="E12" s="174">
        <v>3692413</v>
      </c>
      <c r="Q12" s="295" t="s">
        <v>3</v>
      </c>
      <c r="R12" s="174">
        <v>150070</v>
      </c>
      <c r="S12" s="174">
        <v>193914</v>
      </c>
      <c r="T12" s="174">
        <v>383035</v>
      </c>
      <c r="U12" s="174">
        <v>232695</v>
      </c>
    </row>
    <row r="13" spans="1:21" x14ac:dyDescent="0.25">
      <c r="A13" s="189" t="s">
        <v>128</v>
      </c>
      <c r="B13" s="191">
        <v>4702363</v>
      </c>
      <c r="C13" s="191">
        <v>5745151</v>
      </c>
      <c r="D13" s="174">
        <v>5743311</v>
      </c>
      <c r="E13" s="174">
        <v>6927685</v>
      </c>
      <c r="Q13" s="295" t="s">
        <v>128</v>
      </c>
      <c r="R13" s="174">
        <v>286608</v>
      </c>
      <c r="S13" s="174">
        <v>738162</v>
      </c>
      <c r="T13" s="174">
        <v>540374</v>
      </c>
      <c r="U13" s="174">
        <v>702768</v>
      </c>
    </row>
    <row r="14" spans="1:21" x14ac:dyDescent="0.25">
      <c r="A14" s="189" t="s">
        <v>118</v>
      </c>
      <c r="B14" s="191">
        <v>654299</v>
      </c>
      <c r="C14" s="191">
        <v>784150</v>
      </c>
      <c r="D14" s="174">
        <v>1245495</v>
      </c>
      <c r="E14" s="174">
        <v>734610</v>
      </c>
      <c r="Q14" s="295" t="s">
        <v>118</v>
      </c>
      <c r="R14" s="174">
        <v>52305</v>
      </c>
      <c r="S14" s="174">
        <v>56034</v>
      </c>
      <c r="T14" s="174">
        <v>31545</v>
      </c>
      <c r="U14" s="174">
        <v>13525</v>
      </c>
    </row>
    <row r="15" spans="1:21" x14ac:dyDescent="0.25">
      <c r="A15" s="189" t="s">
        <v>10</v>
      </c>
      <c r="B15" s="191">
        <v>3910795</v>
      </c>
      <c r="C15" s="191">
        <v>2950991</v>
      </c>
      <c r="D15" s="174">
        <v>3882811</v>
      </c>
      <c r="E15" s="174">
        <v>5012932</v>
      </c>
      <c r="Q15" s="295" t="s">
        <v>10</v>
      </c>
      <c r="R15" s="174">
        <v>124016</v>
      </c>
      <c r="S15" s="174">
        <v>136231</v>
      </c>
      <c r="T15" s="174">
        <v>200516</v>
      </c>
      <c r="U15" s="174">
        <v>208469</v>
      </c>
    </row>
    <row r="16" spans="1:21" x14ac:dyDescent="0.25">
      <c r="A16" s="189" t="s">
        <v>11</v>
      </c>
      <c r="B16" s="191">
        <v>2684870</v>
      </c>
      <c r="C16" s="191">
        <v>2992580</v>
      </c>
      <c r="D16" s="174">
        <v>2915025</v>
      </c>
      <c r="E16" s="174">
        <v>2781630</v>
      </c>
      <c r="Q16" s="295" t="s">
        <v>11</v>
      </c>
      <c r="R16" s="174">
        <v>125700</v>
      </c>
      <c r="S16" s="174">
        <v>231600</v>
      </c>
      <c r="T16" s="174">
        <v>341123</v>
      </c>
      <c r="U16" s="174">
        <v>308544</v>
      </c>
    </row>
    <row r="17" spans="1:21" x14ac:dyDescent="0.25">
      <c r="A17" s="189" t="s">
        <v>86</v>
      </c>
      <c r="B17" s="191">
        <v>2568445</v>
      </c>
      <c r="C17" s="191">
        <v>2364990</v>
      </c>
      <c r="D17" s="174">
        <v>2682850</v>
      </c>
      <c r="E17" s="174">
        <v>3431600</v>
      </c>
      <c r="Q17" s="295" t="s">
        <v>86</v>
      </c>
      <c r="R17" s="174">
        <v>158082</v>
      </c>
      <c r="S17" s="174">
        <v>210296</v>
      </c>
      <c r="T17" s="174">
        <v>215570</v>
      </c>
      <c r="U17" s="174">
        <v>201583</v>
      </c>
    </row>
    <row r="18" spans="1:21" x14ac:dyDescent="0.25">
      <c r="A18" s="189" t="s">
        <v>5</v>
      </c>
      <c r="B18" s="191">
        <v>4780582</v>
      </c>
      <c r="C18" s="191">
        <v>4662166</v>
      </c>
      <c r="D18" s="174">
        <v>3604081</v>
      </c>
      <c r="E18" s="174">
        <v>3778333</v>
      </c>
      <c r="Q18" s="295" t="s">
        <v>5</v>
      </c>
      <c r="R18" s="174">
        <v>173796</v>
      </c>
      <c r="S18" s="174">
        <v>226506</v>
      </c>
      <c r="T18" s="174">
        <v>169153</v>
      </c>
      <c r="U18" s="174">
        <v>140126</v>
      </c>
    </row>
    <row r="19" spans="1:21" x14ac:dyDescent="0.25">
      <c r="A19" s="189" t="s">
        <v>23</v>
      </c>
      <c r="B19" s="191">
        <v>4570445</v>
      </c>
      <c r="C19" s="191">
        <v>5308236</v>
      </c>
      <c r="D19" s="174">
        <v>4427621</v>
      </c>
      <c r="E19" s="174">
        <v>3886871</v>
      </c>
      <c r="Q19" s="295" t="s">
        <v>23</v>
      </c>
      <c r="R19" s="174">
        <v>200470</v>
      </c>
      <c r="S19" s="174">
        <v>356259</v>
      </c>
      <c r="T19" s="174">
        <v>235655</v>
      </c>
      <c r="U19" s="174">
        <v>244356</v>
      </c>
    </row>
    <row r="20" spans="1:21" x14ac:dyDescent="0.25">
      <c r="A20" s="189" t="s">
        <v>87</v>
      </c>
      <c r="B20" s="191">
        <v>2523370</v>
      </c>
      <c r="C20" s="191">
        <v>2047395</v>
      </c>
      <c r="D20" s="174">
        <v>1887110</v>
      </c>
      <c r="E20" s="174">
        <v>963600</v>
      </c>
      <c r="Q20" s="295" t="s">
        <v>87</v>
      </c>
      <c r="R20" s="174">
        <v>84960</v>
      </c>
      <c r="S20" s="174">
        <v>224018</v>
      </c>
      <c r="T20" s="174">
        <v>68855</v>
      </c>
      <c r="U20" s="174">
        <v>42700</v>
      </c>
    </row>
    <row r="21" spans="1:21" x14ac:dyDescent="0.25">
      <c r="A21" s="189" t="s">
        <v>129</v>
      </c>
      <c r="B21" s="191">
        <v>5921751</v>
      </c>
      <c r="C21" s="191">
        <v>2084979</v>
      </c>
      <c r="D21" s="174">
        <v>5486011</v>
      </c>
      <c r="E21" s="174">
        <v>2968945</v>
      </c>
      <c r="Q21" s="295" t="s">
        <v>129</v>
      </c>
      <c r="R21" s="174">
        <v>211710</v>
      </c>
      <c r="S21" s="174">
        <v>131120</v>
      </c>
      <c r="T21" s="174">
        <v>202983</v>
      </c>
      <c r="U21" s="174">
        <v>172610</v>
      </c>
    </row>
    <row r="22" spans="1:21" x14ac:dyDescent="0.25">
      <c r="A22" s="189" t="s">
        <v>130</v>
      </c>
      <c r="B22" s="191">
        <v>4574171</v>
      </c>
      <c r="C22" s="191">
        <v>4947335</v>
      </c>
      <c r="D22" s="174">
        <v>5268745</v>
      </c>
      <c r="E22" s="174">
        <v>3705440</v>
      </c>
      <c r="Q22" s="295" t="s">
        <v>130</v>
      </c>
      <c r="R22" s="174">
        <v>219057</v>
      </c>
      <c r="S22" s="174">
        <v>244408</v>
      </c>
      <c r="T22" s="174">
        <v>215876</v>
      </c>
      <c r="U22" s="174">
        <v>151210</v>
      </c>
    </row>
    <row r="23" spans="1:21" x14ac:dyDescent="0.25">
      <c r="A23" s="189" t="s">
        <v>131</v>
      </c>
      <c r="B23" s="191">
        <v>1408750</v>
      </c>
      <c r="C23" s="191">
        <v>2392410</v>
      </c>
      <c r="D23" s="174">
        <v>1056650</v>
      </c>
      <c r="E23" s="174">
        <v>1855675</v>
      </c>
      <c r="Q23" s="295" t="s">
        <v>131</v>
      </c>
      <c r="R23" s="174">
        <v>64479</v>
      </c>
      <c r="S23" s="174">
        <v>111310</v>
      </c>
      <c r="T23" s="174">
        <v>84530</v>
      </c>
      <c r="U23" s="174">
        <v>118990</v>
      </c>
    </row>
    <row r="24" spans="1:21" x14ac:dyDescent="0.25">
      <c r="A24" s="189" t="s">
        <v>125</v>
      </c>
      <c r="B24" s="191">
        <v>253700</v>
      </c>
      <c r="C24" s="191">
        <v>671400</v>
      </c>
      <c r="D24" s="174">
        <v>1188580</v>
      </c>
      <c r="E24" s="174">
        <v>1012950</v>
      </c>
      <c r="Q24" s="295" t="s">
        <v>125</v>
      </c>
      <c r="R24" s="174">
        <v>15900</v>
      </c>
      <c r="S24" s="174">
        <v>86790</v>
      </c>
      <c r="T24" s="174">
        <v>101474</v>
      </c>
      <c r="U24" s="174">
        <v>72219</v>
      </c>
    </row>
    <row r="25" spans="1:21" x14ac:dyDescent="0.25">
      <c r="A25" s="189" t="s">
        <v>9</v>
      </c>
      <c r="B25" s="191">
        <v>1518485</v>
      </c>
      <c r="C25" s="191">
        <v>1924296</v>
      </c>
      <c r="D25" s="174">
        <v>2522441</v>
      </c>
      <c r="E25" s="174">
        <v>2027240</v>
      </c>
      <c r="Q25" s="295" t="s">
        <v>9</v>
      </c>
      <c r="R25" s="174">
        <v>111727</v>
      </c>
      <c r="S25" s="174">
        <v>158616</v>
      </c>
      <c r="T25" s="174">
        <v>156310</v>
      </c>
      <c r="U25" s="174">
        <v>169681</v>
      </c>
    </row>
    <row r="26" spans="1:21" x14ac:dyDescent="0.25">
      <c r="A26" s="189" t="s">
        <v>12</v>
      </c>
      <c r="B26" s="191">
        <v>1391895</v>
      </c>
      <c r="C26" s="191">
        <v>899150</v>
      </c>
      <c r="D26" s="174">
        <v>1440129</v>
      </c>
      <c r="E26" s="174">
        <v>1808380</v>
      </c>
      <c r="Q26" s="295" t="s">
        <v>12</v>
      </c>
      <c r="R26" s="174">
        <v>93631</v>
      </c>
      <c r="S26" s="174">
        <v>67826</v>
      </c>
      <c r="T26" s="174">
        <v>176788</v>
      </c>
      <c r="U26" s="174">
        <v>173835</v>
      </c>
    </row>
    <row r="27" spans="1:21" x14ac:dyDescent="0.25">
      <c r="A27" s="189" t="s">
        <v>117</v>
      </c>
      <c r="B27" s="191">
        <v>811781</v>
      </c>
      <c r="C27" s="191">
        <v>1141971</v>
      </c>
      <c r="D27" s="174">
        <v>783471</v>
      </c>
      <c r="E27" s="174">
        <v>1039770</v>
      </c>
      <c r="Q27" s="295" t="s">
        <v>117</v>
      </c>
      <c r="R27" s="174">
        <v>14950</v>
      </c>
      <c r="S27" s="174">
        <v>52503</v>
      </c>
      <c r="T27" s="174">
        <v>49533</v>
      </c>
      <c r="U27" s="174">
        <v>25100</v>
      </c>
    </row>
    <row r="28" spans="1:21" x14ac:dyDescent="0.25">
      <c r="A28" s="189" t="s">
        <v>132</v>
      </c>
      <c r="B28" s="191">
        <v>480300</v>
      </c>
      <c r="C28" s="191">
        <v>500200</v>
      </c>
      <c r="D28" s="174">
        <v>406749</v>
      </c>
      <c r="E28" s="174">
        <v>869698</v>
      </c>
      <c r="Q28" s="295" t="s">
        <v>132</v>
      </c>
      <c r="R28" s="174">
        <v>0</v>
      </c>
      <c r="S28" s="174">
        <v>0</v>
      </c>
      <c r="T28" s="174">
        <v>0</v>
      </c>
      <c r="U28" s="174">
        <v>0</v>
      </c>
    </row>
    <row r="29" spans="1:21" x14ac:dyDescent="0.25">
      <c r="A29" s="189" t="s">
        <v>114</v>
      </c>
      <c r="B29" s="191">
        <v>1288300</v>
      </c>
      <c r="C29" s="191">
        <v>1400230</v>
      </c>
      <c r="D29" s="174">
        <v>1242850</v>
      </c>
      <c r="E29" s="174">
        <v>2236010</v>
      </c>
      <c r="Q29" s="295" t="s">
        <v>114</v>
      </c>
      <c r="R29" s="174">
        <v>133378</v>
      </c>
      <c r="S29" s="174">
        <v>236977</v>
      </c>
      <c r="T29" s="174">
        <v>158060</v>
      </c>
      <c r="U29" s="174">
        <v>248703</v>
      </c>
    </row>
    <row r="30" spans="1:21" x14ac:dyDescent="0.25">
      <c r="A30" s="189" t="s">
        <v>121</v>
      </c>
      <c r="B30" s="191">
        <v>1204450</v>
      </c>
      <c r="C30" s="191">
        <v>801550</v>
      </c>
      <c r="D30" s="174">
        <v>1961906</v>
      </c>
      <c r="E30" s="174">
        <v>1311450</v>
      </c>
      <c r="Q30" s="295" t="s">
        <v>121</v>
      </c>
      <c r="R30" s="174">
        <v>38400</v>
      </c>
      <c r="S30" s="174">
        <v>86750</v>
      </c>
      <c r="T30" s="174">
        <v>54655</v>
      </c>
      <c r="U30" s="174">
        <v>47094</v>
      </c>
    </row>
    <row r="31" spans="1:21" x14ac:dyDescent="0.25">
      <c r="A31" s="189" t="s">
        <v>113</v>
      </c>
      <c r="B31" s="191">
        <v>1297040</v>
      </c>
      <c r="C31" s="191">
        <v>1359490</v>
      </c>
      <c r="D31" s="174">
        <v>1366050</v>
      </c>
      <c r="E31" s="174">
        <v>1526567</v>
      </c>
      <c r="Q31" s="295" t="s">
        <v>113</v>
      </c>
      <c r="R31" s="174">
        <v>161156</v>
      </c>
      <c r="S31" s="174">
        <v>139429</v>
      </c>
      <c r="T31" s="174">
        <v>133287</v>
      </c>
      <c r="U31" s="174">
        <v>129887</v>
      </c>
    </row>
    <row r="32" spans="1:21" ht="12.6" thickBot="1" x14ac:dyDescent="0.3">
      <c r="A32" s="189" t="s">
        <v>103</v>
      </c>
      <c r="B32" s="191">
        <v>113365</v>
      </c>
      <c r="C32" s="191">
        <v>140200</v>
      </c>
      <c r="D32" s="174">
        <v>86500</v>
      </c>
      <c r="E32" s="174">
        <v>130900</v>
      </c>
      <c r="Q32" s="296" t="s">
        <v>103</v>
      </c>
      <c r="R32" s="174">
        <v>0</v>
      </c>
      <c r="S32" s="174">
        <v>0</v>
      </c>
      <c r="T32" s="174">
        <v>0</v>
      </c>
      <c r="U32" s="174">
        <v>0</v>
      </c>
    </row>
    <row r="33" spans="1:31" x14ac:dyDescent="0.25">
      <c r="A33" s="189" t="s">
        <v>144</v>
      </c>
      <c r="B33" s="191">
        <v>0</v>
      </c>
      <c r="C33" s="191"/>
      <c r="D33" s="174">
        <v>1052750</v>
      </c>
      <c r="E33" s="174">
        <v>2010401</v>
      </c>
      <c r="Q33" s="189" t="s">
        <v>144</v>
      </c>
      <c r="R33" s="174">
        <v>0</v>
      </c>
      <c r="S33" s="174">
        <v>0</v>
      </c>
      <c r="T33" s="174">
        <v>92703</v>
      </c>
      <c r="U33" s="174">
        <v>137080</v>
      </c>
    </row>
    <row r="34" spans="1:31" x14ac:dyDescent="0.25">
      <c r="A34" s="189" t="s">
        <v>145</v>
      </c>
      <c r="B34" s="191">
        <v>0</v>
      </c>
      <c r="C34" s="191"/>
      <c r="D34" s="174">
        <v>3600</v>
      </c>
      <c r="E34" s="174">
        <v>82800</v>
      </c>
      <c r="Q34" s="189" t="s">
        <v>145</v>
      </c>
      <c r="R34" s="174">
        <v>0</v>
      </c>
      <c r="S34" s="174">
        <v>0</v>
      </c>
      <c r="T34" s="174">
        <v>0</v>
      </c>
      <c r="U34" s="174">
        <v>14165</v>
      </c>
    </row>
    <row r="35" spans="1:31" s="183" customFormat="1" x14ac:dyDescent="0.25">
      <c r="A35" s="190" t="s">
        <v>14</v>
      </c>
      <c r="B35" s="190">
        <f>SUM(B3:B34)</f>
        <v>72340572</v>
      </c>
      <c r="C35" s="190">
        <f t="shared" ref="C35:E35" si="0">SUM(C3:C34)</f>
        <v>68915869</v>
      </c>
      <c r="D35" s="190">
        <f t="shared" si="0"/>
        <v>80644322</v>
      </c>
      <c r="E35" s="190">
        <f t="shared" si="0"/>
        <v>82255219</v>
      </c>
      <c r="P35" s="310"/>
      <c r="Q35" s="309" t="s">
        <v>14</v>
      </c>
      <c r="R35" s="183">
        <f>SUM(R3:R34)</f>
        <v>3229109</v>
      </c>
      <c r="S35" s="183">
        <f t="shared" ref="S35:U35" si="1">SUM(S3:S34)</f>
        <v>4834276</v>
      </c>
      <c r="T35" s="183">
        <f t="shared" si="1"/>
        <v>5285348</v>
      </c>
      <c r="U35" s="183">
        <f t="shared" si="1"/>
        <v>5146380</v>
      </c>
    </row>
    <row r="38" spans="1:31" x14ac:dyDescent="0.25">
      <c r="A38" s="354" t="s">
        <v>115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272"/>
      <c r="Q38" s="354" t="s">
        <v>116</v>
      </c>
      <c r="R38" s="354"/>
      <c r="S38" s="354"/>
      <c r="T38" s="354"/>
      <c r="U38" s="354"/>
      <c r="V38" s="354"/>
      <c r="W38" s="354"/>
      <c r="X38" s="354"/>
      <c r="Y38" s="354"/>
      <c r="Z38" s="354"/>
      <c r="AA38" s="354"/>
      <c r="AB38" s="354"/>
      <c r="AC38" s="354"/>
      <c r="AD38" s="354"/>
    </row>
    <row r="39" spans="1:31" x14ac:dyDescent="0.25">
      <c r="A39" s="214" t="s">
        <v>1</v>
      </c>
      <c r="B39" s="212">
        <v>45748</v>
      </c>
      <c r="C39" s="212">
        <v>45778</v>
      </c>
      <c r="D39" s="212">
        <v>45809</v>
      </c>
      <c r="E39" s="212">
        <v>45839</v>
      </c>
      <c r="F39" s="212">
        <v>45870</v>
      </c>
      <c r="G39" s="212">
        <v>45901</v>
      </c>
      <c r="H39" s="212">
        <v>45931</v>
      </c>
      <c r="I39" s="212">
        <v>45962</v>
      </c>
      <c r="J39" s="212">
        <v>45992</v>
      </c>
      <c r="K39" s="212">
        <v>46023</v>
      </c>
      <c r="L39" s="212">
        <v>46054</v>
      </c>
      <c r="M39" s="212">
        <v>46082</v>
      </c>
      <c r="N39" s="212" t="s">
        <v>14</v>
      </c>
      <c r="O39" s="212" t="s">
        <v>65</v>
      </c>
      <c r="Q39" s="214" t="s">
        <v>1</v>
      </c>
      <c r="R39" s="212">
        <v>45748</v>
      </c>
      <c r="S39" s="212">
        <v>45778</v>
      </c>
      <c r="T39" s="212">
        <v>45809</v>
      </c>
      <c r="U39" s="212">
        <v>45839</v>
      </c>
      <c r="V39" s="212">
        <v>45870</v>
      </c>
      <c r="W39" s="212">
        <v>45901</v>
      </c>
      <c r="X39" s="212">
        <v>45931</v>
      </c>
      <c r="Y39" s="212">
        <v>45962</v>
      </c>
      <c r="Z39" s="212">
        <v>45992</v>
      </c>
      <c r="AA39" s="212">
        <v>46023</v>
      </c>
      <c r="AB39" s="212">
        <v>46054</v>
      </c>
      <c r="AC39" s="212">
        <v>46082</v>
      </c>
      <c r="AD39" s="212" t="s">
        <v>14</v>
      </c>
    </row>
    <row r="40" spans="1:31" x14ac:dyDescent="0.25">
      <c r="A40" s="217" t="s">
        <v>4</v>
      </c>
      <c r="B40" s="174">
        <v>14166460</v>
      </c>
      <c r="C40" s="174">
        <v>10515490</v>
      </c>
      <c r="D40" s="174">
        <v>11854134</v>
      </c>
      <c r="E40" s="174">
        <v>13019421</v>
      </c>
      <c r="F40" s="174">
        <v>9567060</v>
      </c>
      <c r="G40" s="174">
        <v>12083984</v>
      </c>
      <c r="H40" s="174">
        <v>14017540</v>
      </c>
      <c r="I40" s="174">
        <v>8093480</v>
      </c>
      <c r="J40" s="174">
        <v>9288390</v>
      </c>
      <c r="K40" s="174">
        <v>7802840</v>
      </c>
      <c r="L40" s="174">
        <v>8857874</v>
      </c>
      <c r="M40" s="174">
        <v>9351850</v>
      </c>
      <c r="N40" s="251">
        <f>SUM(B40:M40)</f>
        <v>128618523</v>
      </c>
      <c r="O40" s="251">
        <f t="shared" ref="O40:O67" si="2">COUNTIF(B40:M40,"&gt;"&amp;0)</f>
        <v>12</v>
      </c>
      <c r="Q40" s="183" t="str">
        <f>A40</f>
        <v>AHMEDABAD</v>
      </c>
      <c r="R40" s="174">
        <v>494974</v>
      </c>
      <c r="S40" s="174">
        <v>446270</v>
      </c>
      <c r="T40" s="174">
        <v>432301</v>
      </c>
      <c r="U40" s="174">
        <v>749199</v>
      </c>
      <c r="V40" s="174">
        <v>458733</v>
      </c>
      <c r="W40" s="174">
        <v>655305</v>
      </c>
      <c r="X40" s="174">
        <v>779648</v>
      </c>
      <c r="Y40" s="174">
        <v>512824</v>
      </c>
      <c r="Z40" s="174">
        <v>357040</v>
      </c>
      <c r="AA40" s="174">
        <v>193177</v>
      </c>
      <c r="AB40" s="174">
        <v>346308</v>
      </c>
      <c r="AC40" s="174">
        <v>237154</v>
      </c>
      <c r="AD40" s="251">
        <f>SUM(R40:AC40)</f>
        <v>5662933</v>
      </c>
      <c r="AE40" s="174">
        <f>O40</f>
        <v>12</v>
      </c>
    </row>
    <row r="41" spans="1:31" x14ac:dyDescent="0.25">
      <c r="A41" s="217" t="s">
        <v>8</v>
      </c>
      <c r="B41" s="174">
        <v>2728920</v>
      </c>
      <c r="C41" s="174">
        <v>3331961</v>
      </c>
      <c r="D41" s="174">
        <v>1709980</v>
      </c>
      <c r="E41" s="174">
        <v>2396331</v>
      </c>
      <c r="F41" s="174">
        <v>2959810</v>
      </c>
      <c r="G41" s="174">
        <v>2877141</v>
      </c>
      <c r="H41" s="174">
        <v>3018140</v>
      </c>
      <c r="I41" s="174">
        <v>3349531</v>
      </c>
      <c r="J41" s="174">
        <v>4353451</v>
      </c>
      <c r="K41" s="174">
        <v>3268916</v>
      </c>
      <c r="L41" s="174">
        <v>3640851</v>
      </c>
      <c r="M41" s="174">
        <v>2724318</v>
      </c>
      <c r="N41" s="251">
        <f t="shared" ref="N41:N67" si="3">SUM(B41:M41)</f>
        <v>36359350</v>
      </c>
      <c r="O41" s="251">
        <f t="shared" si="2"/>
        <v>12</v>
      </c>
      <c r="Q41" s="183" t="str">
        <f t="shared" ref="Q41:Q68" si="4">A41</f>
        <v>BANGALORE</v>
      </c>
      <c r="R41" s="174">
        <v>93765</v>
      </c>
      <c r="S41" s="174">
        <v>153024</v>
      </c>
      <c r="T41" s="174">
        <v>159695</v>
      </c>
      <c r="U41" s="174">
        <v>185124</v>
      </c>
      <c r="V41" s="174">
        <v>192045</v>
      </c>
      <c r="W41" s="174">
        <v>202350</v>
      </c>
      <c r="X41" s="174">
        <v>163610</v>
      </c>
      <c r="Y41" s="174">
        <v>183902</v>
      </c>
      <c r="Z41" s="174">
        <v>101323</v>
      </c>
      <c r="AA41" s="174">
        <v>98729</v>
      </c>
      <c r="AB41" s="174">
        <v>86730</v>
      </c>
      <c r="AC41" s="174">
        <v>58194</v>
      </c>
      <c r="AD41" s="251">
        <f t="shared" ref="AD41:AD67" si="5">SUM(R41:AC41)</f>
        <v>1678491</v>
      </c>
      <c r="AE41" s="174">
        <f t="shared" ref="AE41:AE67" si="6">O41</f>
        <v>12</v>
      </c>
    </row>
    <row r="42" spans="1:31" x14ac:dyDescent="0.25">
      <c r="A42" s="217" t="s">
        <v>7</v>
      </c>
      <c r="B42" s="174">
        <v>2685300</v>
      </c>
      <c r="C42" s="174">
        <v>3870960</v>
      </c>
      <c r="D42" s="174">
        <v>3442332</v>
      </c>
      <c r="E42" s="174">
        <v>3084080</v>
      </c>
      <c r="F42" s="174">
        <v>3334100</v>
      </c>
      <c r="G42" s="174">
        <v>4135240</v>
      </c>
      <c r="H42" s="174">
        <v>3807020</v>
      </c>
      <c r="I42" s="174">
        <v>3530082</v>
      </c>
      <c r="J42" s="174">
        <v>4469548</v>
      </c>
      <c r="K42" s="174">
        <v>4109090</v>
      </c>
      <c r="L42" s="174">
        <v>3194990</v>
      </c>
      <c r="M42" s="174">
        <v>3000300</v>
      </c>
      <c r="N42" s="251">
        <f t="shared" si="3"/>
        <v>42663042</v>
      </c>
      <c r="O42" s="251">
        <f t="shared" si="2"/>
        <v>12</v>
      </c>
      <c r="Q42" s="183" t="str">
        <f t="shared" si="4"/>
        <v>CHANDIGARH</v>
      </c>
      <c r="R42" s="174">
        <v>243440</v>
      </c>
      <c r="S42" s="174">
        <v>267610</v>
      </c>
      <c r="T42" s="174">
        <v>251660</v>
      </c>
      <c r="U42" s="174">
        <v>278539</v>
      </c>
      <c r="V42" s="174">
        <v>340982</v>
      </c>
      <c r="W42" s="174">
        <v>373670</v>
      </c>
      <c r="X42" s="174">
        <v>261788</v>
      </c>
      <c r="Y42" s="174">
        <v>252483</v>
      </c>
      <c r="Z42" s="174">
        <v>153842</v>
      </c>
      <c r="AA42" s="174">
        <v>127345</v>
      </c>
      <c r="AB42" s="174">
        <v>132904</v>
      </c>
      <c r="AC42" s="174">
        <v>201235</v>
      </c>
      <c r="AD42" s="251">
        <f t="shared" si="5"/>
        <v>2885498</v>
      </c>
      <c r="AE42" s="174">
        <f t="shared" si="6"/>
        <v>12</v>
      </c>
    </row>
    <row r="43" spans="1:31" x14ac:dyDescent="0.25">
      <c r="A43" s="217" t="s">
        <v>13</v>
      </c>
      <c r="B43" s="174">
        <v>1202700</v>
      </c>
      <c r="C43" s="174">
        <v>2515640</v>
      </c>
      <c r="D43" s="174">
        <v>1256660</v>
      </c>
      <c r="E43" s="174">
        <v>1159520</v>
      </c>
      <c r="F43" s="174">
        <v>1714100</v>
      </c>
      <c r="G43" s="174">
        <v>1713880</v>
      </c>
      <c r="H43" s="174">
        <v>1514620</v>
      </c>
      <c r="I43" s="174">
        <v>935750</v>
      </c>
      <c r="J43" s="174">
        <v>1376640</v>
      </c>
      <c r="K43" s="174">
        <v>1004580</v>
      </c>
      <c r="L43" s="174">
        <v>874700</v>
      </c>
      <c r="M43" s="174">
        <v>1478320</v>
      </c>
      <c r="N43" s="251">
        <f t="shared" si="3"/>
        <v>16747110</v>
      </c>
      <c r="O43" s="251">
        <f t="shared" si="2"/>
        <v>12</v>
      </c>
      <c r="Q43" s="183" t="str">
        <f t="shared" si="4"/>
        <v>CHENNAI</v>
      </c>
      <c r="R43" s="174">
        <v>85725</v>
      </c>
      <c r="S43" s="174">
        <v>60635</v>
      </c>
      <c r="T43" s="174">
        <v>64620</v>
      </c>
      <c r="U43" s="174">
        <v>88640</v>
      </c>
      <c r="V43" s="174">
        <v>115901</v>
      </c>
      <c r="W43" s="174">
        <v>102089</v>
      </c>
      <c r="X43" s="174">
        <v>73070</v>
      </c>
      <c r="Y43" s="174">
        <v>64226</v>
      </c>
      <c r="Z43" s="174">
        <v>57008</v>
      </c>
      <c r="AA43" s="174">
        <v>25805</v>
      </c>
      <c r="AB43" s="174">
        <v>11200</v>
      </c>
      <c r="AC43" s="174">
        <v>33881</v>
      </c>
      <c r="AD43" s="251">
        <f t="shared" si="5"/>
        <v>782800</v>
      </c>
      <c r="AE43" s="174">
        <f t="shared" si="6"/>
        <v>12</v>
      </c>
    </row>
    <row r="44" spans="1:31" x14ac:dyDescent="0.25">
      <c r="A44" s="217" t="s">
        <v>127</v>
      </c>
      <c r="B44" s="174">
        <f>4708651+183600</f>
        <v>4892251</v>
      </c>
      <c r="C44" s="174">
        <v>5406301</v>
      </c>
      <c r="D44" s="174">
        <v>4452121</v>
      </c>
      <c r="E44" s="174">
        <v>3582360</v>
      </c>
      <c r="F44" s="174">
        <v>4425120</v>
      </c>
      <c r="G44" s="174">
        <v>5209641</v>
      </c>
      <c r="H44" s="174">
        <v>4362490</v>
      </c>
      <c r="I44" s="174">
        <v>5535940</v>
      </c>
      <c r="J44" s="174">
        <v>5542100</v>
      </c>
      <c r="K44" s="174">
        <v>5517891</v>
      </c>
      <c r="L44" s="174">
        <v>4469511</v>
      </c>
      <c r="M44" s="174">
        <v>4466849</v>
      </c>
      <c r="N44" s="251">
        <f t="shared" si="3"/>
        <v>57862575</v>
      </c>
      <c r="O44" s="251">
        <f t="shared" si="2"/>
        <v>12</v>
      </c>
      <c r="Q44" s="183" t="str">
        <f t="shared" si="4"/>
        <v>DELHI-NFC</v>
      </c>
      <c r="R44" s="174">
        <v>194277</v>
      </c>
      <c r="S44" s="174">
        <f>475340-283200</f>
        <v>192140</v>
      </c>
      <c r="T44" s="174">
        <v>145560</v>
      </c>
      <c r="U44" s="174">
        <v>169470</v>
      </c>
      <c r="V44" s="174">
        <v>242980</v>
      </c>
      <c r="W44" s="174">
        <v>290067</v>
      </c>
      <c r="X44" s="174">
        <v>358482</v>
      </c>
      <c r="Y44" s="174">
        <v>346032</v>
      </c>
      <c r="Z44" s="174">
        <v>341375</v>
      </c>
      <c r="AA44" s="174">
        <v>287230</v>
      </c>
      <c r="AB44" s="174">
        <v>355952</v>
      </c>
      <c r="AC44" s="174">
        <v>176014</v>
      </c>
      <c r="AD44" s="251">
        <f t="shared" si="5"/>
        <v>3099579</v>
      </c>
      <c r="AE44" s="174">
        <f t="shared" si="6"/>
        <v>12</v>
      </c>
    </row>
    <row r="45" spans="1:31" x14ac:dyDescent="0.25">
      <c r="A45" s="217" t="s">
        <v>3</v>
      </c>
      <c r="B45" s="174">
        <v>3479870</v>
      </c>
      <c r="C45" s="174">
        <v>5270631</v>
      </c>
      <c r="D45" s="174">
        <v>3617020</v>
      </c>
      <c r="E45" s="174">
        <v>3253280</v>
      </c>
      <c r="F45" s="174">
        <v>5889541</v>
      </c>
      <c r="G45" s="174">
        <v>5357990</v>
      </c>
      <c r="H45" s="174">
        <v>6068000</v>
      </c>
      <c r="I45" s="174">
        <v>6442750</v>
      </c>
      <c r="J45" s="174">
        <v>7845601</v>
      </c>
      <c r="K45" s="174">
        <v>6245831</v>
      </c>
      <c r="L45" s="174">
        <v>5097970</v>
      </c>
      <c r="M45" s="174">
        <v>6276866</v>
      </c>
      <c r="N45" s="251">
        <f t="shared" si="3"/>
        <v>64845350</v>
      </c>
      <c r="O45" s="251">
        <f t="shared" si="2"/>
        <v>12</v>
      </c>
      <c r="Q45" s="183" t="str">
        <f t="shared" si="4"/>
        <v>DELHI-PITAMPURA</v>
      </c>
      <c r="R45" s="174">
        <v>236950</v>
      </c>
      <c r="S45" s="174">
        <v>401450</v>
      </c>
      <c r="T45" s="174">
        <v>278718</v>
      </c>
      <c r="U45" s="174">
        <v>251141</v>
      </c>
      <c r="V45" s="174">
        <v>375622</v>
      </c>
      <c r="W45" s="174">
        <v>224800</v>
      </c>
      <c r="X45" s="174">
        <v>372213</v>
      </c>
      <c r="Y45" s="174">
        <v>244733</v>
      </c>
      <c r="Z45" s="174">
        <v>378496</v>
      </c>
      <c r="AA45" s="174">
        <v>295285</v>
      </c>
      <c r="AB45" s="174">
        <v>285673</v>
      </c>
      <c r="AC45" s="174">
        <v>299779</v>
      </c>
      <c r="AD45" s="251">
        <f t="shared" si="5"/>
        <v>3644860</v>
      </c>
      <c r="AE45" s="174">
        <f t="shared" si="6"/>
        <v>12</v>
      </c>
    </row>
    <row r="46" spans="1:31" x14ac:dyDescent="0.25">
      <c r="A46" s="217" t="s">
        <v>128</v>
      </c>
      <c r="B46" s="174">
        <f>6137130-183600</f>
        <v>5953530</v>
      </c>
      <c r="C46" s="174">
        <v>7245600</v>
      </c>
      <c r="D46" s="174">
        <v>6639284</v>
      </c>
      <c r="E46" s="174">
        <v>7258610</v>
      </c>
      <c r="F46" s="174">
        <v>5453736</v>
      </c>
      <c r="G46" s="174">
        <v>7211175</v>
      </c>
      <c r="H46" s="174">
        <v>6266455</v>
      </c>
      <c r="I46" s="174">
        <v>6149720</v>
      </c>
      <c r="J46" s="174">
        <v>4824660</v>
      </c>
      <c r="K46" s="174">
        <v>7901550</v>
      </c>
      <c r="L46" s="174">
        <v>6925670</v>
      </c>
      <c r="M46" s="174">
        <v>7006109</v>
      </c>
      <c r="N46" s="251">
        <f t="shared" si="3"/>
        <v>78836099</v>
      </c>
      <c r="O46" s="251">
        <f t="shared" si="2"/>
        <v>12</v>
      </c>
      <c r="Q46" s="183" t="str">
        <f t="shared" si="4"/>
        <v>DELHI-SOUTH EX</v>
      </c>
      <c r="R46" s="174">
        <v>427789</v>
      </c>
      <c r="S46" s="174">
        <v>381235</v>
      </c>
      <c r="T46" s="174">
        <v>364912</v>
      </c>
      <c r="U46" s="174">
        <v>502261</v>
      </c>
      <c r="V46" s="174">
        <v>279597</v>
      </c>
      <c r="W46" s="174">
        <v>501703</v>
      </c>
      <c r="X46" s="174">
        <v>456355</v>
      </c>
      <c r="Y46" s="174">
        <v>303141</v>
      </c>
      <c r="Z46" s="174">
        <v>279200</v>
      </c>
      <c r="AA46" s="174">
        <v>488851</v>
      </c>
      <c r="AB46" s="174">
        <v>526923</v>
      </c>
      <c r="AC46" s="174">
        <v>455652</v>
      </c>
      <c r="AD46" s="251">
        <f t="shared" si="5"/>
        <v>4967619</v>
      </c>
      <c r="AE46" s="174">
        <f t="shared" si="6"/>
        <v>12</v>
      </c>
    </row>
    <row r="47" spans="1:31" x14ac:dyDescent="0.25">
      <c r="A47" s="217" t="s">
        <v>10</v>
      </c>
      <c r="B47" s="174">
        <v>3010011</v>
      </c>
      <c r="C47" s="174">
        <v>3020120</v>
      </c>
      <c r="D47" s="174">
        <v>2765820</v>
      </c>
      <c r="E47" s="174">
        <v>3006680</v>
      </c>
      <c r="F47" s="174">
        <v>3373261</v>
      </c>
      <c r="G47" s="174">
        <v>2805840</v>
      </c>
      <c r="H47" s="174">
        <v>3234390</v>
      </c>
      <c r="I47" s="174">
        <v>2489220</v>
      </c>
      <c r="J47" s="174">
        <v>3302290</v>
      </c>
      <c r="K47" s="174">
        <v>3307730</v>
      </c>
      <c r="L47" s="174">
        <v>2732570</v>
      </c>
      <c r="M47" s="174">
        <v>3868550</v>
      </c>
      <c r="N47" s="251">
        <f t="shared" si="3"/>
        <v>36916482</v>
      </c>
      <c r="O47" s="251">
        <f t="shared" si="2"/>
        <v>12</v>
      </c>
      <c r="Q47" s="183" t="str">
        <f t="shared" si="4"/>
        <v>HYDERABAD</v>
      </c>
      <c r="R47" s="174">
        <v>157694</v>
      </c>
      <c r="S47" s="174">
        <v>170174</v>
      </c>
      <c r="T47" s="174">
        <v>227269</v>
      </c>
      <c r="U47" s="174">
        <v>172443</v>
      </c>
      <c r="V47" s="174">
        <v>224090</v>
      </c>
      <c r="W47" s="174">
        <v>196428</v>
      </c>
      <c r="X47" s="174">
        <v>200474</v>
      </c>
      <c r="Y47" s="174">
        <v>175656</v>
      </c>
      <c r="Z47" s="174">
        <v>103064</v>
      </c>
      <c r="AA47" s="174">
        <v>86005</v>
      </c>
      <c r="AB47" s="174">
        <v>86154</v>
      </c>
      <c r="AC47" s="174">
        <v>71890</v>
      </c>
      <c r="AD47" s="251">
        <f t="shared" si="5"/>
        <v>1871341</v>
      </c>
      <c r="AE47" s="174">
        <f t="shared" si="6"/>
        <v>12</v>
      </c>
    </row>
    <row r="48" spans="1:31" x14ac:dyDescent="0.25">
      <c r="A48" s="217" t="s">
        <v>11</v>
      </c>
      <c r="B48" s="174">
        <v>3543770</v>
      </c>
      <c r="C48" s="174">
        <v>4154710</v>
      </c>
      <c r="D48" s="174">
        <v>4435710</v>
      </c>
      <c r="E48" s="174">
        <v>3975811</v>
      </c>
      <c r="F48" s="174">
        <v>3759621</v>
      </c>
      <c r="G48" s="174">
        <v>4337965</v>
      </c>
      <c r="H48" s="174">
        <v>4835630</v>
      </c>
      <c r="I48" s="174">
        <v>2274135</v>
      </c>
      <c r="J48" s="174">
        <v>3142275</v>
      </c>
      <c r="K48" s="174">
        <v>3135385</v>
      </c>
      <c r="L48" s="174">
        <v>4115644</v>
      </c>
      <c r="M48" s="174">
        <v>3087136</v>
      </c>
      <c r="N48" s="251">
        <f t="shared" si="3"/>
        <v>44797792</v>
      </c>
      <c r="O48" s="251">
        <f t="shared" si="2"/>
        <v>12</v>
      </c>
      <c r="Q48" s="183" t="str">
        <f t="shared" si="4"/>
        <v>INDORE</v>
      </c>
      <c r="R48" s="174">
        <v>162499</v>
      </c>
      <c r="S48" s="174">
        <v>204839</v>
      </c>
      <c r="T48" s="174">
        <v>124549</v>
      </c>
      <c r="U48" s="174">
        <v>225260</v>
      </c>
      <c r="V48" s="174">
        <v>281920</v>
      </c>
      <c r="W48" s="174">
        <v>301561</v>
      </c>
      <c r="X48" s="174">
        <v>316698</v>
      </c>
      <c r="Y48" s="174">
        <v>105793</v>
      </c>
      <c r="Z48" s="174">
        <v>161840</v>
      </c>
      <c r="AA48" s="174">
        <v>93809</v>
      </c>
      <c r="AB48" s="174">
        <v>151283</v>
      </c>
      <c r="AC48" s="174">
        <v>139164</v>
      </c>
      <c r="AD48" s="251">
        <f t="shared" si="5"/>
        <v>2269215</v>
      </c>
      <c r="AE48" s="174">
        <f t="shared" si="6"/>
        <v>12</v>
      </c>
    </row>
    <row r="49" spans="1:31" x14ac:dyDescent="0.25">
      <c r="A49" s="217" t="s">
        <v>5</v>
      </c>
      <c r="B49" s="174">
        <v>4393128</v>
      </c>
      <c r="C49" s="174">
        <v>5040265</v>
      </c>
      <c r="D49" s="174">
        <v>4622021</v>
      </c>
      <c r="E49" s="174">
        <v>5748349</v>
      </c>
      <c r="F49" s="174">
        <v>5566964</v>
      </c>
      <c r="G49" s="174">
        <v>6773645</v>
      </c>
      <c r="H49" s="174">
        <v>6605525</v>
      </c>
      <c r="I49" s="174">
        <v>5498485</v>
      </c>
      <c r="J49" s="174">
        <v>4468501</v>
      </c>
      <c r="K49" s="174">
        <v>5814131</v>
      </c>
      <c r="L49" s="174">
        <v>4160281</v>
      </c>
      <c r="M49" s="174">
        <v>5458561</v>
      </c>
      <c r="N49" s="251">
        <f t="shared" si="3"/>
        <v>64149856</v>
      </c>
      <c r="O49" s="251">
        <f t="shared" si="2"/>
        <v>12</v>
      </c>
      <c r="Q49" s="183" t="str">
        <f t="shared" si="4"/>
        <v>KOLKATA</v>
      </c>
      <c r="R49" s="174">
        <v>171583</v>
      </c>
      <c r="S49" s="174">
        <v>301605</v>
      </c>
      <c r="T49" s="174">
        <v>233265</v>
      </c>
      <c r="U49" s="174">
        <v>339324</v>
      </c>
      <c r="V49" s="174">
        <v>389131</v>
      </c>
      <c r="W49" s="174">
        <v>359932</v>
      </c>
      <c r="X49" s="174">
        <v>332706</v>
      </c>
      <c r="Y49" s="174">
        <v>310295</v>
      </c>
      <c r="Z49" s="174">
        <v>160466</v>
      </c>
      <c r="AA49" s="174">
        <v>156537</v>
      </c>
      <c r="AB49" s="174">
        <v>146146</v>
      </c>
      <c r="AC49" s="174">
        <v>136171</v>
      </c>
      <c r="AD49" s="251">
        <f t="shared" si="5"/>
        <v>3037161</v>
      </c>
      <c r="AE49" s="174">
        <f t="shared" si="6"/>
        <v>12</v>
      </c>
    </row>
    <row r="50" spans="1:31" x14ac:dyDescent="0.25">
      <c r="A50" s="217" t="s">
        <v>23</v>
      </c>
      <c r="B50" s="174">
        <v>4014100</v>
      </c>
      <c r="C50" s="174">
        <v>4454670</v>
      </c>
      <c r="D50" s="174">
        <v>4257700</v>
      </c>
      <c r="E50" s="174">
        <v>5782540</v>
      </c>
      <c r="F50" s="174">
        <v>5317304</v>
      </c>
      <c r="G50" s="174">
        <v>6598767</v>
      </c>
      <c r="H50" s="174">
        <v>5865354</v>
      </c>
      <c r="I50" s="174">
        <v>5510520</v>
      </c>
      <c r="J50" s="174">
        <v>6532386</v>
      </c>
      <c r="K50" s="174">
        <v>5204341</v>
      </c>
      <c r="L50" s="174">
        <v>4518310</v>
      </c>
      <c r="M50" s="174">
        <v>4962786</v>
      </c>
      <c r="N50" s="251">
        <f t="shared" si="3"/>
        <v>63018778</v>
      </c>
      <c r="O50" s="251">
        <f t="shared" si="2"/>
        <v>12</v>
      </c>
      <c r="Q50" s="183" t="str">
        <f t="shared" si="4"/>
        <v>LUCKNOW</v>
      </c>
      <c r="R50" s="174">
        <v>222204</v>
      </c>
      <c r="S50" s="174">
        <v>164083</v>
      </c>
      <c r="T50" s="174">
        <v>275070</v>
      </c>
      <c r="U50" s="174">
        <v>335667</v>
      </c>
      <c r="V50" s="174">
        <v>325108</v>
      </c>
      <c r="W50" s="174">
        <v>349044</v>
      </c>
      <c r="X50" s="174">
        <v>314292</v>
      </c>
      <c r="Y50" s="174">
        <v>391752</v>
      </c>
      <c r="Z50" s="174">
        <v>297976</v>
      </c>
      <c r="AA50" s="174">
        <v>176563</v>
      </c>
      <c r="AB50" s="174">
        <v>202809</v>
      </c>
      <c r="AC50" s="174">
        <v>202165</v>
      </c>
      <c r="AD50" s="251">
        <f t="shared" si="5"/>
        <v>3256733</v>
      </c>
      <c r="AE50" s="174">
        <f t="shared" si="6"/>
        <v>12</v>
      </c>
    </row>
    <row r="51" spans="1:31" x14ac:dyDescent="0.25">
      <c r="A51" s="217" t="s">
        <v>129</v>
      </c>
      <c r="B51" s="174">
        <v>4903580</v>
      </c>
      <c r="C51" s="174">
        <v>4568260</v>
      </c>
      <c r="D51" s="174">
        <v>3586870</v>
      </c>
      <c r="E51" s="174">
        <v>5815700</v>
      </c>
      <c r="F51" s="174">
        <v>5332140</v>
      </c>
      <c r="G51" s="174">
        <v>6305540</v>
      </c>
      <c r="H51" s="174">
        <v>5537540</v>
      </c>
      <c r="I51" s="174">
        <v>5964340</v>
      </c>
      <c r="J51" s="174">
        <v>5740550</v>
      </c>
      <c r="K51" s="174">
        <v>6183741</v>
      </c>
      <c r="L51" s="174">
        <v>6017796</v>
      </c>
      <c r="M51" s="174">
        <v>3467640</v>
      </c>
      <c r="N51" s="251">
        <f t="shared" si="3"/>
        <v>63423697</v>
      </c>
      <c r="O51" s="251">
        <f t="shared" si="2"/>
        <v>12</v>
      </c>
      <c r="Q51" s="183" t="str">
        <f t="shared" si="4"/>
        <v>MUMBAI-JUHU</v>
      </c>
      <c r="R51" s="174">
        <v>141550</v>
      </c>
      <c r="S51" s="174">
        <v>190710</v>
      </c>
      <c r="T51" s="174">
        <v>116935</v>
      </c>
      <c r="U51" s="174">
        <v>248058</v>
      </c>
      <c r="V51" s="174">
        <v>353858</v>
      </c>
      <c r="W51" s="174">
        <v>397843</v>
      </c>
      <c r="X51" s="174">
        <v>270610</v>
      </c>
      <c r="Y51" s="174">
        <v>313112</v>
      </c>
      <c r="Z51" s="174">
        <v>190947</v>
      </c>
      <c r="AA51" s="174">
        <v>147640</v>
      </c>
      <c r="AB51" s="174">
        <v>264808</v>
      </c>
      <c r="AC51" s="174">
        <v>66483</v>
      </c>
      <c r="AD51" s="251">
        <f t="shared" si="5"/>
        <v>2702554</v>
      </c>
      <c r="AE51" s="174">
        <f t="shared" si="6"/>
        <v>12</v>
      </c>
    </row>
    <row r="52" spans="1:31" x14ac:dyDescent="0.25">
      <c r="A52" s="217" t="s">
        <v>9</v>
      </c>
      <c r="B52" s="174">
        <v>1473500</v>
      </c>
      <c r="C52" s="174">
        <v>2314800</v>
      </c>
      <c r="D52" s="174">
        <v>2089300</v>
      </c>
      <c r="E52" s="174">
        <v>1851100</v>
      </c>
      <c r="F52" s="174">
        <v>1318900</v>
      </c>
      <c r="G52" s="174">
        <v>2609100</v>
      </c>
      <c r="H52" s="174">
        <v>2508950</v>
      </c>
      <c r="I52" s="174">
        <v>1775650</v>
      </c>
      <c r="J52" s="174">
        <v>2774150</v>
      </c>
      <c r="K52" s="174">
        <v>2501710</v>
      </c>
      <c r="L52" s="174">
        <v>2516628</v>
      </c>
      <c r="M52" s="174">
        <v>2034400</v>
      </c>
      <c r="N52" s="251">
        <f t="shared" si="3"/>
        <v>25768188</v>
      </c>
      <c r="O52" s="251">
        <f t="shared" si="2"/>
        <v>12</v>
      </c>
      <c r="Q52" s="183" t="str">
        <f t="shared" si="4"/>
        <v>PATNA</v>
      </c>
      <c r="R52" s="174">
        <v>82780</v>
      </c>
      <c r="S52" s="174">
        <v>87620</v>
      </c>
      <c r="T52" s="174">
        <v>146320</v>
      </c>
      <c r="U52" s="174">
        <v>115410</v>
      </c>
      <c r="V52" s="174">
        <v>110398</v>
      </c>
      <c r="W52" s="174">
        <v>142152</v>
      </c>
      <c r="X52" s="174">
        <v>182836</v>
      </c>
      <c r="Y52" s="174">
        <v>131279</v>
      </c>
      <c r="Z52" s="174">
        <v>84727</v>
      </c>
      <c r="AA52" s="174">
        <v>70187</v>
      </c>
      <c r="AB52" s="174">
        <v>91598</v>
      </c>
      <c r="AC52" s="174">
        <v>48505</v>
      </c>
      <c r="AD52" s="251">
        <f t="shared" si="5"/>
        <v>1293812</v>
      </c>
      <c r="AE52" s="174">
        <f t="shared" si="6"/>
        <v>12</v>
      </c>
    </row>
    <row r="53" spans="1:31" x14ac:dyDescent="0.25">
      <c r="A53" s="217" t="s">
        <v>12</v>
      </c>
      <c r="B53" s="174">
        <v>2014060</v>
      </c>
      <c r="C53" s="174">
        <v>1704560</v>
      </c>
      <c r="D53" s="174">
        <v>2109120</v>
      </c>
      <c r="E53" s="174">
        <v>1954160</v>
      </c>
      <c r="F53" s="174">
        <v>1654040</v>
      </c>
      <c r="G53" s="174">
        <v>1800120</v>
      </c>
      <c r="H53" s="174">
        <v>1518320</v>
      </c>
      <c r="I53" s="174">
        <v>1518570</v>
      </c>
      <c r="J53" s="174">
        <v>1269960</v>
      </c>
      <c r="K53" s="174">
        <v>1405260</v>
      </c>
      <c r="L53" s="174">
        <v>1189210</v>
      </c>
      <c r="M53" s="174">
        <v>1348320</v>
      </c>
      <c r="N53" s="251">
        <f t="shared" si="3"/>
        <v>19485700</v>
      </c>
      <c r="O53" s="251">
        <f t="shared" si="2"/>
        <v>12</v>
      </c>
      <c r="Q53" s="183" t="str">
        <f t="shared" si="4"/>
        <v>RAIPUR</v>
      </c>
      <c r="R53" s="174">
        <v>95859</v>
      </c>
      <c r="S53" s="174">
        <v>118586</v>
      </c>
      <c r="T53" s="174">
        <v>137660</v>
      </c>
      <c r="U53" s="174">
        <v>167327</v>
      </c>
      <c r="V53" s="174">
        <v>120274</v>
      </c>
      <c r="W53" s="174">
        <v>153523</v>
      </c>
      <c r="X53" s="174">
        <v>90137</v>
      </c>
      <c r="Y53" s="174">
        <v>84480</v>
      </c>
      <c r="Z53" s="174">
        <v>36212</v>
      </c>
      <c r="AA53" s="174">
        <v>14799</v>
      </c>
      <c r="AB53" s="174">
        <v>82228</v>
      </c>
      <c r="AC53" s="174">
        <v>102045</v>
      </c>
      <c r="AD53" s="251">
        <f t="shared" si="5"/>
        <v>1203130</v>
      </c>
      <c r="AE53" s="174">
        <f t="shared" si="6"/>
        <v>12</v>
      </c>
    </row>
    <row r="54" spans="1:31" x14ac:dyDescent="0.25">
      <c r="A54" s="217" t="s">
        <v>86</v>
      </c>
      <c r="B54" s="174">
        <v>2102600</v>
      </c>
      <c r="C54" s="174">
        <v>2580480</v>
      </c>
      <c r="D54" s="174">
        <v>2235700</v>
      </c>
      <c r="E54" s="174">
        <v>2538480</v>
      </c>
      <c r="F54" s="174">
        <v>3093215</v>
      </c>
      <c r="G54" s="174">
        <v>2506460</v>
      </c>
      <c r="H54" s="174">
        <v>3912810</v>
      </c>
      <c r="I54" s="174">
        <v>3133140</v>
      </c>
      <c r="J54" s="174">
        <v>2661220</v>
      </c>
      <c r="K54" s="174">
        <v>3086980</v>
      </c>
      <c r="L54" s="174">
        <v>3277780</v>
      </c>
      <c r="M54" s="174">
        <v>3255255</v>
      </c>
      <c r="N54" s="251">
        <f t="shared" si="3"/>
        <v>34384120</v>
      </c>
      <c r="O54" s="251">
        <f t="shared" si="2"/>
        <v>12</v>
      </c>
      <c r="Q54" s="183" t="str">
        <f t="shared" si="4"/>
        <v>JAIPUR</v>
      </c>
      <c r="R54" s="174">
        <v>138975</v>
      </c>
      <c r="S54" s="174">
        <v>157375</v>
      </c>
      <c r="T54" s="174">
        <v>124025</v>
      </c>
      <c r="U54" s="174">
        <v>185254</v>
      </c>
      <c r="V54" s="174">
        <v>203564</v>
      </c>
      <c r="W54" s="174">
        <v>169043</v>
      </c>
      <c r="X54" s="174">
        <v>192794</v>
      </c>
      <c r="Y54" s="174">
        <v>149541</v>
      </c>
      <c r="Z54" s="174">
        <v>110162</v>
      </c>
      <c r="AA54" s="174">
        <v>124515</v>
      </c>
      <c r="AB54" s="174">
        <v>113075</v>
      </c>
      <c r="AC54" s="174">
        <v>147489</v>
      </c>
      <c r="AD54" s="251">
        <f t="shared" si="5"/>
        <v>1815812</v>
      </c>
      <c r="AE54" s="174">
        <f t="shared" si="6"/>
        <v>12</v>
      </c>
    </row>
    <row r="55" spans="1:31" x14ac:dyDescent="0.25">
      <c r="A55" s="217" t="s">
        <v>130</v>
      </c>
      <c r="B55" s="174">
        <v>3634870</v>
      </c>
      <c r="C55" s="174">
        <v>5133732</v>
      </c>
      <c r="D55" s="174">
        <v>5709721</v>
      </c>
      <c r="E55" s="174">
        <v>6550622</v>
      </c>
      <c r="F55" s="174">
        <v>5689901</v>
      </c>
      <c r="G55" s="174">
        <v>5805511</v>
      </c>
      <c r="H55" s="174">
        <v>5468131</v>
      </c>
      <c r="I55" s="174">
        <v>5859221</v>
      </c>
      <c r="J55" s="174">
        <v>5728536</v>
      </c>
      <c r="K55" s="174">
        <v>7299111</v>
      </c>
      <c r="L55" s="174">
        <v>5742041</v>
      </c>
      <c r="M55" s="174">
        <v>6529191</v>
      </c>
      <c r="N55" s="251">
        <f t="shared" si="3"/>
        <v>69150588</v>
      </c>
      <c r="O55" s="251">
        <f t="shared" si="2"/>
        <v>12</v>
      </c>
      <c r="Q55" s="183" t="str">
        <f t="shared" si="4"/>
        <v>MUMBAI-PAREL</v>
      </c>
      <c r="R55" s="174">
        <v>184700</v>
      </c>
      <c r="S55" s="174">
        <v>347920</v>
      </c>
      <c r="T55" s="174">
        <v>247064</v>
      </c>
      <c r="U55" s="174">
        <v>393325</v>
      </c>
      <c r="V55" s="174">
        <v>383275</v>
      </c>
      <c r="W55" s="174">
        <v>313529</v>
      </c>
      <c r="X55" s="174">
        <v>312651</v>
      </c>
      <c r="Y55" s="174">
        <v>404343</v>
      </c>
      <c r="Z55" s="174">
        <v>144596</v>
      </c>
      <c r="AA55" s="174">
        <v>220253</v>
      </c>
      <c r="AB55" s="174">
        <v>237141</v>
      </c>
      <c r="AC55" s="174">
        <v>260221</v>
      </c>
      <c r="AD55" s="251">
        <f t="shared" si="5"/>
        <v>3449018</v>
      </c>
      <c r="AE55" s="174">
        <f t="shared" si="6"/>
        <v>12</v>
      </c>
    </row>
    <row r="56" spans="1:31" x14ac:dyDescent="0.25">
      <c r="A56" s="217" t="s">
        <v>87</v>
      </c>
      <c r="B56" s="174">
        <v>2105580</v>
      </c>
      <c r="C56" s="174">
        <v>2538780</v>
      </c>
      <c r="D56" s="174">
        <v>2165440</v>
      </c>
      <c r="E56" s="174">
        <v>1733700</v>
      </c>
      <c r="F56" s="174">
        <v>2400472</v>
      </c>
      <c r="G56" s="174">
        <v>2371400</v>
      </c>
      <c r="H56" s="174">
        <v>2675460</v>
      </c>
      <c r="I56" s="174">
        <v>3563980</v>
      </c>
      <c r="J56" s="174">
        <v>2706240</v>
      </c>
      <c r="K56" s="174">
        <v>1840180</v>
      </c>
      <c r="L56" s="174">
        <v>2616760</v>
      </c>
      <c r="M56" s="174">
        <v>2559410</v>
      </c>
      <c r="N56" s="251">
        <f t="shared" si="3"/>
        <v>29277402</v>
      </c>
      <c r="O56" s="251">
        <f t="shared" si="2"/>
        <v>12</v>
      </c>
      <c r="Q56" s="183" t="str">
        <f t="shared" si="4"/>
        <v>LUDHIANA</v>
      </c>
      <c r="R56" s="174">
        <v>294885</v>
      </c>
      <c r="S56" s="174">
        <v>296980</v>
      </c>
      <c r="T56" s="174">
        <v>203325</v>
      </c>
      <c r="U56" s="174">
        <v>287740</v>
      </c>
      <c r="V56" s="174">
        <v>303514</v>
      </c>
      <c r="W56" s="174">
        <v>205890</v>
      </c>
      <c r="X56" s="174">
        <v>215911</v>
      </c>
      <c r="Y56" s="174">
        <v>241487</v>
      </c>
      <c r="Z56" s="174">
        <v>152458</v>
      </c>
      <c r="AA56" s="174">
        <v>108115</v>
      </c>
      <c r="AB56" s="174">
        <v>230489</v>
      </c>
      <c r="AC56" s="174">
        <v>80100</v>
      </c>
      <c r="AD56" s="251">
        <f t="shared" si="5"/>
        <v>2620894</v>
      </c>
      <c r="AE56" s="174">
        <f t="shared" si="6"/>
        <v>12</v>
      </c>
    </row>
    <row r="57" spans="1:31" x14ac:dyDescent="0.25">
      <c r="A57" s="217" t="s">
        <v>95</v>
      </c>
      <c r="B57" s="174">
        <v>2152000</v>
      </c>
      <c r="C57" s="174">
        <v>2755600</v>
      </c>
      <c r="D57" s="174">
        <v>2487680</v>
      </c>
      <c r="E57" s="174">
        <v>2700080</v>
      </c>
      <c r="F57" s="174">
        <v>2992547</v>
      </c>
      <c r="G57" s="174">
        <v>2727200</v>
      </c>
      <c r="H57" s="174">
        <v>2867370</v>
      </c>
      <c r="I57" s="174">
        <v>2828510</v>
      </c>
      <c r="J57" s="174">
        <v>3025620</v>
      </c>
      <c r="K57" s="174">
        <v>2936620</v>
      </c>
      <c r="L57" s="174">
        <v>2028920</v>
      </c>
      <c r="M57" s="174">
        <v>1980470</v>
      </c>
      <c r="N57" s="251">
        <f t="shared" si="3"/>
        <v>31482617</v>
      </c>
      <c r="O57" s="251">
        <f t="shared" si="2"/>
        <v>12</v>
      </c>
      <c r="Q57" s="183" t="str">
        <f t="shared" si="4"/>
        <v>DEHRADUN</v>
      </c>
      <c r="R57" s="174">
        <v>96589</v>
      </c>
      <c r="S57" s="174">
        <v>131560</v>
      </c>
      <c r="T57" s="174">
        <v>148100</v>
      </c>
      <c r="U57" s="174">
        <v>130090</v>
      </c>
      <c r="V57" s="174">
        <v>138100</v>
      </c>
      <c r="W57" s="174">
        <v>84306</v>
      </c>
      <c r="X57" s="174">
        <v>130347</v>
      </c>
      <c r="Y57" s="174">
        <v>105477</v>
      </c>
      <c r="Z57" s="174">
        <v>44169</v>
      </c>
      <c r="AA57" s="174">
        <v>37568</v>
      </c>
      <c r="AB57" s="174">
        <v>29052</v>
      </c>
      <c r="AC57" s="174">
        <v>35524</v>
      </c>
      <c r="AD57" s="251">
        <f t="shared" si="5"/>
        <v>1110882</v>
      </c>
      <c r="AE57" s="174">
        <f t="shared" si="6"/>
        <v>12</v>
      </c>
    </row>
    <row r="58" spans="1:31" x14ac:dyDescent="0.25">
      <c r="A58" s="217" t="s">
        <v>103</v>
      </c>
      <c r="B58" s="174">
        <v>1704520</v>
      </c>
      <c r="C58" s="174">
        <v>1388280</v>
      </c>
      <c r="D58" s="174">
        <v>832300</v>
      </c>
      <c r="E58" s="174">
        <v>447800</v>
      </c>
      <c r="F58" s="174">
        <v>514500</v>
      </c>
      <c r="G58" s="174">
        <v>471700</v>
      </c>
      <c r="H58" s="174">
        <v>199800</v>
      </c>
      <c r="I58" s="174">
        <v>535105</v>
      </c>
      <c r="J58" s="174">
        <v>124900</v>
      </c>
      <c r="K58" s="174">
        <v>105700</v>
      </c>
      <c r="L58" s="174">
        <v>109100</v>
      </c>
      <c r="M58" s="174">
        <v>125700</v>
      </c>
      <c r="N58" s="251">
        <f t="shared" si="3"/>
        <v>6559405</v>
      </c>
      <c r="O58" s="251">
        <f t="shared" si="2"/>
        <v>12</v>
      </c>
      <c r="Q58" s="183" t="str">
        <f t="shared" si="4"/>
        <v>VIRTUAL CENTER</v>
      </c>
      <c r="R58" s="174">
        <v>91600</v>
      </c>
      <c r="S58" s="174">
        <v>54900</v>
      </c>
      <c r="T58" s="174">
        <v>75010</v>
      </c>
      <c r="U58" s="174">
        <v>37970</v>
      </c>
      <c r="V58" s="174">
        <v>12400</v>
      </c>
      <c r="W58" s="174">
        <v>26900</v>
      </c>
      <c r="X58" s="174">
        <v>2180</v>
      </c>
      <c r="Y58" s="174">
        <v>10920</v>
      </c>
      <c r="Z58" s="174">
        <v>0</v>
      </c>
      <c r="AA58" s="174">
        <v>0</v>
      </c>
      <c r="AB58" s="174">
        <v>0</v>
      </c>
      <c r="AC58" s="174">
        <v>0</v>
      </c>
      <c r="AD58" s="251">
        <f t="shared" si="5"/>
        <v>311880</v>
      </c>
      <c r="AE58" s="174">
        <f t="shared" si="6"/>
        <v>12</v>
      </c>
    </row>
    <row r="59" spans="1:31" x14ac:dyDescent="0.25">
      <c r="A59" s="217" t="s">
        <v>132</v>
      </c>
      <c r="B59" s="174">
        <v>0</v>
      </c>
      <c r="C59" s="174">
        <v>601400</v>
      </c>
      <c r="D59" s="174">
        <v>403100</v>
      </c>
      <c r="E59" s="174">
        <v>745400</v>
      </c>
      <c r="F59" s="174">
        <v>433100</v>
      </c>
      <c r="G59" s="174">
        <v>365800</v>
      </c>
      <c r="H59" s="174">
        <v>454300</v>
      </c>
      <c r="I59" s="174">
        <v>611300</v>
      </c>
      <c r="J59" s="174">
        <v>669000</v>
      </c>
      <c r="K59" s="174">
        <v>896299</v>
      </c>
      <c r="L59" s="174">
        <v>715700</v>
      </c>
      <c r="M59" s="174">
        <v>546600</v>
      </c>
      <c r="N59" s="251">
        <f t="shared" si="3"/>
        <v>6441999</v>
      </c>
      <c r="O59" s="251">
        <f t="shared" si="2"/>
        <v>11</v>
      </c>
      <c r="Q59" s="183" t="str">
        <f>A59</f>
        <v>SRI SRI</v>
      </c>
      <c r="R59" s="174">
        <v>0</v>
      </c>
      <c r="S59" s="174">
        <v>0</v>
      </c>
      <c r="T59" s="174">
        <v>0</v>
      </c>
      <c r="U59" s="174">
        <v>0</v>
      </c>
      <c r="V59" s="174">
        <v>0</v>
      </c>
      <c r="W59" s="174">
        <v>0</v>
      </c>
      <c r="X59" s="174">
        <v>0</v>
      </c>
      <c r="Y59" s="174">
        <v>0</v>
      </c>
      <c r="Z59" s="174">
        <v>0</v>
      </c>
      <c r="AA59" s="174">
        <v>0</v>
      </c>
      <c r="AB59" s="174">
        <v>0</v>
      </c>
      <c r="AC59" s="174">
        <v>0</v>
      </c>
      <c r="AD59" s="251">
        <f t="shared" si="5"/>
        <v>0</v>
      </c>
      <c r="AE59" s="174">
        <f t="shared" si="6"/>
        <v>11</v>
      </c>
    </row>
    <row r="60" spans="1:31" x14ac:dyDescent="0.25">
      <c r="A60" s="217" t="s">
        <v>126</v>
      </c>
      <c r="B60" s="174">
        <v>0</v>
      </c>
      <c r="C60" s="174">
        <v>937066</v>
      </c>
      <c r="D60" s="174">
        <v>1244781</v>
      </c>
      <c r="E60" s="174">
        <v>468100</v>
      </c>
      <c r="F60" s="174">
        <v>636250</v>
      </c>
      <c r="G60" s="174">
        <v>960500</v>
      </c>
      <c r="H60" s="174">
        <v>670840</v>
      </c>
      <c r="I60" s="174">
        <v>693600</v>
      </c>
      <c r="J60" s="174">
        <v>1251680</v>
      </c>
      <c r="K60" s="174">
        <v>1074740</v>
      </c>
      <c r="L60" s="174">
        <v>291300</v>
      </c>
      <c r="M60" s="174">
        <v>109740</v>
      </c>
      <c r="N60" s="251">
        <f t="shared" si="3"/>
        <v>8338597</v>
      </c>
      <c r="O60" s="251">
        <f t="shared" si="2"/>
        <v>11</v>
      </c>
      <c r="Q60" s="183" t="str">
        <f>A60</f>
        <v>DELHI-CHH</v>
      </c>
      <c r="R60" s="174">
        <v>0</v>
      </c>
      <c r="S60" s="174">
        <v>15800</v>
      </c>
      <c r="T60" s="174">
        <v>61610</v>
      </c>
      <c r="U60" s="174">
        <v>23300</v>
      </c>
      <c r="V60" s="174">
        <v>12500</v>
      </c>
      <c r="W60" s="174">
        <v>40200</v>
      </c>
      <c r="X60" s="174">
        <v>24330</v>
      </c>
      <c r="Y60" s="174">
        <v>16515</v>
      </c>
      <c r="Z60" s="174">
        <v>31285</v>
      </c>
      <c r="AA60" s="174">
        <v>7930</v>
      </c>
      <c r="AB60" s="174">
        <v>2300</v>
      </c>
      <c r="AC60" s="174">
        <v>2500</v>
      </c>
      <c r="AD60" s="251">
        <f t="shared" si="5"/>
        <v>238270</v>
      </c>
      <c r="AE60" s="174">
        <f t="shared" si="6"/>
        <v>11</v>
      </c>
    </row>
    <row r="61" spans="1:31" x14ac:dyDescent="0.25">
      <c r="A61" s="217" t="s">
        <v>113</v>
      </c>
      <c r="B61" s="174">
        <v>0</v>
      </c>
      <c r="C61" s="174">
        <v>608960</v>
      </c>
      <c r="D61" s="174">
        <v>1224300</v>
      </c>
      <c r="E61" s="174">
        <v>909940</v>
      </c>
      <c r="F61" s="174">
        <v>1572800</v>
      </c>
      <c r="G61" s="174">
        <v>1795600</v>
      </c>
      <c r="H61" s="174">
        <v>1674100</v>
      </c>
      <c r="I61" s="174">
        <v>1954700</v>
      </c>
      <c r="J61" s="174">
        <v>1716760</v>
      </c>
      <c r="K61" s="174">
        <v>1640500</v>
      </c>
      <c r="L61" s="174">
        <v>2000270</v>
      </c>
      <c r="M61" s="174">
        <v>1481360</v>
      </c>
      <c r="N61" s="251">
        <f t="shared" si="3"/>
        <v>16579290</v>
      </c>
      <c r="O61" s="251">
        <f t="shared" si="2"/>
        <v>11</v>
      </c>
      <c r="Q61" s="183" t="str">
        <f t="shared" ref="Q61:Q67" si="7">A61</f>
        <v>VARANASI</v>
      </c>
      <c r="R61" s="174">
        <v>0</v>
      </c>
      <c r="S61" s="174">
        <v>37080</v>
      </c>
      <c r="T61" s="174">
        <v>87480</v>
      </c>
      <c r="U61" s="174">
        <v>80265</v>
      </c>
      <c r="V61" s="174">
        <v>135530</v>
      </c>
      <c r="W61" s="174">
        <v>143581</v>
      </c>
      <c r="X61" s="174">
        <v>96200</v>
      </c>
      <c r="Y61" s="174">
        <v>96993</v>
      </c>
      <c r="Z61" s="174">
        <v>82603</v>
      </c>
      <c r="AA61" s="174">
        <v>81905</v>
      </c>
      <c r="AB61" s="174">
        <v>106616</v>
      </c>
      <c r="AC61" s="174">
        <v>119824</v>
      </c>
      <c r="AD61" s="251">
        <f t="shared" si="5"/>
        <v>1068077</v>
      </c>
      <c r="AE61" s="174">
        <f t="shared" si="6"/>
        <v>11</v>
      </c>
    </row>
    <row r="62" spans="1:31" x14ac:dyDescent="0.25">
      <c r="A62" s="217" t="s">
        <v>114</v>
      </c>
      <c r="B62" s="174">
        <v>0</v>
      </c>
      <c r="C62" s="174">
        <v>0</v>
      </c>
      <c r="D62" s="174">
        <v>0</v>
      </c>
      <c r="E62" s="174">
        <v>1149700</v>
      </c>
      <c r="F62" s="174">
        <v>1663900</v>
      </c>
      <c r="G62" s="174">
        <v>1702020</v>
      </c>
      <c r="H62" s="174">
        <v>2151540</v>
      </c>
      <c r="I62" s="174">
        <v>1986060</v>
      </c>
      <c r="J62" s="174">
        <v>1875230</v>
      </c>
      <c r="K62" s="174">
        <v>1876020</v>
      </c>
      <c r="L62" s="174">
        <v>1814965</v>
      </c>
      <c r="M62" s="174">
        <v>1071660</v>
      </c>
      <c r="N62" s="251">
        <f t="shared" si="3"/>
        <v>15291095</v>
      </c>
      <c r="O62" s="251">
        <f t="shared" si="2"/>
        <v>9</v>
      </c>
      <c r="Q62" s="183" t="str">
        <f t="shared" si="7"/>
        <v>SURAT</v>
      </c>
      <c r="R62" s="174">
        <v>0</v>
      </c>
      <c r="U62" s="174">
        <v>88648</v>
      </c>
      <c r="V62" s="174">
        <v>172650</v>
      </c>
      <c r="W62" s="174">
        <v>154260</v>
      </c>
      <c r="X62" s="174">
        <v>162357</v>
      </c>
      <c r="Y62" s="174">
        <v>198503</v>
      </c>
      <c r="Z62" s="174">
        <v>116786</v>
      </c>
      <c r="AA62" s="174">
        <v>46739</v>
      </c>
      <c r="AB62" s="174">
        <v>126160</v>
      </c>
      <c r="AC62" s="174">
        <v>73570</v>
      </c>
      <c r="AD62" s="251">
        <f t="shared" si="5"/>
        <v>1139673</v>
      </c>
      <c r="AE62" s="174">
        <f t="shared" si="6"/>
        <v>9</v>
      </c>
    </row>
    <row r="63" spans="1:31" x14ac:dyDescent="0.25">
      <c r="A63" s="217" t="s">
        <v>117</v>
      </c>
      <c r="B63" s="174">
        <v>0</v>
      </c>
      <c r="C63" s="174">
        <v>0</v>
      </c>
      <c r="G63" s="174">
        <v>825260</v>
      </c>
      <c r="H63" s="174">
        <v>1054400</v>
      </c>
      <c r="I63" s="174">
        <v>1069700</v>
      </c>
      <c r="J63" s="174">
        <v>1384400</v>
      </c>
      <c r="K63" s="174">
        <v>1016460</v>
      </c>
      <c r="L63" s="174">
        <v>1020340</v>
      </c>
      <c r="M63" s="174">
        <v>781600</v>
      </c>
      <c r="N63" s="251">
        <f t="shared" si="3"/>
        <v>7152160</v>
      </c>
      <c r="O63" s="251">
        <f t="shared" si="2"/>
        <v>7</v>
      </c>
      <c r="Q63" s="183" t="str">
        <f t="shared" si="7"/>
        <v>RANCHI</v>
      </c>
      <c r="R63" s="174">
        <v>0</v>
      </c>
      <c r="W63" s="174">
        <v>42850</v>
      </c>
      <c r="X63" s="174">
        <v>103474</v>
      </c>
      <c r="Y63" s="174">
        <v>75543</v>
      </c>
      <c r="Z63" s="174">
        <v>48867</v>
      </c>
      <c r="AA63" s="174">
        <v>32823</v>
      </c>
      <c r="AB63" s="174">
        <v>12215</v>
      </c>
      <c r="AC63" s="174">
        <v>13550</v>
      </c>
      <c r="AD63" s="251">
        <f t="shared" si="5"/>
        <v>329322</v>
      </c>
      <c r="AE63" s="174">
        <f t="shared" si="6"/>
        <v>7</v>
      </c>
    </row>
    <row r="64" spans="1:31" x14ac:dyDescent="0.25">
      <c r="A64" s="217" t="s">
        <v>118</v>
      </c>
      <c r="B64" s="174">
        <v>0</v>
      </c>
      <c r="C64" s="174">
        <v>0</v>
      </c>
      <c r="D64" s="174">
        <v>0</v>
      </c>
      <c r="E64" s="174">
        <v>0</v>
      </c>
      <c r="F64" s="174">
        <v>0</v>
      </c>
      <c r="G64" s="174">
        <v>0</v>
      </c>
      <c r="H64" s="174">
        <v>233300</v>
      </c>
      <c r="I64" s="174">
        <v>530300</v>
      </c>
      <c r="J64" s="174">
        <v>712200</v>
      </c>
      <c r="K64" s="174">
        <v>713200</v>
      </c>
      <c r="L64" s="174">
        <v>512090</v>
      </c>
      <c r="M64" s="174">
        <v>662100</v>
      </c>
      <c r="N64" s="251">
        <f t="shared" si="3"/>
        <v>3363190</v>
      </c>
      <c r="O64" s="251">
        <f t="shared" si="2"/>
        <v>6</v>
      </c>
      <c r="Q64" s="183" t="str">
        <f t="shared" si="7"/>
        <v>GUWAHATI</v>
      </c>
      <c r="R64" s="174">
        <v>0</v>
      </c>
      <c r="S64" s="174">
        <v>0</v>
      </c>
      <c r="T64" s="174">
        <v>0</v>
      </c>
      <c r="U64" s="174">
        <v>0</v>
      </c>
      <c r="V64" s="174">
        <v>0</v>
      </c>
      <c r="W64" s="174">
        <v>0</v>
      </c>
      <c r="X64" s="174">
        <v>21705</v>
      </c>
      <c r="Y64" s="174">
        <v>51099</v>
      </c>
      <c r="Z64" s="174">
        <v>48345</v>
      </c>
      <c r="AA64" s="174">
        <v>30964</v>
      </c>
      <c r="AB64" s="174">
        <v>21900</v>
      </c>
      <c r="AC64" s="174">
        <v>28383</v>
      </c>
      <c r="AD64" s="251">
        <f t="shared" si="5"/>
        <v>202396</v>
      </c>
      <c r="AE64" s="174">
        <f t="shared" si="6"/>
        <v>6</v>
      </c>
    </row>
    <row r="65" spans="1:31" x14ac:dyDescent="0.25">
      <c r="A65" s="217" t="s">
        <v>131</v>
      </c>
      <c r="B65" s="174">
        <v>0</v>
      </c>
      <c r="C65" s="174">
        <v>0</v>
      </c>
      <c r="D65" s="174">
        <v>0</v>
      </c>
      <c r="E65" s="174">
        <v>0</v>
      </c>
      <c r="F65" s="174">
        <v>0</v>
      </c>
      <c r="G65" s="174">
        <v>0</v>
      </c>
      <c r="H65" s="174">
        <v>0</v>
      </c>
      <c r="I65" s="174">
        <v>1864400</v>
      </c>
      <c r="J65" s="174">
        <v>2779540</v>
      </c>
      <c r="K65" s="174">
        <v>1813500</v>
      </c>
      <c r="L65" s="174">
        <v>2125500</v>
      </c>
      <c r="M65" s="174">
        <v>2535260</v>
      </c>
      <c r="N65" s="251">
        <f t="shared" si="3"/>
        <v>11118200</v>
      </c>
      <c r="O65" s="251">
        <f t="shared" si="2"/>
        <v>5</v>
      </c>
      <c r="Q65" s="183" t="str">
        <f t="shared" si="7"/>
        <v>MUMBAI-THANE</v>
      </c>
      <c r="R65" s="174">
        <v>0</v>
      </c>
      <c r="S65" s="174">
        <v>0</v>
      </c>
      <c r="T65" s="174">
        <v>0</v>
      </c>
      <c r="U65" s="174">
        <v>0</v>
      </c>
      <c r="V65" s="174">
        <v>0</v>
      </c>
      <c r="W65" s="174">
        <v>0</v>
      </c>
      <c r="X65" s="174">
        <v>0</v>
      </c>
      <c r="Y65" s="174">
        <v>78379</v>
      </c>
      <c r="Z65" s="174">
        <v>79855</v>
      </c>
      <c r="AA65" s="174">
        <v>8500</v>
      </c>
      <c r="AB65" s="174">
        <v>156150</v>
      </c>
      <c r="AC65" s="174">
        <v>47070</v>
      </c>
      <c r="AD65" s="251">
        <f t="shared" si="5"/>
        <v>369954</v>
      </c>
      <c r="AE65" s="174">
        <f t="shared" si="6"/>
        <v>5</v>
      </c>
    </row>
    <row r="66" spans="1:31" x14ac:dyDescent="0.25">
      <c r="A66" s="217" t="s">
        <v>121</v>
      </c>
      <c r="B66" s="174">
        <v>0</v>
      </c>
      <c r="C66" s="174">
        <v>0</v>
      </c>
      <c r="D66" s="174">
        <v>0</v>
      </c>
      <c r="E66" s="174">
        <v>0</v>
      </c>
      <c r="F66" s="174">
        <v>0</v>
      </c>
      <c r="G66" s="174">
        <v>0</v>
      </c>
      <c r="H66" s="174">
        <v>0</v>
      </c>
      <c r="I66" s="174">
        <v>0</v>
      </c>
      <c r="J66" s="174">
        <v>647600</v>
      </c>
      <c r="K66" s="174">
        <v>1176000</v>
      </c>
      <c r="L66" s="174">
        <v>714900</v>
      </c>
      <c r="M66" s="174">
        <v>1307600</v>
      </c>
      <c r="N66" s="251">
        <f t="shared" si="3"/>
        <v>3846100</v>
      </c>
      <c r="O66" s="251">
        <f t="shared" si="2"/>
        <v>4</v>
      </c>
      <c r="Q66" s="183" t="str">
        <f t="shared" si="7"/>
        <v>VADODARA</v>
      </c>
      <c r="R66" s="174">
        <v>0</v>
      </c>
      <c r="S66" s="174">
        <v>0</v>
      </c>
      <c r="T66" s="174">
        <v>0</v>
      </c>
      <c r="U66" s="174">
        <v>0</v>
      </c>
      <c r="V66" s="174">
        <v>0</v>
      </c>
      <c r="W66" s="174">
        <v>0</v>
      </c>
      <c r="X66" s="174">
        <v>0</v>
      </c>
      <c r="Y66" s="174">
        <v>0</v>
      </c>
      <c r="Z66" s="174">
        <v>10433</v>
      </c>
      <c r="AA66" s="174">
        <v>4388</v>
      </c>
      <c r="AB66" s="174">
        <v>42915</v>
      </c>
      <c r="AC66" s="174">
        <v>32770</v>
      </c>
      <c r="AD66" s="251">
        <f t="shared" si="5"/>
        <v>90506</v>
      </c>
      <c r="AE66" s="174">
        <f t="shared" si="6"/>
        <v>4</v>
      </c>
    </row>
    <row r="67" spans="1:31" x14ac:dyDescent="0.25">
      <c r="A67" s="217" t="s">
        <v>125</v>
      </c>
      <c r="B67" s="174">
        <v>0</v>
      </c>
      <c r="C67" s="174">
        <v>0</v>
      </c>
      <c r="D67" s="174">
        <v>0</v>
      </c>
      <c r="E67" s="174">
        <v>0</v>
      </c>
      <c r="F67" s="174">
        <v>0</v>
      </c>
      <c r="G67" s="174">
        <v>0</v>
      </c>
      <c r="H67" s="174">
        <v>0</v>
      </c>
      <c r="I67" s="174">
        <v>0</v>
      </c>
      <c r="J67" s="174">
        <v>0</v>
      </c>
      <c r="K67" s="174">
        <v>0</v>
      </c>
      <c r="L67" s="174">
        <v>0</v>
      </c>
      <c r="M67" s="174">
        <v>202800</v>
      </c>
      <c r="N67" s="251">
        <f t="shared" si="3"/>
        <v>202800</v>
      </c>
      <c r="O67" s="251">
        <f t="shared" si="2"/>
        <v>1</v>
      </c>
      <c r="Q67" s="183" t="str">
        <f t="shared" si="7"/>
        <v>NASHIK</v>
      </c>
      <c r="R67" s="174">
        <v>0</v>
      </c>
      <c r="S67" s="174">
        <v>0</v>
      </c>
      <c r="T67" s="174">
        <v>0</v>
      </c>
      <c r="U67" s="174">
        <v>0</v>
      </c>
      <c r="V67" s="174">
        <v>0</v>
      </c>
      <c r="W67" s="174">
        <v>0</v>
      </c>
      <c r="X67" s="174">
        <v>0</v>
      </c>
      <c r="Y67" s="174">
        <v>0</v>
      </c>
      <c r="AC67" s="174">
        <v>0</v>
      </c>
      <c r="AD67" s="251">
        <f t="shared" si="5"/>
        <v>0</v>
      </c>
      <c r="AE67" s="174">
        <f t="shared" si="6"/>
        <v>1</v>
      </c>
    </row>
    <row r="68" spans="1:31" x14ac:dyDescent="0.25">
      <c r="A68" s="214" t="s">
        <v>14</v>
      </c>
      <c r="B68" s="214">
        <f>SUM(B40:B67)</f>
        <v>70160750</v>
      </c>
      <c r="C68" s="214">
        <f t="shared" ref="C68:N68" si="8">SUM(C40:C67)</f>
        <v>79958266</v>
      </c>
      <c r="D68" s="214">
        <f t="shared" si="8"/>
        <v>73141094</v>
      </c>
      <c r="E68" s="214">
        <f t="shared" si="8"/>
        <v>79131764</v>
      </c>
      <c r="F68" s="214">
        <f t="shared" si="8"/>
        <v>78662382</v>
      </c>
      <c r="G68" s="214">
        <f t="shared" si="8"/>
        <v>89351479</v>
      </c>
      <c r="H68" s="214">
        <f t="shared" si="8"/>
        <v>90522025</v>
      </c>
      <c r="I68" s="214">
        <f t="shared" si="8"/>
        <v>83698189</v>
      </c>
      <c r="J68" s="214">
        <f t="shared" si="8"/>
        <v>90213428</v>
      </c>
      <c r="K68" s="214">
        <f t="shared" si="8"/>
        <v>88878306</v>
      </c>
      <c r="L68" s="214">
        <f t="shared" si="8"/>
        <v>81281671</v>
      </c>
      <c r="M68" s="214">
        <f t="shared" si="8"/>
        <v>81680751</v>
      </c>
      <c r="N68" s="214">
        <f t="shared" si="8"/>
        <v>986680105</v>
      </c>
      <c r="O68" s="276"/>
      <c r="Q68" s="214" t="str">
        <f t="shared" si="4"/>
        <v>TOTAL</v>
      </c>
      <c r="R68" s="214">
        <f>SUM(R40:R67)</f>
        <v>3617838</v>
      </c>
      <c r="S68" s="214">
        <f t="shared" ref="S68:AD68" si="9">SUM(S40:S67)</f>
        <v>4181596</v>
      </c>
      <c r="T68" s="214">
        <f t="shared" si="9"/>
        <v>3905148</v>
      </c>
      <c r="U68" s="214">
        <f t="shared" si="9"/>
        <v>5054455</v>
      </c>
      <c r="V68" s="214">
        <f t="shared" si="9"/>
        <v>5172172</v>
      </c>
      <c r="W68" s="214">
        <f t="shared" si="9"/>
        <v>5431026</v>
      </c>
      <c r="X68" s="214">
        <f t="shared" si="9"/>
        <v>5434868</v>
      </c>
      <c r="Y68" s="214">
        <f t="shared" si="9"/>
        <v>4848508</v>
      </c>
      <c r="Z68" s="214">
        <f t="shared" si="9"/>
        <v>3573075</v>
      </c>
      <c r="AA68" s="214">
        <f t="shared" si="9"/>
        <v>2965662</v>
      </c>
      <c r="AB68" s="214">
        <f t="shared" si="9"/>
        <v>3848729</v>
      </c>
      <c r="AC68" s="214">
        <f t="shared" si="9"/>
        <v>3069333</v>
      </c>
      <c r="AD68" s="214">
        <f t="shared" si="9"/>
        <v>51102410</v>
      </c>
    </row>
    <row r="69" spans="1:31" x14ac:dyDescent="0.25">
      <c r="M69" s="174" t="s">
        <v>141</v>
      </c>
      <c r="N69" s="174">
        <v>880500</v>
      </c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</row>
    <row r="71" spans="1:31" x14ac:dyDescent="0.25">
      <c r="A71" s="348" t="s">
        <v>104</v>
      </c>
      <c r="B71" s="349"/>
      <c r="C71" s="349"/>
      <c r="D71" s="349"/>
      <c r="E71" s="349"/>
      <c r="F71" s="349"/>
      <c r="G71" s="349"/>
      <c r="H71" s="349"/>
      <c r="I71" s="349"/>
      <c r="J71" s="349"/>
      <c r="K71" s="349"/>
      <c r="L71" s="349"/>
      <c r="M71" s="349"/>
      <c r="N71" s="350"/>
      <c r="O71" s="272"/>
      <c r="Q71" s="351" t="s">
        <v>106</v>
      </c>
      <c r="R71" s="352"/>
      <c r="S71" s="352"/>
      <c r="T71" s="352"/>
      <c r="U71" s="352"/>
      <c r="V71" s="352"/>
      <c r="W71" s="352"/>
      <c r="X71" s="352"/>
      <c r="Y71" s="352"/>
      <c r="Z71" s="352"/>
      <c r="AA71" s="352"/>
      <c r="AB71" s="352"/>
      <c r="AC71" s="352"/>
      <c r="AD71" s="353"/>
    </row>
    <row r="72" spans="1:31" x14ac:dyDescent="0.25">
      <c r="A72" s="214" t="s">
        <v>1</v>
      </c>
      <c r="B72" s="212">
        <v>45383</v>
      </c>
      <c r="C72" s="212">
        <v>45413</v>
      </c>
      <c r="D72" s="212">
        <v>45444</v>
      </c>
      <c r="E72" s="212">
        <v>45474</v>
      </c>
      <c r="F72" s="212">
        <v>45505</v>
      </c>
      <c r="G72" s="212">
        <v>45536</v>
      </c>
      <c r="H72" s="212">
        <v>45566</v>
      </c>
      <c r="I72" s="212">
        <v>45597</v>
      </c>
      <c r="J72" s="212">
        <v>45627</v>
      </c>
      <c r="K72" s="212">
        <v>45658</v>
      </c>
      <c r="L72" s="212">
        <v>45689</v>
      </c>
      <c r="M72" s="212">
        <v>45717</v>
      </c>
      <c r="N72" s="212" t="s">
        <v>14</v>
      </c>
      <c r="O72" s="212" t="s">
        <v>65</v>
      </c>
      <c r="Q72" s="210" t="s">
        <v>89</v>
      </c>
      <c r="R72" s="211">
        <v>45383</v>
      </c>
      <c r="S72" s="211">
        <v>45413</v>
      </c>
      <c r="T72" s="211">
        <v>45444</v>
      </c>
      <c r="U72" s="211">
        <v>45474</v>
      </c>
      <c r="V72" s="211">
        <v>45505</v>
      </c>
      <c r="W72" s="211">
        <v>45536</v>
      </c>
      <c r="X72" s="211">
        <v>45566</v>
      </c>
      <c r="Y72" s="211">
        <v>45597</v>
      </c>
      <c r="Z72" s="211">
        <v>45627</v>
      </c>
      <c r="AA72" s="211">
        <v>45658</v>
      </c>
      <c r="AB72" s="211">
        <v>45689</v>
      </c>
      <c r="AC72" s="212">
        <v>45717</v>
      </c>
      <c r="AD72" s="213" t="s">
        <v>32</v>
      </c>
    </row>
    <row r="73" spans="1:31" x14ac:dyDescent="0.25">
      <c r="A73" s="217" t="s">
        <v>4</v>
      </c>
      <c r="B73" s="191">
        <v>7311900</v>
      </c>
      <c r="C73" s="191">
        <v>8424360</v>
      </c>
      <c r="D73" s="191">
        <v>9822745</v>
      </c>
      <c r="E73" s="191">
        <v>10261770</v>
      </c>
      <c r="F73" s="191">
        <v>9126358</v>
      </c>
      <c r="G73" s="191">
        <v>9768705</v>
      </c>
      <c r="H73" s="191">
        <v>9200770</v>
      </c>
      <c r="I73" s="191">
        <v>10198701</v>
      </c>
      <c r="J73" s="191">
        <v>11308331</v>
      </c>
      <c r="K73" s="191">
        <v>11678380</v>
      </c>
      <c r="L73" s="191">
        <v>11238480</v>
      </c>
      <c r="M73" s="191">
        <v>11348380</v>
      </c>
      <c r="N73" s="192">
        <f>SUM(B73:M73)</f>
        <v>119688880</v>
      </c>
      <c r="O73" s="251">
        <f>COUNTIF(B73:M73,"&gt;"&amp;0)</f>
        <v>12</v>
      </c>
      <c r="Q73" s="178" t="s">
        <v>4</v>
      </c>
      <c r="R73" s="215">
        <v>188390</v>
      </c>
      <c r="S73" s="215">
        <v>185097</v>
      </c>
      <c r="T73" s="215">
        <v>234563</v>
      </c>
      <c r="U73" s="215">
        <v>158597</v>
      </c>
      <c r="V73" s="215">
        <v>154473</v>
      </c>
      <c r="W73" s="215">
        <v>207866</v>
      </c>
      <c r="X73" s="215">
        <v>108419</v>
      </c>
      <c r="Y73" s="215">
        <v>140101</v>
      </c>
      <c r="Z73" s="215">
        <v>264837</v>
      </c>
      <c r="AA73" s="215">
        <v>524464</v>
      </c>
      <c r="AB73" s="215">
        <v>409079</v>
      </c>
      <c r="AC73" s="215">
        <v>553764</v>
      </c>
      <c r="AD73" s="216">
        <f>SUM(R73:AC73)</f>
        <v>3129650</v>
      </c>
    </row>
    <row r="74" spans="1:31" x14ac:dyDescent="0.25">
      <c r="A74" s="217" t="s">
        <v>8</v>
      </c>
      <c r="B74" s="191">
        <v>1257520</v>
      </c>
      <c r="C74" s="191">
        <v>1908790</v>
      </c>
      <c r="D74" s="191">
        <v>1579805</v>
      </c>
      <c r="E74" s="191">
        <v>2070190</v>
      </c>
      <c r="F74" s="191">
        <v>2707233</v>
      </c>
      <c r="G74" s="191">
        <v>2950725</v>
      </c>
      <c r="H74" s="191">
        <v>3106350</v>
      </c>
      <c r="I74" s="191">
        <v>3677339</v>
      </c>
      <c r="J74" s="191">
        <v>2599461</v>
      </c>
      <c r="K74" s="191">
        <v>2777380</v>
      </c>
      <c r="L74" s="191">
        <v>3203520</v>
      </c>
      <c r="M74" s="191">
        <v>2466760</v>
      </c>
      <c r="N74" s="192">
        <f t="shared" ref="N74:N91" si="10">SUM(B74:M74)</f>
        <v>30305073</v>
      </c>
      <c r="O74" s="251">
        <f t="shared" ref="O74:O91" si="11">COUNTIF(B74:M74,"&gt;"&amp;0)</f>
        <v>12</v>
      </c>
      <c r="Q74" s="178" t="s">
        <v>8</v>
      </c>
      <c r="R74" s="215">
        <v>16488</v>
      </c>
      <c r="S74" s="215">
        <v>34495</v>
      </c>
      <c r="T74" s="215">
        <v>38163</v>
      </c>
      <c r="U74" s="215">
        <v>53195</v>
      </c>
      <c r="V74" s="215">
        <v>126670</v>
      </c>
      <c r="W74" s="215">
        <v>133665</v>
      </c>
      <c r="X74" s="215">
        <v>82579</v>
      </c>
      <c r="Y74" s="215">
        <v>59988</v>
      </c>
      <c r="Z74" s="215">
        <v>77340</v>
      </c>
      <c r="AA74" s="215">
        <v>138300</v>
      </c>
      <c r="AB74" s="215">
        <v>118185</v>
      </c>
      <c r="AC74" s="215">
        <v>149110</v>
      </c>
      <c r="AD74" s="216">
        <f t="shared" ref="AD74:AD90" si="12">SUM(R74:AC74)</f>
        <v>1028178</v>
      </c>
    </row>
    <row r="75" spans="1:31" x14ac:dyDescent="0.25">
      <c r="A75" s="217" t="s">
        <v>7</v>
      </c>
      <c r="B75" s="191">
        <v>2125300</v>
      </c>
      <c r="C75" s="191">
        <v>2429264</v>
      </c>
      <c r="D75" s="191">
        <v>2581435</v>
      </c>
      <c r="E75" s="191">
        <v>2228765</v>
      </c>
      <c r="F75" s="191">
        <v>2117635</v>
      </c>
      <c r="G75" s="191">
        <v>3001820</v>
      </c>
      <c r="H75" s="191">
        <v>2257944</v>
      </c>
      <c r="I75" s="191">
        <v>2099920</v>
      </c>
      <c r="J75" s="191">
        <v>2446320</v>
      </c>
      <c r="K75" s="191">
        <v>2601570</v>
      </c>
      <c r="L75" s="191">
        <v>2836500</v>
      </c>
      <c r="M75" s="191">
        <v>3406130</v>
      </c>
      <c r="N75" s="192">
        <f t="shared" si="10"/>
        <v>30132603</v>
      </c>
      <c r="O75" s="251">
        <f t="shared" si="11"/>
        <v>12</v>
      </c>
      <c r="Q75" s="178" t="s">
        <v>7</v>
      </c>
      <c r="R75" s="215">
        <v>73475</v>
      </c>
      <c r="S75" s="215">
        <v>75480</v>
      </c>
      <c r="T75" s="215">
        <v>117575</v>
      </c>
      <c r="U75" s="215">
        <v>62731</v>
      </c>
      <c r="V75" s="215">
        <v>90080</v>
      </c>
      <c r="W75" s="215">
        <v>58565</v>
      </c>
      <c r="X75" s="215">
        <v>74598</v>
      </c>
      <c r="Y75" s="215">
        <v>58770</v>
      </c>
      <c r="Z75" s="215">
        <v>133255</v>
      </c>
      <c r="AA75" s="215">
        <v>161094</v>
      </c>
      <c r="AB75" s="215">
        <v>141614</v>
      </c>
      <c r="AC75" s="215">
        <v>208350</v>
      </c>
      <c r="AD75" s="216">
        <f t="shared" si="12"/>
        <v>1255587</v>
      </c>
    </row>
    <row r="76" spans="1:31" x14ac:dyDescent="0.25">
      <c r="A76" s="217" t="s">
        <v>13</v>
      </c>
      <c r="B76" s="191">
        <v>1257940</v>
      </c>
      <c r="C76" s="191">
        <v>1656318</v>
      </c>
      <c r="D76" s="191">
        <v>1421885</v>
      </c>
      <c r="E76" s="191">
        <v>1926654</v>
      </c>
      <c r="F76" s="191">
        <v>1936080</v>
      </c>
      <c r="G76" s="191">
        <v>1943570</v>
      </c>
      <c r="H76" s="191">
        <v>1385950</v>
      </c>
      <c r="I76" s="191">
        <v>2301200</v>
      </c>
      <c r="J76" s="191">
        <v>1352850</v>
      </c>
      <c r="K76" s="191">
        <v>2700420</v>
      </c>
      <c r="L76" s="191">
        <v>1581080</v>
      </c>
      <c r="M76" s="191">
        <v>2831140</v>
      </c>
      <c r="N76" s="192">
        <f t="shared" si="10"/>
        <v>22295087</v>
      </c>
      <c r="O76" s="251">
        <f t="shared" si="11"/>
        <v>12</v>
      </c>
      <c r="Q76" s="178" t="s">
        <v>13</v>
      </c>
      <c r="R76" s="215">
        <v>18847</v>
      </c>
      <c r="S76" s="215">
        <v>42334</v>
      </c>
      <c r="T76" s="215">
        <v>25876</v>
      </c>
      <c r="U76" s="215">
        <v>36895</v>
      </c>
      <c r="V76" s="215">
        <v>39747</v>
      </c>
      <c r="W76" s="215">
        <v>69675</v>
      </c>
      <c r="X76" s="215">
        <v>39509</v>
      </c>
      <c r="Y76" s="215">
        <v>71590</v>
      </c>
      <c r="Z76" s="215">
        <v>18535</v>
      </c>
      <c r="AA76" s="215">
        <v>82210</v>
      </c>
      <c r="AB76" s="215">
        <v>97815</v>
      </c>
      <c r="AC76" s="215">
        <v>131155</v>
      </c>
      <c r="AD76" s="216">
        <f t="shared" si="12"/>
        <v>674188</v>
      </c>
    </row>
    <row r="77" spans="1:31" x14ac:dyDescent="0.25">
      <c r="A77" s="217" t="s">
        <v>127</v>
      </c>
      <c r="B77" s="191">
        <v>2981080</v>
      </c>
      <c r="C77" s="191">
        <v>5027424</v>
      </c>
      <c r="D77" s="191">
        <v>3916295</v>
      </c>
      <c r="E77" s="191">
        <v>4278935</v>
      </c>
      <c r="F77" s="191">
        <v>4257720</v>
      </c>
      <c r="G77" s="191">
        <v>4275750</v>
      </c>
      <c r="H77" s="191">
        <v>4122580</v>
      </c>
      <c r="I77" s="191">
        <v>4094742</v>
      </c>
      <c r="J77" s="191">
        <v>4387219</v>
      </c>
      <c r="K77" s="191">
        <v>3952711</v>
      </c>
      <c r="L77" s="191">
        <v>3538981</v>
      </c>
      <c r="M77" s="191">
        <v>4903100</v>
      </c>
      <c r="N77" s="192">
        <f t="shared" si="10"/>
        <v>49736537</v>
      </c>
      <c r="O77" s="251">
        <f t="shared" si="11"/>
        <v>12</v>
      </c>
      <c r="Q77" s="178" t="s">
        <v>95</v>
      </c>
      <c r="R77" s="215">
        <v>0</v>
      </c>
      <c r="S77" s="215">
        <v>0</v>
      </c>
      <c r="T77" s="215">
        <v>0</v>
      </c>
      <c r="U77" s="215">
        <v>0</v>
      </c>
      <c r="V77" s="215">
        <v>49070</v>
      </c>
      <c r="W77" s="215">
        <v>48259</v>
      </c>
      <c r="X77" s="215">
        <v>15840</v>
      </c>
      <c r="Y77" s="215">
        <v>47010</v>
      </c>
      <c r="Z77" s="215">
        <v>44159</v>
      </c>
      <c r="AA77" s="215">
        <v>69040</v>
      </c>
      <c r="AB77" s="215">
        <v>71887</v>
      </c>
      <c r="AC77" s="215">
        <v>320979</v>
      </c>
      <c r="AD77" s="216">
        <f t="shared" si="12"/>
        <v>666244</v>
      </c>
    </row>
    <row r="78" spans="1:31" x14ac:dyDescent="0.25">
      <c r="A78" s="217" t="s">
        <v>3</v>
      </c>
      <c r="B78" s="191">
        <v>4938863</v>
      </c>
      <c r="C78" s="191">
        <v>6513200</v>
      </c>
      <c r="D78" s="191">
        <v>6033388</v>
      </c>
      <c r="E78" s="191">
        <v>4912577</v>
      </c>
      <c r="F78" s="191">
        <v>6856478</v>
      </c>
      <c r="G78" s="191">
        <v>4811295</v>
      </c>
      <c r="H78" s="191">
        <v>4460643</v>
      </c>
      <c r="I78" s="191">
        <v>5083680</v>
      </c>
      <c r="J78" s="191">
        <v>6073707</v>
      </c>
      <c r="K78" s="191">
        <v>4584291</v>
      </c>
      <c r="L78" s="191">
        <v>3872070</v>
      </c>
      <c r="M78" s="191">
        <v>4019501</v>
      </c>
      <c r="N78" s="192">
        <f t="shared" si="10"/>
        <v>62159693</v>
      </c>
      <c r="O78" s="251">
        <f t="shared" si="11"/>
        <v>12</v>
      </c>
      <c r="Q78" s="178" t="s">
        <v>127</v>
      </c>
      <c r="R78" s="215">
        <v>132928</v>
      </c>
      <c r="S78" s="215">
        <v>127484</v>
      </c>
      <c r="T78" s="215">
        <v>83803</v>
      </c>
      <c r="U78" s="215">
        <v>171785</v>
      </c>
      <c r="V78" s="215">
        <v>264679</v>
      </c>
      <c r="W78" s="215">
        <v>182429</v>
      </c>
      <c r="X78" s="215">
        <v>245908</v>
      </c>
      <c r="Y78" s="215">
        <v>86078</v>
      </c>
      <c r="Z78" s="215">
        <v>214429</v>
      </c>
      <c r="AA78" s="215">
        <v>250885</v>
      </c>
      <c r="AB78" s="215">
        <v>321510</v>
      </c>
      <c r="AC78" s="215">
        <v>220998</v>
      </c>
      <c r="AD78" s="216">
        <f t="shared" si="12"/>
        <v>2302916</v>
      </c>
    </row>
    <row r="79" spans="1:31" x14ac:dyDescent="0.25">
      <c r="A79" s="217" t="s">
        <v>128</v>
      </c>
      <c r="B79" s="191">
        <v>5699760</v>
      </c>
      <c r="C79" s="191">
        <v>6697359</v>
      </c>
      <c r="D79" s="191">
        <v>4671503</v>
      </c>
      <c r="E79" s="191">
        <v>6299655</v>
      </c>
      <c r="F79" s="191">
        <v>6709843</v>
      </c>
      <c r="G79" s="191">
        <v>5849183</v>
      </c>
      <c r="H79" s="191">
        <v>5643765</v>
      </c>
      <c r="I79" s="191">
        <v>5682566</v>
      </c>
      <c r="J79" s="191">
        <v>7129145</v>
      </c>
      <c r="K79" s="191">
        <v>7005961</v>
      </c>
      <c r="L79" s="191">
        <v>3258930</v>
      </c>
      <c r="M79" s="191">
        <v>7231320</v>
      </c>
      <c r="N79" s="192">
        <f t="shared" si="10"/>
        <v>71878990</v>
      </c>
      <c r="O79" s="251">
        <f t="shared" si="11"/>
        <v>12</v>
      </c>
      <c r="Q79" s="178" t="s">
        <v>128</v>
      </c>
      <c r="R79" s="215">
        <v>192239</v>
      </c>
      <c r="S79" s="215">
        <v>174888</v>
      </c>
      <c r="T79" s="215">
        <v>142091</v>
      </c>
      <c r="U79" s="215">
        <v>222928</v>
      </c>
      <c r="V79" s="215">
        <v>316751</v>
      </c>
      <c r="W79" s="215">
        <v>263476</v>
      </c>
      <c r="X79" s="215">
        <v>285261</v>
      </c>
      <c r="Y79" s="215">
        <v>177125</v>
      </c>
      <c r="Z79" s="215">
        <v>270390</v>
      </c>
      <c r="AA79" s="215">
        <v>331269</v>
      </c>
      <c r="AB79" s="215">
        <v>213250</v>
      </c>
      <c r="AC79" s="215">
        <v>422494</v>
      </c>
      <c r="AD79" s="216">
        <f t="shared" si="12"/>
        <v>3012162</v>
      </c>
    </row>
    <row r="80" spans="1:31" x14ac:dyDescent="0.25">
      <c r="A80" s="217" t="s">
        <v>10</v>
      </c>
      <c r="B80" s="191">
        <v>1154530</v>
      </c>
      <c r="C80" s="191">
        <v>1260075</v>
      </c>
      <c r="D80" s="191">
        <v>1406315</v>
      </c>
      <c r="E80" s="191">
        <v>1730005</v>
      </c>
      <c r="F80" s="191">
        <v>2021150</v>
      </c>
      <c r="G80" s="191">
        <v>1187080</v>
      </c>
      <c r="H80" s="191">
        <v>1535080</v>
      </c>
      <c r="I80" s="191">
        <v>2409940</v>
      </c>
      <c r="J80" s="191">
        <v>2088661</v>
      </c>
      <c r="K80" s="191">
        <v>2406121</v>
      </c>
      <c r="L80" s="191">
        <v>2444921</v>
      </c>
      <c r="M80" s="191">
        <v>2403640</v>
      </c>
      <c r="N80" s="192">
        <f t="shared" si="10"/>
        <v>22047518</v>
      </c>
      <c r="O80" s="251">
        <f t="shared" si="11"/>
        <v>12</v>
      </c>
      <c r="Q80" s="178" t="s">
        <v>3</v>
      </c>
      <c r="R80" s="215">
        <v>170622</v>
      </c>
      <c r="S80" s="215">
        <v>161608</v>
      </c>
      <c r="T80" s="215">
        <v>134654</v>
      </c>
      <c r="U80" s="215">
        <v>121368</v>
      </c>
      <c r="V80" s="215">
        <v>226517</v>
      </c>
      <c r="W80" s="215">
        <v>208953</v>
      </c>
      <c r="X80" s="215">
        <v>116624</v>
      </c>
      <c r="Y80" s="215">
        <v>123029</v>
      </c>
      <c r="Z80" s="215">
        <v>179408</v>
      </c>
      <c r="AA80" s="215">
        <v>208690</v>
      </c>
      <c r="AB80" s="215">
        <v>207329</v>
      </c>
      <c r="AC80" s="215">
        <v>104400</v>
      </c>
      <c r="AD80" s="216">
        <f t="shared" si="12"/>
        <v>1963202</v>
      </c>
    </row>
    <row r="81" spans="1:30" x14ac:dyDescent="0.25">
      <c r="A81" s="217" t="s">
        <v>11</v>
      </c>
      <c r="B81" s="191">
        <v>4714150</v>
      </c>
      <c r="C81" s="191">
        <v>3873718</v>
      </c>
      <c r="D81" s="191">
        <v>4104315</v>
      </c>
      <c r="E81" s="191">
        <v>3869765</v>
      </c>
      <c r="F81" s="191">
        <v>3527995</v>
      </c>
      <c r="G81" s="191">
        <v>4152370</v>
      </c>
      <c r="H81" s="191">
        <v>2811367</v>
      </c>
      <c r="I81" s="191">
        <v>2616760</v>
      </c>
      <c r="J81" s="191">
        <v>3757151</v>
      </c>
      <c r="K81" s="191">
        <v>4105780</v>
      </c>
      <c r="L81" s="191">
        <v>4180910</v>
      </c>
      <c r="M81" s="191">
        <v>4110798</v>
      </c>
      <c r="N81" s="192">
        <f t="shared" si="10"/>
        <v>45825079</v>
      </c>
      <c r="O81" s="251">
        <f t="shared" si="11"/>
        <v>12</v>
      </c>
      <c r="Q81" s="178" t="s">
        <v>10</v>
      </c>
      <c r="R81" s="215">
        <v>47460</v>
      </c>
      <c r="S81" s="215">
        <v>51725</v>
      </c>
      <c r="T81" s="215">
        <v>57550</v>
      </c>
      <c r="U81" s="215">
        <v>52500</v>
      </c>
      <c r="V81" s="215">
        <v>84799</v>
      </c>
      <c r="W81" s="215">
        <v>56690</v>
      </c>
      <c r="X81" s="215">
        <v>3760</v>
      </c>
      <c r="Y81" s="215">
        <v>53007</v>
      </c>
      <c r="Z81" s="215">
        <v>23899</v>
      </c>
      <c r="AA81" s="215">
        <v>88765</v>
      </c>
      <c r="AB81" s="215">
        <v>93305</v>
      </c>
      <c r="AC81" s="215">
        <v>98450</v>
      </c>
      <c r="AD81" s="216">
        <f t="shared" si="12"/>
        <v>711910</v>
      </c>
    </row>
    <row r="82" spans="1:30" x14ac:dyDescent="0.25">
      <c r="A82" s="217" t="s">
        <v>5</v>
      </c>
      <c r="B82" s="191">
        <v>3425680</v>
      </c>
      <c r="C82" s="191">
        <v>3149474</v>
      </c>
      <c r="D82" s="191">
        <v>2939660</v>
      </c>
      <c r="E82" s="191">
        <v>3112190</v>
      </c>
      <c r="F82" s="191">
        <v>3376601</v>
      </c>
      <c r="G82" s="191">
        <v>3611010</v>
      </c>
      <c r="H82" s="191">
        <v>4695164</v>
      </c>
      <c r="I82" s="191">
        <v>4500338</v>
      </c>
      <c r="J82" s="191">
        <v>4298211</v>
      </c>
      <c r="K82" s="191">
        <v>3973885</v>
      </c>
      <c r="L82" s="191">
        <v>3870920</v>
      </c>
      <c r="M82" s="191">
        <v>4945427</v>
      </c>
      <c r="N82" s="192">
        <f t="shared" si="10"/>
        <v>45898560</v>
      </c>
      <c r="O82" s="251">
        <f t="shared" si="11"/>
        <v>12</v>
      </c>
      <c r="Q82" s="178" t="s">
        <v>11</v>
      </c>
      <c r="R82" s="215">
        <v>124712</v>
      </c>
      <c r="S82" s="215">
        <v>49075</v>
      </c>
      <c r="T82" s="215">
        <v>48351</v>
      </c>
      <c r="U82" s="215">
        <v>52982</v>
      </c>
      <c r="V82" s="215">
        <v>55850</v>
      </c>
      <c r="W82" s="215">
        <v>96445</v>
      </c>
      <c r="X82" s="215">
        <v>41835</v>
      </c>
      <c r="Y82" s="215">
        <v>34240</v>
      </c>
      <c r="Z82" s="215">
        <v>76390</v>
      </c>
      <c r="AA82" s="215">
        <v>128460</v>
      </c>
      <c r="AB82" s="215">
        <v>126260</v>
      </c>
      <c r="AC82" s="215">
        <v>151876</v>
      </c>
      <c r="AD82" s="216">
        <f t="shared" si="12"/>
        <v>986476</v>
      </c>
    </row>
    <row r="83" spans="1:30" x14ac:dyDescent="0.25">
      <c r="A83" s="217" t="s">
        <v>23</v>
      </c>
      <c r="B83" s="191">
        <v>3090128</v>
      </c>
      <c r="C83" s="191">
        <v>3569555</v>
      </c>
      <c r="D83" s="191">
        <v>3378240</v>
      </c>
      <c r="E83" s="191">
        <v>2778020</v>
      </c>
      <c r="F83" s="191">
        <v>3347845</v>
      </c>
      <c r="G83" s="191">
        <v>4243670</v>
      </c>
      <c r="H83" s="191">
        <v>3808680</v>
      </c>
      <c r="I83" s="191">
        <v>4208070</v>
      </c>
      <c r="J83" s="191">
        <v>4073980</v>
      </c>
      <c r="K83" s="191">
        <v>3777580</v>
      </c>
      <c r="L83" s="191">
        <v>4500960</v>
      </c>
      <c r="M83" s="191">
        <v>4523160</v>
      </c>
      <c r="N83" s="192">
        <f t="shared" si="10"/>
        <v>45299888</v>
      </c>
      <c r="O83" s="251">
        <f t="shared" si="11"/>
        <v>12</v>
      </c>
      <c r="Q83" s="178" t="s">
        <v>86</v>
      </c>
      <c r="R83" s="215">
        <v>0</v>
      </c>
      <c r="S83" s="215">
        <v>37200</v>
      </c>
      <c r="T83" s="215">
        <v>25980</v>
      </c>
      <c r="U83" s="215">
        <v>26858</v>
      </c>
      <c r="V83" s="215">
        <v>82660</v>
      </c>
      <c r="W83" s="215">
        <v>48320</v>
      </c>
      <c r="X83" s="215">
        <v>14620</v>
      </c>
      <c r="Y83" s="215">
        <v>18989</v>
      </c>
      <c r="Z83" s="215">
        <v>110954</v>
      </c>
      <c r="AA83" s="215">
        <v>89180</v>
      </c>
      <c r="AB83" s="215">
        <v>113645</v>
      </c>
      <c r="AC83" s="215">
        <v>240965</v>
      </c>
      <c r="AD83" s="216">
        <f t="shared" si="12"/>
        <v>809371</v>
      </c>
    </row>
    <row r="84" spans="1:30" x14ac:dyDescent="0.25">
      <c r="A84" s="217" t="s">
        <v>129</v>
      </c>
      <c r="B84" s="191">
        <v>4616990</v>
      </c>
      <c r="C84" s="191">
        <v>5394155</v>
      </c>
      <c r="D84" s="191">
        <v>4808915</v>
      </c>
      <c r="E84" s="191">
        <v>3717645</v>
      </c>
      <c r="F84" s="191">
        <v>5158745</v>
      </c>
      <c r="G84" s="191">
        <v>3984228</v>
      </c>
      <c r="H84" s="191">
        <v>2934499</v>
      </c>
      <c r="I84" s="191">
        <v>2988480</v>
      </c>
      <c r="J84" s="191">
        <v>3280160</v>
      </c>
      <c r="K84" s="191">
        <v>4948340</v>
      </c>
      <c r="L84" s="191">
        <v>3800480</v>
      </c>
      <c r="M84" s="191">
        <v>4563690</v>
      </c>
      <c r="N84" s="192">
        <f t="shared" si="10"/>
        <v>50196327</v>
      </c>
      <c r="O84" s="251">
        <f t="shared" si="11"/>
        <v>12</v>
      </c>
      <c r="Q84" s="178" t="s">
        <v>5</v>
      </c>
      <c r="R84" s="215">
        <v>43107</v>
      </c>
      <c r="S84" s="215">
        <v>68115</v>
      </c>
      <c r="T84" s="215">
        <v>90503</v>
      </c>
      <c r="U84" s="215">
        <v>28095</v>
      </c>
      <c r="V84" s="215">
        <v>63415</v>
      </c>
      <c r="W84" s="215">
        <v>54670</v>
      </c>
      <c r="X84" s="215">
        <v>79028</v>
      </c>
      <c r="Y84" s="215">
        <v>47845</v>
      </c>
      <c r="Z84" s="215">
        <v>86689</v>
      </c>
      <c r="AA84" s="215">
        <v>161759</v>
      </c>
      <c r="AB84" s="215">
        <v>176900</v>
      </c>
      <c r="AC84" s="215">
        <v>157893</v>
      </c>
      <c r="AD84" s="216">
        <f t="shared" si="12"/>
        <v>1058019</v>
      </c>
    </row>
    <row r="85" spans="1:30" x14ac:dyDescent="0.25">
      <c r="A85" s="217" t="s">
        <v>9</v>
      </c>
      <c r="B85" s="191">
        <v>1115800</v>
      </c>
      <c r="C85" s="191">
        <v>1506153</v>
      </c>
      <c r="D85" s="191">
        <v>1044020</v>
      </c>
      <c r="E85" s="191">
        <v>1040020</v>
      </c>
      <c r="F85" s="191">
        <v>791545</v>
      </c>
      <c r="G85" s="191">
        <v>1742320</v>
      </c>
      <c r="H85" s="191">
        <v>1136172</v>
      </c>
      <c r="I85" s="191">
        <v>1368480</v>
      </c>
      <c r="J85" s="191">
        <v>1428800</v>
      </c>
      <c r="K85" s="191">
        <v>1609890</v>
      </c>
      <c r="L85" s="191">
        <v>1290600</v>
      </c>
      <c r="M85" s="191">
        <v>1613030</v>
      </c>
      <c r="N85" s="192">
        <f t="shared" si="10"/>
        <v>15686830</v>
      </c>
      <c r="O85" s="251">
        <f t="shared" si="11"/>
        <v>12</v>
      </c>
      <c r="Q85" s="178" t="s">
        <v>23</v>
      </c>
      <c r="R85" s="215">
        <v>74587</v>
      </c>
      <c r="S85" s="215">
        <v>98711</v>
      </c>
      <c r="T85" s="215">
        <v>90285</v>
      </c>
      <c r="U85" s="215">
        <v>59056</v>
      </c>
      <c r="V85" s="215">
        <v>118875</v>
      </c>
      <c r="W85" s="215">
        <v>100333</v>
      </c>
      <c r="X85" s="215">
        <v>59328</v>
      </c>
      <c r="Y85" s="215">
        <v>135594</v>
      </c>
      <c r="Z85" s="215">
        <v>120724</v>
      </c>
      <c r="AA85" s="215">
        <v>194400</v>
      </c>
      <c r="AB85" s="215">
        <v>220263</v>
      </c>
      <c r="AC85" s="215">
        <v>61780</v>
      </c>
      <c r="AD85" s="216">
        <f t="shared" si="12"/>
        <v>1333936</v>
      </c>
    </row>
    <row r="86" spans="1:30" x14ac:dyDescent="0.25">
      <c r="A86" s="217" t="s">
        <v>12</v>
      </c>
      <c r="B86" s="191">
        <v>952395</v>
      </c>
      <c r="C86" s="191">
        <v>2112485</v>
      </c>
      <c r="D86" s="191">
        <v>945930</v>
      </c>
      <c r="E86" s="191">
        <v>1568090</v>
      </c>
      <c r="F86" s="191">
        <v>1951060</v>
      </c>
      <c r="G86" s="191">
        <v>1733515</v>
      </c>
      <c r="H86" s="191">
        <v>1524675</v>
      </c>
      <c r="I86" s="191">
        <v>1146920</v>
      </c>
      <c r="J86" s="191">
        <v>1538660</v>
      </c>
      <c r="K86" s="191">
        <v>1779970</v>
      </c>
      <c r="L86" s="191">
        <v>874990</v>
      </c>
      <c r="M86" s="191">
        <v>2105800</v>
      </c>
      <c r="N86" s="192">
        <f t="shared" si="10"/>
        <v>18234490</v>
      </c>
      <c r="O86" s="251">
        <f t="shared" si="11"/>
        <v>12</v>
      </c>
      <c r="Q86" s="178" t="s">
        <v>87</v>
      </c>
      <c r="R86" s="215">
        <v>0</v>
      </c>
      <c r="S86" s="215">
        <v>0</v>
      </c>
      <c r="T86" s="215">
        <v>6780</v>
      </c>
      <c r="U86" s="215">
        <v>11300</v>
      </c>
      <c r="V86" s="215">
        <v>22050</v>
      </c>
      <c r="W86" s="215">
        <v>28035</v>
      </c>
      <c r="X86" s="215">
        <v>15800</v>
      </c>
      <c r="Y86" s="215">
        <v>11630</v>
      </c>
      <c r="Z86" s="215">
        <v>42400</v>
      </c>
      <c r="AA86" s="215">
        <v>90014</v>
      </c>
      <c r="AB86" s="215">
        <v>196128</v>
      </c>
      <c r="AC86" s="215">
        <v>94537</v>
      </c>
      <c r="AD86" s="216">
        <f t="shared" si="12"/>
        <v>518674</v>
      </c>
    </row>
    <row r="87" spans="1:30" x14ac:dyDescent="0.25">
      <c r="A87" s="217" t="s">
        <v>86</v>
      </c>
      <c r="B87" s="191">
        <v>0</v>
      </c>
      <c r="C87" s="191">
        <v>1703394</v>
      </c>
      <c r="D87" s="191">
        <v>1767790</v>
      </c>
      <c r="E87" s="191">
        <v>1883300</v>
      </c>
      <c r="F87" s="191">
        <v>2215303</v>
      </c>
      <c r="G87" s="191">
        <v>2321815</v>
      </c>
      <c r="H87" s="191">
        <v>2244502</v>
      </c>
      <c r="I87" s="191">
        <v>1450274</v>
      </c>
      <c r="J87" s="191">
        <v>2034760</v>
      </c>
      <c r="K87" s="191">
        <v>2424682</v>
      </c>
      <c r="L87" s="191">
        <v>2037650</v>
      </c>
      <c r="M87" s="191">
        <v>3074701</v>
      </c>
      <c r="N87" s="192">
        <f t="shared" si="10"/>
        <v>23158171</v>
      </c>
      <c r="O87" s="251">
        <f t="shared" si="11"/>
        <v>11</v>
      </c>
      <c r="Q87" s="178" t="s">
        <v>129</v>
      </c>
      <c r="R87" s="215">
        <v>115115</v>
      </c>
      <c r="S87" s="215">
        <v>142194</v>
      </c>
      <c r="T87" s="215">
        <v>113164</v>
      </c>
      <c r="U87" s="215">
        <v>106027</v>
      </c>
      <c r="V87" s="215">
        <v>225310</v>
      </c>
      <c r="W87" s="215">
        <v>121348</v>
      </c>
      <c r="X87" s="215">
        <v>48473</v>
      </c>
      <c r="Y87" s="215">
        <v>64707</v>
      </c>
      <c r="Z87" s="215">
        <v>62684</v>
      </c>
      <c r="AA87" s="215">
        <v>123828</v>
      </c>
      <c r="AB87" s="215">
        <v>113814</v>
      </c>
      <c r="AC87" s="215">
        <v>157270</v>
      </c>
      <c r="AD87" s="216">
        <f t="shared" si="12"/>
        <v>1393934</v>
      </c>
    </row>
    <row r="88" spans="1:30" x14ac:dyDescent="0.25">
      <c r="A88" s="217" t="s">
        <v>130</v>
      </c>
      <c r="B88" s="191">
        <v>0</v>
      </c>
      <c r="C88" s="191">
        <v>0</v>
      </c>
      <c r="D88" s="191">
        <v>1325960</v>
      </c>
      <c r="E88" s="191">
        <v>1667615</v>
      </c>
      <c r="F88" s="191">
        <v>2422180</v>
      </c>
      <c r="G88" s="191">
        <v>2716860</v>
      </c>
      <c r="H88" s="191">
        <v>2699452</v>
      </c>
      <c r="I88" s="191">
        <v>1625680</v>
      </c>
      <c r="J88" s="191">
        <v>3224109</v>
      </c>
      <c r="K88" s="191">
        <v>3668161</v>
      </c>
      <c r="L88" s="191">
        <v>3113364</v>
      </c>
      <c r="M88" s="191">
        <v>3111261</v>
      </c>
      <c r="N88" s="192">
        <f t="shared" si="10"/>
        <v>25574642</v>
      </c>
      <c r="O88" s="251">
        <f t="shared" si="11"/>
        <v>10</v>
      </c>
      <c r="Q88" s="178" t="s">
        <v>130</v>
      </c>
      <c r="R88" s="215">
        <v>0</v>
      </c>
      <c r="S88" s="215">
        <v>0</v>
      </c>
      <c r="T88" s="215">
        <v>46480</v>
      </c>
      <c r="U88" s="215">
        <v>54050</v>
      </c>
      <c r="V88" s="215">
        <v>89470</v>
      </c>
      <c r="W88" s="215">
        <v>84783</v>
      </c>
      <c r="X88" s="215">
        <v>44670</v>
      </c>
      <c r="Y88" s="215">
        <v>25173</v>
      </c>
      <c r="Z88" s="215">
        <v>52751</v>
      </c>
      <c r="AA88" s="215">
        <v>148519</v>
      </c>
      <c r="AB88" s="215">
        <v>123109</v>
      </c>
      <c r="AC88" s="215">
        <v>84790</v>
      </c>
      <c r="AD88" s="216">
        <f t="shared" si="12"/>
        <v>753795</v>
      </c>
    </row>
    <row r="89" spans="1:30" x14ac:dyDescent="0.25">
      <c r="A89" s="217" t="s">
        <v>87</v>
      </c>
      <c r="B89" s="191">
        <v>0</v>
      </c>
      <c r="C89" s="191">
        <v>0</v>
      </c>
      <c r="D89" s="191">
        <v>365765</v>
      </c>
      <c r="E89" s="191">
        <v>496995</v>
      </c>
      <c r="F89" s="191">
        <v>1153960</v>
      </c>
      <c r="G89" s="191">
        <v>1234115</v>
      </c>
      <c r="H89" s="191">
        <v>984710</v>
      </c>
      <c r="I89" s="191">
        <v>683570</v>
      </c>
      <c r="J89" s="191">
        <v>1032260</v>
      </c>
      <c r="K89" s="191">
        <v>862030</v>
      </c>
      <c r="L89" s="191">
        <v>1880570</v>
      </c>
      <c r="M89" s="191">
        <v>977830</v>
      </c>
      <c r="N89" s="192">
        <f t="shared" si="10"/>
        <v>9671805</v>
      </c>
      <c r="O89" s="251">
        <f t="shared" si="11"/>
        <v>10</v>
      </c>
      <c r="Q89" s="178" t="s">
        <v>9</v>
      </c>
      <c r="R89" s="215">
        <v>65722</v>
      </c>
      <c r="S89" s="215">
        <v>37366</v>
      </c>
      <c r="T89" s="215">
        <v>33186</v>
      </c>
      <c r="U89" s="215">
        <v>29786</v>
      </c>
      <c r="V89" s="215">
        <v>61463</v>
      </c>
      <c r="W89" s="215">
        <v>70076</v>
      </c>
      <c r="X89" s="215">
        <v>50918</v>
      </c>
      <c r="Y89" s="215">
        <v>44121</v>
      </c>
      <c r="Z89" s="215">
        <v>60276</v>
      </c>
      <c r="AA89" s="215">
        <v>67513</v>
      </c>
      <c r="AB89" s="215">
        <v>33677</v>
      </c>
      <c r="AC89" s="215">
        <v>156595</v>
      </c>
      <c r="AD89" s="216">
        <f t="shared" si="12"/>
        <v>710699</v>
      </c>
    </row>
    <row r="90" spans="1:30" x14ac:dyDescent="0.25">
      <c r="A90" s="217" t="s">
        <v>95</v>
      </c>
      <c r="B90" s="191">
        <v>0</v>
      </c>
      <c r="C90" s="191">
        <v>0</v>
      </c>
      <c r="D90" s="191">
        <v>0</v>
      </c>
      <c r="E90" s="191">
        <v>0</v>
      </c>
      <c r="F90" s="191">
        <v>1323865</v>
      </c>
      <c r="G90" s="191">
        <v>2185385</v>
      </c>
      <c r="H90" s="191">
        <v>1476700</v>
      </c>
      <c r="I90" s="191">
        <v>1312300</v>
      </c>
      <c r="J90" s="191">
        <v>1554950</v>
      </c>
      <c r="K90" s="191">
        <v>1479840</v>
      </c>
      <c r="L90" s="191">
        <v>1642740</v>
      </c>
      <c r="M90" s="191">
        <v>2210380</v>
      </c>
      <c r="N90" s="192">
        <f t="shared" si="10"/>
        <v>13186160</v>
      </c>
      <c r="O90" s="251">
        <f t="shared" si="11"/>
        <v>8</v>
      </c>
      <c r="Q90" s="178" t="s">
        <v>12</v>
      </c>
      <c r="R90" s="215">
        <v>18830</v>
      </c>
      <c r="S90" s="215">
        <v>71210</v>
      </c>
      <c r="T90" s="215">
        <v>49207</v>
      </c>
      <c r="U90" s="215">
        <v>58852</v>
      </c>
      <c r="V90" s="215">
        <v>56438</v>
      </c>
      <c r="W90" s="215">
        <v>71745</v>
      </c>
      <c r="X90" s="215">
        <v>38996</v>
      </c>
      <c r="Y90" s="215">
        <v>23647</v>
      </c>
      <c r="Z90" s="215">
        <v>75333</v>
      </c>
      <c r="AA90" s="215">
        <v>80950</v>
      </c>
      <c r="AB90" s="215">
        <v>78084</v>
      </c>
      <c r="AC90" s="215">
        <v>86720</v>
      </c>
      <c r="AD90" s="216">
        <f t="shared" si="12"/>
        <v>710012</v>
      </c>
    </row>
    <row r="91" spans="1:30" x14ac:dyDescent="0.25">
      <c r="A91" s="217" t="s">
        <v>103</v>
      </c>
      <c r="B91" s="191">
        <v>110100</v>
      </c>
      <c r="C91" s="191">
        <v>4800</v>
      </c>
      <c r="D91" s="191">
        <v>0</v>
      </c>
      <c r="E91" s="191">
        <v>0</v>
      </c>
      <c r="F91" s="191">
        <v>0</v>
      </c>
      <c r="G91" s="191">
        <v>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1738080</v>
      </c>
      <c r="N91" s="192">
        <f t="shared" si="10"/>
        <v>1852980</v>
      </c>
      <c r="O91" s="251">
        <f t="shared" si="11"/>
        <v>3</v>
      </c>
      <c r="Q91" s="210" t="s">
        <v>44</v>
      </c>
      <c r="R91" s="213">
        <f t="shared" ref="R91:AD91" si="13">SUM(R73:R90)</f>
        <v>1282522</v>
      </c>
      <c r="S91" s="213">
        <f t="shared" si="13"/>
        <v>1356982</v>
      </c>
      <c r="T91" s="213">
        <f t="shared" si="13"/>
        <v>1338211</v>
      </c>
      <c r="U91" s="213">
        <f t="shared" si="13"/>
        <v>1307005</v>
      </c>
      <c r="V91" s="213">
        <f t="shared" si="13"/>
        <v>2128317</v>
      </c>
      <c r="W91" s="213">
        <f t="shared" si="13"/>
        <v>1905333</v>
      </c>
      <c r="X91" s="213">
        <f t="shared" si="13"/>
        <v>1366166</v>
      </c>
      <c r="Y91" s="213">
        <f t="shared" si="13"/>
        <v>1222644</v>
      </c>
      <c r="Z91" s="213">
        <f t="shared" si="13"/>
        <v>1914453</v>
      </c>
      <c r="AA91" s="213">
        <f t="shared" si="13"/>
        <v>2939340</v>
      </c>
      <c r="AB91" s="213">
        <f t="shared" si="13"/>
        <v>2855854</v>
      </c>
      <c r="AC91" s="213">
        <f t="shared" si="13"/>
        <v>3402126</v>
      </c>
      <c r="AD91" s="213">
        <f t="shared" si="13"/>
        <v>23018953</v>
      </c>
    </row>
    <row r="92" spans="1:30" x14ac:dyDescent="0.25">
      <c r="A92" s="214" t="s">
        <v>14</v>
      </c>
      <c r="B92" s="214">
        <f t="shared" ref="B92:N92" si="14">SUM(B73:B91)</f>
        <v>44752136</v>
      </c>
      <c r="C92" s="214">
        <f t="shared" si="14"/>
        <v>55230524</v>
      </c>
      <c r="D92" s="214">
        <f t="shared" si="14"/>
        <v>52113966</v>
      </c>
      <c r="E92" s="214">
        <f t="shared" si="14"/>
        <v>53842191</v>
      </c>
      <c r="F92" s="214">
        <f t="shared" si="14"/>
        <v>61001596</v>
      </c>
      <c r="G92" s="214">
        <f t="shared" si="14"/>
        <v>61713416</v>
      </c>
      <c r="H92" s="214">
        <f t="shared" si="14"/>
        <v>56029003</v>
      </c>
      <c r="I92" s="214">
        <f t="shared" si="14"/>
        <v>57448960</v>
      </c>
      <c r="J92" s="214">
        <f t="shared" si="14"/>
        <v>63608735</v>
      </c>
      <c r="K92" s="214">
        <f t="shared" si="14"/>
        <v>66336992</v>
      </c>
      <c r="L92" s="214">
        <f t="shared" si="14"/>
        <v>59167666</v>
      </c>
      <c r="M92" s="214">
        <f t="shared" si="14"/>
        <v>71584128</v>
      </c>
      <c r="N92" s="214">
        <f t="shared" si="14"/>
        <v>702829313</v>
      </c>
      <c r="O92" s="276"/>
    </row>
    <row r="95" spans="1:30" x14ac:dyDescent="0.25">
      <c r="A95" s="354" t="s">
        <v>99</v>
      </c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272"/>
      <c r="Q95" s="354" t="s">
        <v>105</v>
      </c>
      <c r="R95" s="354"/>
      <c r="S95" s="354"/>
      <c r="T95" s="354"/>
      <c r="U95" s="354"/>
      <c r="V95" s="354"/>
      <c r="W95" s="354"/>
      <c r="X95" s="354"/>
      <c r="Y95" s="354"/>
      <c r="Z95" s="354"/>
      <c r="AA95" s="354"/>
      <c r="AB95" s="354"/>
      <c r="AC95" s="354"/>
      <c r="AD95" s="354"/>
    </row>
    <row r="96" spans="1:30" x14ac:dyDescent="0.25">
      <c r="A96" s="196" t="s">
        <v>46</v>
      </c>
      <c r="B96" s="197">
        <v>45017</v>
      </c>
      <c r="C96" s="197">
        <v>45047</v>
      </c>
      <c r="D96" s="197">
        <v>45078</v>
      </c>
      <c r="E96" s="197">
        <v>45108</v>
      </c>
      <c r="F96" s="197">
        <v>45139</v>
      </c>
      <c r="G96" s="197">
        <v>45170</v>
      </c>
      <c r="H96" s="197">
        <v>45200</v>
      </c>
      <c r="I96" s="197">
        <v>45231</v>
      </c>
      <c r="J96" s="197">
        <v>45261</v>
      </c>
      <c r="K96" s="197">
        <v>45292</v>
      </c>
      <c r="L96" s="197">
        <v>45323</v>
      </c>
      <c r="M96" s="197">
        <v>45352</v>
      </c>
      <c r="N96" s="197" t="s">
        <v>32</v>
      </c>
      <c r="O96" s="273"/>
      <c r="Q96" s="196" t="s">
        <v>46</v>
      </c>
      <c r="R96" s="197">
        <v>45017</v>
      </c>
      <c r="S96" s="197">
        <v>45047</v>
      </c>
      <c r="T96" s="197">
        <v>45078</v>
      </c>
      <c r="U96" s="197">
        <v>45108</v>
      </c>
      <c r="V96" s="197">
        <v>45139</v>
      </c>
      <c r="W96" s="197">
        <v>45170</v>
      </c>
      <c r="X96" s="197">
        <v>45200</v>
      </c>
      <c r="Y96" s="197">
        <v>45231</v>
      </c>
      <c r="Z96" s="197">
        <v>45261</v>
      </c>
      <c r="AA96" s="197">
        <v>45292</v>
      </c>
      <c r="AB96" s="197">
        <v>45323</v>
      </c>
      <c r="AC96" s="197">
        <v>45352</v>
      </c>
      <c r="AD96" s="197" t="s">
        <v>32</v>
      </c>
    </row>
    <row r="97" spans="1:30" x14ac:dyDescent="0.25">
      <c r="A97" s="198" t="s">
        <v>4</v>
      </c>
      <c r="B97" s="199">
        <v>5446190</v>
      </c>
      <c r="C97" s="200">
        <v>6036990</v>
      </c>
      <c r="D97" s="200">
        <v>7164000</v>
      </c>
      <c r="E97" s="200">
        <v>8154175</v>
      </c>
      <c r="F97" s="201">
        <v>6949630</v>
      </c>
      <c r="G97" s="200">
        <v>7347890</v>
      </c>
      <c r="H97" s="200">
        <v>7231156</v>
      </c>
      <c r="I97" s="200">
        <v>5934791</v>
      </c>
      <c r="J97" s="200">
        <v>7761730</v>
      </c>
      <c r="K97" s="200">
        <v>11629595</v>
      </c>
      <c r="L97" s="200">
        <v>10452250</v>
      </c>
      <c r="M97" s="200">
        <v>8167935</v>
      </c>
      <c r="N97" s="202">
        <f>SUM(B97:M97)</f>
        <v>92276332</v>
      </c>
      <c r="O97" s="274"/>
      <c r="Q97" s="198" t="s">
        <v>4</v>
      </c>
      <c r="R97" s="203">
        <v>227921</v>
      </c>
      <c r="S97" s="203">
        <v>289399</v>
      </c>
      <c r="T97" s="203">
        <v>310010</v>
      </c>
      <c r="U97" s="203">
        <v>367958</v>
      </c>
      <c r="V97" s="203">
        <v>351415.01</v>
      </c>
      <c r="W97" s="203">
        <v>336864</v>
      </c>
      <c r="X97" s="203">
        <v>345054</v>
      </c>
      <c r="Y97" s="203">
        <v>266213</v>
      </c>
      <c r="Z97" s="204">
        <v>352100</v>
      </c>
      <c r="AA97" s="203">
        <v>368376</v>
      </c>
      <c r="AB97" s="203">
        <v>191097</v>
      </c>
      <c r="AC97" s="203">
        <v>207187</v>
      </c>
      <c r="AD97" s="205">
        <f t="shared" ref="AD97:AD110" si="15">SUM(R97:AC97)</f>
        <v>3613594.01</v>
      </c>
    </row>
    <row r="98" spans="1:30" x14ac:dyDescent="0.25">
      <c r="A98" s="198" t="s">
        <v>8</v>
      </c>
      <c r="B98" s="199">
        <v>2061000</v>
      </c>
      <c r="C98" s="200">
        <v>1723900</v>
      </c>
      <c r="D98" s="200">
        <v>1791650</v>
      </c>
      <c r="E98" s="200">
        <v>2449000</v>
      </c>
      <c r="F98" s="201">
        <v>2689350</v>
      </c>
      <c r="G98" s="200">
        <v>2222200</v>
      </c>
      <c r="H98" s="200">
        <v>1784500</v>
      </c>
      <c r="I98" s="200">
        <v>2114600</v>
      </c>
      <c r="J98" s="200">
        <v>2833050</v>
      </c>
      <c r="K98" s="200">
        <v>2168720</v>
      </c>
      <c r="L98" s="200">
        <v>2418158</v>
      </c>
      <c r="M98" s="200">
        <v>2590910</v>
      </c>
      <c r="N98" s="202">
        <f t="shared" ref="N98:N111" si="16">SUM(B98:M98)</f>
        <v>26847038</v>
      </c>
      <c r="O98" s="274"/>
      <c r="Q98" s="198" t="s">
        <v>8</v>
      </c>
      <c r="R98" s="203">
        <v>33753</v>
      </c>
      <c r="S98" s="203">
        <v>49691</v>
      </c>
      <c r="T98" s="203">
        <v>25317</v>
      </c>
      <c r="U98" s="203">
        <v>64478</v>
      </c>
      <c r="V98" s="203">
        <v>47845</v>
      </c>
      <c r="W98" s="203">
        <v>56540</v>
      </c>
      <c r="X98" s="203">
        <v>44760</v>
      </c>
      <c r="Y98" s="203">
        <v>88384</v>
      </c>
      <c r="Z98" s="204">
        <v>69813</v>
      </c>
      <c r="AA98" s="203">
        <v>61458</v>
      </c>
      <c r="AB98" s="203">
        <v>45913</v>
      </c>
      <c r="AC98" s="203">
        <v>42730</v>
      </c>
      <c r="AD98" s="205">
        <f t="shared" si="15"/>
        <v>630682</v>
      </c>
    </row>
    <row r="99" spans="1:30" x14ac:dyDescent="0.25">
      <c r="A99" s="198" t="s">
        <v>7</v>
      </c>
      <c r="B99" s="199">
        <v>1546100</v>
      </c>
      <c r="C99" s="200">
        <v>1584420</v>
      </c>
      <c r="D99" s="200">
        <v>2028660</v>
      </c>
      <c r="E99" s="200">
        <v>2564160</v>
      </c>
      <c r="F99" s="201">
        <v>3785950</v>
      </c>
      <c r="G99" s="200">
        <v>3359800</v>
      </c>
      <c r="H99" s="200">
        <v>2851000</v>
      </c>
      <c r="I99" s="200">
        <v>2439150</v>
      </c>
      <c r="J99" s="200">
        <v>2679580</v>
      </c>
      <c r="K99" s="200">
        <v>3811230</v>
      </c>
      <c r="L99" s="200">
        <v>2787985</v>
      </c>
      <c r="M99" s="200">
        <v>3269350</v>
      </c>
      <c r="N99" s="202">
        <f t="shared" si="16"/>
        <v>32707385</v>
      </c>
      <c r="O99" s="274"/>
      <c r="Q99" s="198" t="s">
        <v>7</v>
      </c>
      <c r="R99" s="203">
        <v>58139</v>
      </c>
      <c r="S99" s="203">
        <v>114728</v>
      </c>
      <c r="T99" s="203">
        <v>125149</v>
      </c>
      <c r="U99" s="203">
        <v>175642</v>
      </c>
      <c r="V99" s="203">
        <v>200697</v>
      </c>
      <c r="W99" s="203">
        <v>164083</v>
      </c>
      <c r="X99" s="203">
        <v>127050</v>
      </c>
      <c r="Y99" s="203">
        <v>111629</v>
      </c>
      <c r="Z99" s="204">
        <v>130978</v>
      </c>
      <c r="AA99" s="203">
        <v>163247</v>
      </c>
      <c r="AB99" s="203">
        <v>127310</v>
      </c>
      <c r="AC99" s="203">
        <v>122540</v>
      </c>
      <c r="AD99" s="205">
        <f t="shared" si="15"/>
        <v>1621192</v>
      </c>
    </row>
    <row r="100" spans="1:30" x14ac:dyDescent="0.25">
      <c r="A100" s="198" t="s">
        <v>13</v>
      </c>
      <c r="B100" s="199">
        <v>1142988</v>
      </c>
      <c r="C100" s="200">
        <v>887887</v>
      </c>
      <c r="D100" s="200">
        <v>904500</v>
      </c>
      <c r="E100" s="200">
        <v>905050</v>
      </c>
      <c r="F100" s="201">
        <v>713200</v>
      </c>
      <c r="G100" s="200">
        <v>730090</v>
      </c>
      <c r="H100" s="200">
        <v>704610</v>
      </c>
      <c r="I100" s="200">
        <v>942650</v>
      </c>
      <c r="J100" s="200">
        <v>1001180</v>
      </c>
      <c r="K100" s="200">
        <v>651300</v>
      </c>
      <c r="L100" s="200">
        <v>1070120</v>
      </c>
      <c r="M100" s="200">
        <v>1323340</v>
      </c>
      <c r="N100" s="202">
        <f t="shared" si="16"/>
        <v>10976915</v>
      </c>
      <c r="O100" s="274"/>
      <c r="Q100" s="198" t="s">
        <v>13</v>
      </c>
      <c r="R100" s="203">
        <v>21610</v>
      </c>
      <c r="S100" s="203">
        <v>23184</v>
      </c>
      <c r="T100" s="203">
        <v>25824</v>
      </c>
      <c r="U100" s="203">
        <v>15739</v>
      </c>
      <c r="V100" s="203">
        <v>25300</v>
      </c>
      <c r="W100" s="203">
        <v>13350</v>
      </c>
      <c r="X100" s="203">
        <v>13219</v>
      </c>
      <c r="Y100" s="203">
        <v>20159</v>
      </c>
      <c r="Z100" s="204">
        <v>21476</v>
      </c>
      <c r="AA100" s="203">
        <v>34520</v>
      </c>
      <c r="AB100" s="203">
        <v>28797</v>
      </c>
      <c r="AC100" s="203">
        <v>22190</v>
      </c>
      <c r="AD100" s="205">
        <f t="shared" si="15"/>
        <v>265368</v>
      </c>
    </row>
    <row r="101" spans="1:30" x14ac:dyDescent="0.25">
      <c r="A101" s="198" t="s">
        <v>127</v>
      </c>
      <c r="B101" s="199">
        <v>3095700</v>
      </c>
      <c r="C101" s="200">
        <v>4372310</v>
      </c>
      <c r="D101" s="200">
        <v>3706760</v>
      </c>
      <c r="E101" s="200">
        <v>5123670</v>
      </c>
      <c r="F101" s="201">
        <v>5848540</v>
      </c>
      <c r="G101" s="200">
        <v>5546200</v>
      </c>
      <c r="H101" s="200">
        <v>5013170</v>
      </c>
      <c r="I101" s="200">
        <v>5823990</v>
      </c>
      <c r="J101" s="200">
        <v>5644480</v>
      </c>
      <c r="K101" s="200">
        <v>6235590</v>
      </c>
      <c r="L101" s="200">
        <v>6016840</v>
      </c>
      <c r="M101" s="200">
        <v>3262585</v>
      </c>
      <c r="N101" s="202">
        <f t="shared" si="16"/>
        <v>59689835</v>
      </c>
      <c r="O101" s="274"/>
      <c r="Q101" s="198" t="s">
        <v>127</v>
      </c>
      <c r="R101" s="203">
        <v>219396</v>
      </c>
      <c r="S101" s="203">
        <v>416521</v>
      </c>
      <c r="T101" s="203">
        <v>364295</v>
      </c>
      <c r="U101" s="203">
        <v>403680</v>
      </c>
      <c r="V101" s="203">
        <v>309278</v>
      </c>
      <c r="W101" s="203">
        <v>265659</v>
      </c>
      <c r="X101" s="203">
        <v>204147</v>
      </c>
      <c r="Y101" s="203">
        <v>204782</v>
      </c>
      <c r="Z101" s="204">
        <v>94980</v>
      </c>
      <c r="AA101" s="203">
        <v>93666</v>
      </c>
      <c r="AB101" s="203">
        <v>140578</v>
      </c>
      <c r="AC101" s="203">
        <v>126389</v>
      </c>
      <c r="AD101" s="205">
        <f t="shared" si="15"/>
        <v>2843371</v>
      </c>
    </row>
    <row r="102" spans="1:30" x14ac:dyDescent="0.25">
      <c r="A102" s="198" t="s">
        <v>128</v>
      </c>
      <c r="B102" s="199">
        <v>5612620</v>
      </c>
      <c r="C102" s="200">
        <v>7413806</v>
      </c>
      <c r="D102" s="200">
        <v>7896825</v>
      </c>
      <c r="E102" s="200">
        <v>8327160</v>
      </c>
      <c r="F102" s="201">
        <v>7944119</v>
      </c>
      <c r="G102" s="200">
        <v>7399280</v>
      </c>
      <c r="H102" s="200">
        <v>7652417</v>
      </c>
      <c r="I102" s="200">
        <v>7695630</v>
      </c>
      <c r="J102" s="200">
        <v>6700473</v>
      </c>
      <c r="K102" s="200">
        <v>8207835</v>
      </c>
      <c r="L102" s="200">
        <v>7208611</v>
      </c>
      <c r="M102" s="200">
        <v>8563808</v>
      </c>
      <c r="N102" s="202">
        <f t="shared" si="16"/>
        <v>90622584</v>
      </c>
      <c r="O102" s="274"/>
      <c r="Q102" s="198" t="s">
        <v>128</v>
      </c>
      <c r="R102" s="203">
        <v>248573</v>
      </c>
      <c r="S102" s="203">
        <v>317019</v>
      </c>
      <c r="T102" s="203">
        <v>370048</v>
      </c>
      <c r="U102" s="203">
        <v>401449</v>
      </c>
      <c r="V102" s="203">
        <v>399233</v>
      </c>
      <c r="W102" s="203">
        <v>265625</v>
      </c>
      <c r="X102" s="203">
        <v>254966</v>
      </c>
      <c r="Y102" s="203">
        <v>183986</v>
      </c>
      <c r="Z102" s="204">
        <v>291584</v>
      </c>
      <c r="AA102" s="203">
        <v>203877</v>
      </c>
      <c r="AB102" s="203">
        <v>170060</v>
      </c>
      <c r="AC102" s="203">
        <v>172060</v>
      </c>
      <c r="AD102" s="205">
        <f t="shared" si="15"/>
        <v>3278480</v>
      </c>
    </row>
    <row r="103" spans="1:30" x14ac:dyDescent="0.25">
      <c r="A103" s="198" t="s">
        <v>3</v>
      </c>
      <c r="B103" s="199">
        <v>3473828</v>
      </c>
      <c r="C103" s="200">
        <v>3707465</v>
      </c>
      <c r="D103" s="200">
        <v>5123400</v>
      </c>
      <c r="E103" s="200">
        <v>7041895</v>
      </c>
      <c r="F103" s="201">
        <v>6958480</v>
      </c>
      <c r="G103" s="200">
        <v>5857190</v>
      </c>
      <c r="H103" s="200">
        <v>6833565</v>
      </c>
      <c r="I103" s="200">
        <v>6009660</v>
      </c>
      <c r="J103" s="200">
        <v>7074580</v>
      </c>
      <c r="K103" s="200">
        <v>7557925</v>
      </c>
      <c r="L103" s="200">
        <v>7730930</v>
      </c>
      <c r="M103" s="200">
        <v>5825415</v>
      </c>
      <c r="N103" s="202">
        <f t="shared" si="16"/>
        <v>73194333</v>
      </c>
      <c r="O103" s="274"/>
      <c r="Q103" s="198" t="s">
        <v>3</v>
      </c>
      <c r="R103" s="203">
        <v>91956</v>
      </c>
      <c r="S103" s="203">
        <v>136858</v>
      </c>
      <c r="T103" s="203">
        <v>221720</v>
      </c>
      <c r="U103" s="203">
        <v>295760</v>
      </c>
      <c r="V103" s="203">
        <v>162295.91999999998</v>
      </c>
      <c r="W103" s="203">
        <v>217145</v>
      </c>
      <c r="X103" s="203">
        <v>189802</v>
      </c>
      <c r="Y103" s="203">
        <v>220273</v>
      </c>
      <c r="Z103" s="204">
        <v>208490</v>
      </c>
      <c r="AA103" s="203">
        <v>251180</v>
      </c>
      <c r="AB103" s="203">
        <v>155881</v>
      </c>
      <c r="AC103" s="203">
        <v>182164</v>
      </c>
      <c r="AD103" s="205">
        <f t="shared" si="15"/>
        <v>2333524.92</v>
      </c>
    </row>
    <row r="104" spans="1:30" x14ac:dyDescent="0.25">
      <c r="A104" s="198" t="s">
        <v>10</v>
      </c>
      <c r="B104" s="199">
        <v>1942350</v>
      </c>
      <c r="C104" s="200">
        <v>1686400</v>
      </c>
      <c r="D104" s="200">
        <v>1914460</v>
      </c>
      <c r="E104" s="200">
        <v>1265530</v>
      </c>
      <c r="F104" s="201">
        <v>2382600</v>
      </c>
      <c r="G104" s="200">
        <v>1261120</v>
      </c>
      <c r="H104" s="200">
        <v>1162610</v>
      </c>
      <c r="I104" s="200">
        <v>725690</v>
      </c>
      <c r="J104" s="200">
        <v>1243960</v>
      </c>
      <c r="K104" s="200">
        <v>1585880</v>
      </c>
      <c r="L104" s="200">
        <v>1460100</v>
      </c>
      <c r="M104" s="200">
        <v>1367520</v>
      </c>
      <c r="N104" s="202">
        <f t="shared" si="16"/>
        <v>17998220</v>
      </c>
      <c r="O104" s="274"/>
      <c r="Q104" s="198" t="s">
        <v>10</v>
      </c>
      <c r="R104" s="203">
        <v>49107</v>
      </c>
      <c r="S104" s="203">
        <v>16237</v>
      </c>
      <c r="T104" s="203">
        <v>48387</v>
      </c>
      <c r="U104" s="203">
        <v>11110</v>
      </c>
      <c r="V104" s="203">
        <v>38985.01</v>
      </c>
      <c r="W104" s="203">
        <v>21320</v>
      </c>
      <c r="X104" s="203">
        <v>12120</v>
      </c>
      <c r="Y104" s="203">
        <v>27290</v>
      </c>
      <c r="Z104" s="204">
        <v>43340</v>
      </c>
      <c r="AA104" s="203">
        <v>42100</v>
      </c>
      <c r="AB104" s="203">
        <v>44460</v>
      </c>
      <c r="AC104" s="203">
        <v>47680</v>
      </c>
      <c r="AD104" s="205">
        <f t="shared" si="15"/>
        <v>402136.01</v>
      </c>
    </row>
    <row r="105" spans="1:30" x14ac:dyDescent="0.25">
      <c r="A105" s="198" t="s">
        <v>11</v>
      </c>
      <c r="B105" s="199">
        <v>1676950</v>
      </c>
      <c r="C105" s="200">
        <v>1844199</v>
      </c>
      <c r="D105" s="200">
        <v>2293799</v>
      </c>
      <c r="E105" s="200">
        <v>2665650</v>
      </c>
      <c r="F105" s="201">
        <v>3223050</v>
      </c>
      <c r="G105" s="200">
        <v>3086750</v>
      </c>
      <c r="H105" s="200">
        <v>3240250</v>
      </c>
      <c r="I105" s="200">
        <v>3584050</v>
      </c>
      <c r="J105" s="200">
        <v>4378550</v>
      </c>
      <c r="K105" s="200">
        <v>4001320</v>
      </c>
      <c r="L105" s="200">
        <v>4017495</v>
      </c>
      <c r="M105" s="200">
        <v>4353340</v>
      </c>
      <c r="N105" s="202">
        <f t="shared" si="16"/>
        <v>38365403</v>
      </c>
      <c r="O105" s="274"/>
      <c r="Q105" s="198" t="s">
        <v>11</v>
      </c>
      <c r="R105" s="203">
        <v>62473</v>
      </c>
      <c r="S105" s="203">
        <v>105606</v>
      </c>
      <c r="T105" s="203">
        <v>89821</v>
      </c>
      <c r="U105" s="203">
        <v>132607</v>
      </c>
      <c r="V105" s="203">
        <v>159420</v>
      </c>
      <c r="W105" s="203">
        <v>136395</v>
      </c>
      <c r="X105" s="203">
        <v>126460</v>
      </c>
      <c r="Y105" s="203">
        <v>151035</v>
      </c>
      <c r="Z105" s="204">
        <v>119925</v>
      </c>
      <c r="AA105" s="203">
        <v>126665</v>
      </c>
      <c r="AB105" s="203">
        <v>90312</v>
      </c>
      <c r="AC105" s="203">
        <v>61365</v>
      </c>
      <c r="AD105" s="205">
        <f t="shared" si="15"/>
        <v>1362084</v>
      </c>
    </row>
    <row r="106" spans="1:30" x14ac:dyDescent="0.25">
      <c r="A106" s="198" t="s">
        <v>5</v>
      </c>
      <c r="B106" s="199">
        <v>2332550</v>
      </c>
      <c r="C106" s="200">
        <v>3069140</v>
      </c>
      <c r="D106" s="200">
        <v>2477840</v>
      </c>
      <c r="E106" s="200">
        <v>3809495</v>
      </c>
      <c r="F106" s="201">
        <v>3683779</v>
      </c>
      <c r="G106" s="200">
        <v>3311677</v>
      </c>
      <c r="H106" s="200">
        <v>3007230</v>
      </c>
      <c r="I106" s="200">
        <v>2897160</v>
      </c>
      <c r="J106" s="200">
        <v>2898138</v>
      </c>
      <c r="K106" s="200">
        <v>4009360</v>
      </c>
      <c r="L106" s="200">
        <v>3461185</v>
      </c>
      <c r="M106" s="200">
        <v>3428815</v>
      </c>
      <c r="N106" s="202">
        <f t="shared" si="16"/>
        <v>38386369</v>
      </c>
      <c r="O106" s="274"/>
      <c r="Q106" s="198" t="s">
        <v>5</v>
      </c>
      <c r="R106" s="203">
        <v>21866</v>
      </c>
      <c r="S106" s="203">
        <v>87124</v>
      </c>
      <c r="T106" s="203">
        <v>145989</v>
      </c>
      <c r="U106" s="203">
        <v>157522</v>
      </c>
      <c r="V106" s="203">
        <v>124546</v>
      </c>
      <c r="W106" s="203">
        <v>109817</v>
      </c>
      <c r="X106" s="203">
        <v>52359</v>
      </c>
      <c r="Y106" s="203">
        <v>96687</v>
      </c>
      <c r="Z106" s="204">
        <v>75555</v>
      </c>
      <c r="AA106" s="203">
        <v>55564</v>
      </c>
      <c r="AB106" s="203">
        <v>49397</v>
      </c>
      <c r="AC106" s="203">
        <v>63367</v>
      </c>
      <c r="AD106" s="205">
        <f t="shared" si="15"/>
        <v>1039793</v>
      </c>
    </row>
    <row r="107" spans="1:30" x14ac:dyDescent="0.25">
      <c r="A107" s="198" t="s">
        <v>23</v>
      </c>
      <c r="B107" s="199">
        <v>0</v>
      </c>
      <c r="C107" s="199">
        <v>0</v>
      </c>
      <c r="D107" s="199">
        <v>0</v>
      </c>
      <c r="E107" s="199">
        <v>0</v>
      </c>
      <c r="F107" s="201">
        <v>1281600</v>
      </c>
      <c r="G107" s="200">
        <v>1303600</v>
      </c>
      <c r="H107" s="200">
        <v>1629200</v>
      </c>
      <c r="I107" s="200">
        <v>1589700</v>
      </c>
      <c r="J107" s="200">
        <v>1912440</v>
      </c>
      <c r="K107" s="200">
        <v>2212380</v>
      </c>
      <c r="L107" s="200">
        <v>2987367</v>
      </c>
      <c r="M107" s="200">
        <v>3217625</v>
      </c>
      <c r="N107" s="202">
        <f t="shared" si="16"/>
        <v>16133912</v>
      </c>
      <c r="O107" s="274"/>
      <c r="Q107" s="198" t="s">
        <v>23</v>
      </c>
      <c r="R107" s="203">
        <v>0</v>
      </c>
      <c r="S107" s="203">
        <v>0</v>
      </c>
      <c r="T107" s="203">
        <v>0</v>
      </c>
      <c r="U107" s="203">
        <v>0</v>
      </c>
      <c r="V107" s="203">
        <v>76100</v>
      </c>
      <c r="W107" s="203">
        <v>41831</v>
      </c>
      <c r="X107" s="203">
        <v>88843</v>
      </c>
      <c r="Y107" s="203">
        <v>69484</v>
      </c>
      <c r="Z107" s="204">
        <v>75997</v>
      </c>
      <c r="AA107" s="203">
        <v>82882</v>
      </c>
      <c r="AB107" s="203">
        <v>91527</v>
      </c>
      <c r="AC107" s="203">
        <v>100431</v>
      </c>
      <c r="AD107" s="205">
        <f t="shared" si="15"/>
        <v>627095</v>
      </c>
    </row>
    <row r="108" spans="1:30" x14ac:dyDescent="0.25">
      <c r="A108" s="198" t="s">
        <v>129</v>
      </c>
      <c r="B108" s="199">
        <v>4601560</v>
      </c>
      <c r="C108" s="200">
        <v>5105200</v>
      </c>
      <c r="D108" s="200">
        <v>5158406</v>
      </c>
      <c r="E108" s="200">
        <v>7501625</v>
      </c>
      <c r="F108" s="201">
        <v>7010250</v>
      </c>
      <c r="G108" s="200">
        <v>6887510</v>
      </c>
      <c r="H108" s="200">
        <v>6539325</v>
      </c>
      <c r="I108" s="200">
        <v>8031349</v>
      </c>
      <c r="J108" s="200">
        <v>7840250</v>
      </c>
      <c r="K108" s="200">
        <v>7412960</v>
      </c>
      <c r="L108" s="200">
        <v>7283360</v>
      </c>
      <c r="M108" s="200">
        <v>6417365</v>
      </c>
      <c r="N108" s="202">
        <f t="shared" si="16"/>
        <v>79789160</v>
      </c>
      <c r="O108" s="274"/>
      <c r="Q108" s="193" t="s">
        <v>129</v>
      </c>
      <c r="R108" s="203">
        <v>87276</v>
      </c>
      <c r="S108" s="203">
        <v>121578</v>
      </c>
      <c r="T108" s="203">
        <v>101698</v>
      </c>
      <c r="U108" s="203">
        <v>247631</v>
      </c>
      <c r="V108" s="203">
        <v>171376</v>
      </c>
      <c r="W108" s="203">
        <v>236713</v>
      </c>
      <c r="X108" s="203">
        <v>185683</v>
      </c>
      <c r="Y108" s="203">
        <v>243487</v>
      </c>
      <c r="Z108" s="204">
        <v>199163</v>
      </c>
      <c r="AA108" s="203">
        <v>200776</v>
      </c>
      <c r="AB108" s="203">
        <v>102535</v>
      </c>
      <c r="AC108" s="203">
        <v>143716</v>
      </c>
      <c r="AD108" s="205">
        <f t="shared" si="15"/>
        <v>2041632</v>
      </c>
    </row>
    <row r="109" spans="1:30" x14ac:dyDescent="0.25">
      <c r="A109" s="198" t="s">
        <v>9</v>
      </c>
      <c r="B109" s="199">
        <v>1294650</v>
      </c>
      <c r="C109" s="200">
        <v>1650100</v>
      </c>
      <c r="D109" s="200">
        <v>1278250</v>
      </c>
      <c r="E109" s="200">
        <v>1725760</v>
      </c>
      <c r="F109" s="201">
        <v>1758840</v>
      </c>
      <c r="G109" s="200">
        <v>1556110</v>
      </c>
      <c r="H109" s="200">
        <v>1028450</v>
      </c>
      <c r="I109" s="200">
        <v>1055500</v>
      </c>
      <c r="J109" s="200">
        <v>1092470</v>
      </c>
      <c r="K109" s="200">
        <v>764400</v>
      </c>
      <c r="L109" s="200">
        <v>1169065</v>
      </c>
      <c r="M109" s="200">
        <v>1221180</v>
      </c>
      <c r="N109" s="202">
        <f t="shared" si="16"/>
        <v>15594775</v>
      </c>
      <c r="O109" s="274"/>
      <c r="Q109" s="198" t="s">
        <v>9</v>
      </c>
      <c r="R109" s="203">
        <v>59124</v>
      </c>
      <c r="S109" s="203">
        <v>59810</v>
      </c>
      <c r="T109" s="203">
        <v>40546</v>
      </c>
      <c r="U109" s="203">
        <v>91147</v>
      </c>
      <c r="V109" s="203">
        <v>99199</v>
      </c>
      <c r="W109" s="203">
        <v>59337</v>
      </c>
      <c r="X109" s="203">
        <v>66816</v>
      </c>
      <c r="Y109" s="203">
        <v>29910</v>
      </c>
      <c r="Z109" s="204">
        <v>52057</v>
      </c>
      <c r="AA109" s="203">
        <v>32479</v>
      </c>
      <c r="AB109" s="203">
        <v>86100</v>
      </c>
      <c r="AC109" s="203">
        <v>69614</v>
      </c>
      <c r="AD109" s="205">
        <f t="shared" si="15"/>
        <v>746139</v>
      </c>
    </row>
    <row r="110" spans="1:30" x14ac:dyDescent="0.25">
      <c r="A110" s="198" t="s">
        <v>12</v>
      </c>
      <c r="B110" s="199">
        <v>918500</v>
      </c>
      <c r="C110" s="200">
        <v>972200</v>
      </c>
      <c r="D110" s="200">
        <v>762200</v>
      </c>
      <c r="E110" s="200">
        <v>852700</v>
      </c>
      <c r="F110" s="201">
        <v>1376300</v>
      </c>
      <c r="G110" s="200">
        <v>1536450</v>
      </c>
      <c r="H110" s="200">
        <v>1432100</v>
      </c>
      <c r="I110" s="200">
        <v>950700</v>
      </c>
      <c r="J110" s="200">
        <v>1315600</v>
      </c>
      <c r="K110" s="200">
        <v>1203880</v>
      </c>
      <c r="L110" s="200">
        <v>1445900</v>
      </c>
      <c r="M110" s="200">
        <v>1374635</v>
      </c>
      <c r="N110" s="202">
        <f t="shared" si="16"/>
        <v>14141165</v>
      </c>
      <c r="O110" s="274"/>
      <c r="Q110" s="198" t="s">
        <v>12</v>
      </c>
      <c r="R110" s="203">
        <v>27796</v>
      </c>
      <c r="S110" s="203">
        <v>42056</v>
      </c>
      <c r="T110" s="203">
        <v>34796</v>
      </c>
      <c r="U110" s="203">
        <v>52351</v>
      </c>
      <c r="V110" s="203">
        <v>79683</v>
      </c>
      <c r="W110" s="203">
        <v>61174</v>
      </c>
      <c r="X110" s="203">
        <v>42805</v>
      </c>
      <c r="Y110" s="203">
        <v>46275</v>
      </c>
      <c r="Z110" s="204">
        <v>57263</v>
      </c>
      <c r="AA110" s="203">
        <v>48879</v>
      </c>
      <c r="AB110" s="203">
        <v>34930</v>
      </c>
      <c r="AC110" s="203">
        <v>42760</v>
      </c>
      <c r="AD110" s="205">
        <f t="shared" si="15"/>
        <v>570768</v>
      </c>
    </row>
    <row r="111" spans="1:30" x14ac:dyDescent="0.25">
      <c r="A111" s="198" t="s">
        <v>103</v>
      </c>
      <c r="B111" s="199">
        <v>2081050</v>
      </c>
      <c r="C111" s="200">
        <v>1692550</v>
      </c>
      <c r="D111" s="200">
        <v>2144670</v>
      </c>
      <c r="E111" s="200">
        <v>1805630</v>
      </c>
      <c r="F111" s="201">
        <v>1581140</v>
      </c>
      <c r="G111" s="200">
        <v>1240890</v>
      </c>
      <c r="H111" s="200">
        <v>762221</v>
      </c>
      <c r="I111" s="200">
        <v>262600</v>
      </c>
      <c r="J111" s="200">
        <v>142700</v>
      </c>
      <c r="K111" s="200">
        <v>193400</v>
      </c>
      <c r="L111" s="200">
        <v>126300</v>
      </c>
      <c r="M111" s="200">
        <v>78300</v>
      </c>
      <c r="N111" s="202">
        <f t="shared" si="16"/>
        <v>12111451</v>
      </c>
      <c r="O111" s="274"/>
      <c r="Q111" s="206" t="s">
        <v>14</v>
      </c>
      <c r="R111" s="207">
        <f t="shared" ref="R111:AD111" si="17">SUM(R97:R110)</f>
        <v>1208990</v>
      </c>
      <c r="S111" s="207">
        <f t="shared" si="17"/>
        <v>1779811</v>
      </c>
      <c r="T111" s="207">
        <f t="shared" si="17"/>
        <v>1903600</v>
      </c>
      <c r="U111" s="207">
        <f t="shared" si="17"/>
        <v>2417074</v>
      </c>
      <c r="V111" s="207">
        <f t="shared" si="17"/>
        <v>2245372.94</v>
      </c>
      <c r="W111" s="207">
        <f t="shared" si="17"/>
        <v>1985853</v>
      </c>
      <c r="X111" s="207">
        <f t="shared" si="17"/>
        <v>1754084</v>
      </c>
      <c r="Y111" s="207">
        <f t="shared" si="17"/>
        <v>1759594</v>
      </c>
      <c r="Z111" s="207">
        <f t="shared" si="17"/>
        <v>1792721</v>
      </c>
      <c r="AA111" s="207">
        <f t="shared" si="17"/>
        <v>1765669</v>
      </c>
      <c r="AB111" s="207">
        <f t="shared" si="17"/>
        <v>1358897</v>
      </c>
      <c r="AC111" s="207">
        <f t="shared" si="17"/>
        <v>1404193</v>
      </c>
      <c r="AD111" s="207">
        <f t="shared" si="17"/>
        <v>21375858.939999998</v>
      </c>
    </row>
    <row r="112" spans="1:30" x14ac:dyDescent="0.25">
      <c r="A112" s="196" t="s">
        <v>14</v>
      </c>
      <c r="B112" s="208">
        <f>SUM(B97:B111)</f>
        <v>37226036</v>
      </c>
      <c r="C112" s="208">
        <f t="shared" ref="C112:J112" si="18">SUM(C97:C111)</f>
        <v>41746567</v>
      </c>
      <c r="D112" s="208">
        <f t="shared" si="18"/>
        <v>44645420</v>
      </c>
      <c r="E112" s="208">
        <f t="shared" si="18"/>
        <v>54191500</v>
      </c>
      <c r="F112" s="208">
        <f>SUM(F97:F111)</f>
        <v>57186828</v>
      </c>
      <c r="G112" s="208">
        <f t="shared" si="18"/>
        <v>52646757</v>
      </c>
      <c r="H112" s="208">
        <f t="shared" si="18"/>
        <v>50871804</v>
      </c>
      <c r="I112" s="208">
        <f t="shared" si="18"/>
        <v>50057220</v>
      </c>
      <c r="J112" s="208">
        <f t="shared" si="18"/>
        <v>54519181</v>
      </c>
      <c r="K112" s="208">
        <f>SUM(K97:K111)</f>
        <v>61645775</v>
      </c>
      <c r="L112" s="208">
        <f>SUM(L97:L111)</f>
        <v>59635666</v>
      </c>
      <c r="M112" s="208">
        <f>SUM(M97:M111)</f>
        <v>54462123</v>
      </c>
      <c r="N112" s="208">
        <f>SUM(N97:N111)</f>
        <v>618834877</v>
      </c>
      <c r="O112" s="275"/>
      <c r="Q112" s="209"/>
    </row>
    <row r="169" spans="30:30" x14ac:dyDescent="0.25">
      <c r="AD169" s="252"/>
    </row>
  </sheetData>
  <mergeCells count="6">
    <mergeCell ref="A71:N71"/>
    <mergeCell ref="Q71:AD71"/>
    <mergeCell ref="A95:N95"/>
    <mergeCell ref="Q95:AD95"/>
    <mergeCell ref="A38:N38"/>
    <mergeCell ref="Q38:AD38"/>
  </mergeCells>
  <conditionalFormatting sqref="A3:A22">
    <cfRule type="duplicateValues" dxfId="27" priority="6"/>
  </conditionalFormatting>
  <conditionalFormatting sqref="A22:A31">
    <cfRule type="duplicateValues" dxfId="26" priority="7"/>
  </conditionalFormatting>
  <conditionalFormatting sqref="A32:A34 B35:E35">
    <cfRule type="duplicateValues" dxfId="25" priority="5"/>
  </conditionalFormatting>
  <conditionalFormatting sqref="Q3:Q22">
    <cfRule type="duplicateValues" dxfId="24" priority="3"/>
  </conditionalFormatting>
  <conditionalFormatting sqref="Q22:Q31">
    <cfRule type="duplicateValues" dxfId="23" priority="4"/>
  </conditionalFormatting>
  <conditionalFormatting sqref="Q32 Q35">
    <cfRule type="duplicateValues" dxfId="22" priority="2"/>
  </conditionalFormatting>
  <conditionalFormatting sqref="Q33:Q34">
    <cfRule type="duplicateValues" dxfId="21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EBCE-904A-48BC-AF17-276F5A4C28E5}">
  <dimension ref="A1:EO37"/>
  <sheetViews>
    <sheetView workbookViewId="0">
      <pane xSplit="1" ySplit="3" topLeftCell="AA4" activePane="bottomRight" state="frozen"/>
      <selection pane="topRight" activeCell="B1" sqref="B1"/>
      <selection pane="bottomLeft" activeCell="A4" sqref="A4"/>
      <selection pane="bottomRight" activeCell="AL1" sqref="AL1:AW1"/>
    </sheetView>
  </sheetViews>
  <sheetFormatPr defaultRowHeight="12" x14ac:dyDescent="0.25"/>
  <cols>
    <col min="1" max="1" width="16.109375" style="174" bestFit="1" customWidth="1"/>
    <col min="2" max="3" width="4.77734375" style="174" bestFit="1" customWidth="1"/>
    <col min="4" max="4" width="5.77734375" style="174" bestFit="1" customWidth="1"/>
    <col min="5" max="5" width="9.21875" style="174" bestFit="1" customWidth="1"/>
    <col min="6" max="6" width="4.77734375" style="174" bestFit="1" customWidth="1"/>
    <col min="7" max="7" width="4.33203125" style="174" bestFit="1" customWidth="1"/>
    <col min="8" max="8" width="5.77734375" style="174" bestFit="1" customWidth="1"/>
    <col min="9" max="9" width="9.21875" style="174" bestFit="1" customWidth="1"/>
    <col min="10" max="11" width="4.77734375" style="174" bestFit="1" customWidth="1"/>
    <col min="12" max="12" width="5.77734375" style="174" bestFit="1" customWidth="1"/>
    <col min="13" max="13" width="9.21875" style="174" bestFit="1" customWidth="1"/>
    <col min="14" max="15" width="4.77734375" style="174" bestFit="1" customWidth="1"/>
    <col min="16" max="16" width="5.77734375" style="174" bestFit="1" customWidth="1"/>
    <col min="17" max="17" width="9.21875" style="174" bestFit="1" customWidth="1"/>
    <col min="18" max="18" width="4.77734375" style="174" bestFit="1" customWidth="1"/>
    <col min="19" max="19" width="4.33203125" style="174" bestFit="1" customWidth="1"/>
    <col min="20" max="20" width="5.77734375" style="174" bestFit="1" customWidth="1"/>
    <col min="21" max="21" width="9.21875" style="174" bestFit="1" customWidth="1"/>
    <col min="22" max="23" width="4.77734375" style="174" bestFit="1" customWidth="1"/>
    <col min="24" max="24" width="5.77734375" style="174" bestFit="1" customWidth="1"/>
    <col min="25" max="25" width="9.21875" style="174" bestFit="1" customWidth="1"/>
    <col min="26" max="27" width="4.77734375" style="174" bestFit="1" customWidth="1"/>
    <col min="28" max="28" width="5.77734375" style="174" bestFit="1" customWidth="1"/>
    <col min="29" max="29" width="9.5546875" style="174" bestFit="1" customWidth="1"/>
    <col min="30" max="30" width="4.77734375" style="174" bestFit="1" customWidth="1"/>
    <col min="31" max="31" width="4.33203125" style="174" bestFit="1" customWidth="1"/>
    <col min="32" max="32" width="5.77734375" style="174" bestFit="1" customWidth="1"/>
    <col min="33" max="33" width="9.5546875" style="174" bestFit="1" customWidth="1"/>
    <col min="34" max="35" width="4.77734375" style="174" bestFit="1" customWidth="1"/>
    <col min="36" max="36" width="5.77734375" style="174" bestFit="1" customWidth="1"/>
    <col min="37" max="37" width="10.5546875" style="174" bestFit="1" customWidth="1"/>
    <col min="38" max="39" width="4.77734375" style="174" customWidth="1"/>
    <col min="40" max="40" width="5.77734375" style="174" customWidth="1"/>
    <col min="41" max="41" width="10.6640625" style="174" customWidth="1"/>
    <col min="42" max="42" width="4.77734375" style="174" customWidth="1"/>
    <col min="43" max="43" width="4.33203125" style="174" customWidth="1"/>
    <col min="44" max="44" width="5.77734375" style="174" customWidth="1"/>
    <col min="45" max="45" width="10.6640625" style="174" customWidth="1"/>
    <col min="46" max="46" width="5.6640625" style="174" customWidth="1"/>
    <col min="47" max="47" width="4.77734375" style="174" customWidth="1"/>
    <col min="48" max="48" width="5.77734375" style="174" customWidth="1"/>
    <col min="49" max="49" width="10.6640625" style="174" customWidth="1"/>
    <col min="50" max="51" width="4.77734375" style="174" hidden="1" customWidth="1"/>
    <col min="52" max="52" width="5.77734375" style="174" hidden="1" customWidth="1"/>
    <col min="53" max="53" width="9.5546875" style="174" hidden="1" customWidth="1"/>
    <col min="54" max="54" width="4.77734375" style="174" hidden="1" customWidth="1"/>
    <col min="55" max="55" width="4.33203125" style="174" hidden="1" customWidth="1"/>
    <col min="56" max="56" width="5.77734375" style="174" hidden="1" customWidth="1"/>
    <col min="57" max="57" width="9.5546875" style="174" hidden="1" customWidth="1"/>
    <col min="58" max="58" width="5.6640625" style="174" hidden="1" customWidth="1"/>
    <col min="59" max="59" width="4.77734375" style="174" hidden="1" customWidth="1"/>
    <col min="60" max="60" width="5.77734375" style="174" hidden="1" customWidth="1"/>
    <col min="61" max="61" width="9.5546875" style="174" hidden="1" customWidth="1"/>
    <col min="62" max="63" width="4.77734375" style="174" hidden="1" customWidth="1"/>
    <col min="64" max="64" width="5.77734375" style="174" hidden="1" customWidth="1"/>
    <col min="65" max="65" width="9.5546875" style="174" hidden="1" customWidth="1"/>
    <col min="66" max="66" width="4.77734375" style="174" hidden="1" customWidth="1"/>
    <col min="67" max="67" width="4.33203125" style="174" hidden="1" customWidth="1"/>
    <col min="68" max="68" width="5.77734375" style="174" hidden="1" customWidth="1"/>
    <col min="69" max="69" width="9.5546875" style="174" hidden="1" customWidth="1"/>
    <col min="70" max="70" width="5.6640625" style="174" hidden="1" customWidth="1"/>
    <col min="71" max="71" width="4.77734375" style="174" hidden="1" customWidth="1"/>
    <col min="72" max="72" width="5.77734375" style="174" hidden="1" customWidth="1"/>
    <col min="73" max="73" width="10.5546875" style="174" hidden="1" customWidth="1"/>
    <col min="74" max="75" width="4.77734375" style="174" hidden="1" customWidth="1"/>
    <col min="76" max="76" width="5.77734375" style="174" hidden="1" customWidth="1"/>
    <col min="77" max="77" width="9.5546875" style="174" hidden="1" customWidth="1"/>
    <col min="78" max="78" width="4.77734375" style="174" hidden="1" customWidth="1"/>
    <col min="79" max="79" width="4.33203125" style="174" hidden="1" customWidth="1"/>
    <col min="80" max="80" width="5.77734375" style="174" hidden="1" customWidth="1"/>
    <col min="81" max="81" width="10.5546875" style="174" hidden="1" customWidth="1"/>
    <col min="82" max="82" width="5.6640625" style="174" hidden="1" customWidth="1"/>
    <col min="83" max="83" width="4.77734375" style="174" hidden="1" customWidth="1"/>
    <col min="84" max="84" width="5.77734375" style="174" hidden="1" customWidth="1"/>
    <col min="85" max="85" width="10.5546875" style="174" hidden="1" customWidth="1"/>
    <col min="86" max="87" width="4.77734375" style="174" hidden="1" customWidth="1"/>
    <col min="88" max="88" width="5.77734375" style="174" hidden="1" customWidth="1"/>
    <col min="89" max="89" width="9.5546875" style="174" hidden="1" customWidth="1"/>
    <col min="90" max="90" width="4.77734375" style="174" hidden="1" customWidth="1"/>
    <col min="91" max="91" width="4.33203125" style="174" hidden="1" customWidth="1"/>
    <col min="92" max="92" width="5.77734375" style="174" hidden="1" customWidth="1"/>
    <col min="93" max="93" width="9.5546875" style="174" hidden="1" customWidth="1"/>
    <col min="94" max="94" width="5.6640625" style="174" hidden="1" customWidth="1"/>
    <col min="95" max="95" width="4.77734375" style="174" hidden="1" customWidth="1"/>
    <col min="96" max="96" width="5.77734375" style="174" hidden="1" customWidth="1"/>
    <col min="97" max="97" width="11.5546875" style="174" hidden="1" customWidth="1"/>
    <col min="98" max="99" width="4.77734375" style="174" hidden="1" customWidth="1"/>
    <col min="100" max="100" width="5.77734375" style="174" hidden="1" customWidth="1"/>
    <col min="101" max="101" width="9.5546875" style="174" hidden="1" customWidth="1"/>
    <col min="102" max="102" width="4.77734375" style="174" hidden="1" customWidth="1"/>
    <col min="103" max="103" width="4.33203125" style="174" hidden="1" customWidth="1"/>
    <col min="104" max="104" width="5.77734375" style="174" hidden="1" customWidth="1"/>
    <col min="105" max="105" width="9.5546875" style="174" hidden="1" customWidth="1"/>
    <col min="106" max="106" width="5.6640625" style="174" hidden="1" customWidth="1"/>
    <col min="107" max="107" width="4.77734375" style="174" hidden="1" customWidth="1"/>
    <col min="108" max="108" width="5.77734375" style="174" hidden="1" customWidth="1"/>
    <col min="109" max="109" width="11.5546875" style="174" hidden="1" customWidth="1"/>
    <col min="110" max="111" width="4.77734375" style="174" hidden="1" customWidth="1"/>
    <col min="112" max="112" width="5.77734375" style="174" hidden="1" customWidth="1"/>
    <col min="113" max="113" width="9.5546875" style="174" hidden="1" customWidth="1"/>
    <col min="114" max="114" width="4.77734375" style="174" hidden="1" customWidth="1"/>
    <col min="115" max="115" width="4.5546875" style="174" hidden="1" customWidth="1"/>
    <col min="116" max="116" width="5.77734375" style="174" hidden="1" customWidth="1"/>
    <col min="117" max="117" width="9.5546875" style="174" hidden="1" customWidth="1"/>
    <col min="118" max="118" width="5.6640625" style="174" hidden="1" customWidth="1"/>
    <col min="119" max="119" width="4.77734375" style="174" hidden="1" customWidth="1"/>
    <col min="120" max="120" width="5.77734375" style="174" hidden="1" customWidth="1"/>
    <col min="121" max="121" width="9.5546875" style="174" hidden="1" customWidth="1"/>
    <col min="122" max="123" width="4.77734375" style="174" hidden="1" customWidth="1"/>
    <col min="124" max="124" width="5.77734375" style="174" hidden="1" customWidth="1"/>
    <col min="125" max="125" width="9.5546875" style="174" hidden="1" customWidth="1"/>
    <col min="126" max="126" width="4.77734375" style="174" hidden="1" customWidth="1"/>
    <col min="127" max="127" width="4.33203125" style="174" hidden="1" customWidth="1"/>
    <col min="128" max="128" width="5.77734375" style="174" hidden="1" customWidth="1"/>
    <col min="129" max="129" width="9.5546875" style="174" hidden="1" customWidth="1"/>
    <col min="130" max="130" width="5.6640625" style="174" hidden="1" customWidth="1"/>
    <col min="131" max="131" width="4.77734375" style="174" hidden="1" customWidth="1"/>
    <col min="132" max="132" width="5.77734375" style="174" hidden="1" customWidth="1"/>
    <col min="133" max="133" width="9.5546875" style="174" hidden="1" customWidth="1"/>
    <col min="134" max="135" width="4.77734375" style="174" hidden="1" customWidth="1"/>
    <col min="136" max="136" width="5.77734375" style="174" hidden="1" customWidth="1"/>
    <col min="137" max="137" width="9.5546875" style="174" hidden="1" customWidth="1"/>
    <col min="138" max="138" width="4.77734375" style="174" hidden="1" customWidth="1"/>
    <col min="139" max="139" width="4.33203125" style="174" hidden="1" customWidth="1"/>
    <col min="140" max="140" width="5.77734375" style="174" hidden="1" customWidth="1"/>
    <col min="141" max="141" width="9.5546875" style="174" hidden="1" customWidth="1"/>
    <col min="142" max="142" width="5.6640625" style="174" hidden="1" customWidth="1"/>
    <col min="143" max="143" width="4.77734375" style="174" hidden="1" customWidth="1"/>
    <col min="144" max="144" width="5.77734375" style="174" hidden="1" customWidth="1"/>
    <col min="145" max="145" width="9.5546875" style="174" hidden="1" customWidth="1"/>
    <col min="146" max="16384" width="8.88671875" style="174"/>
  </cols>
  <sheetData>
    <row r="1" spans="1:145" s="327" customFormat="1" x14ac:dyDescent="0.25">
      <c r="A1" s="289" t="s">
        <v>96</v>
      </c>
      <c r="B1" s="360">
        <v>46113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>
        <v>46143</v>
      </c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1"/>
      <c r="Z1" s="362">
        <v>46174</v>
      </c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4"/>
      <c r="AL1" s="365">
        <v>46204</v>
      </c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>
        <v>46235</v>
      </c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>
        <v>46266</v>
      </c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BU1" s="360"/>
      <c r="BV1" s="360">
        <v>46296</v>
      </c>
      <c r="BW1" s="360"/>
      <c r="BX1" s="360"/>
      <c r="BY1" s="360"/>
      <c r="BZ1" s="360"/>
      <c r="CA1" s="360"/>
      <c r="CB1" s="360"/>
      <c r="CC1" s="360"/>
      <c r="CD1" s="360"/>
      <c r="CE1" s="360"/>
      <c r="CF1" s="360"/>
      <c r="CG1" s="360"/>
      <c r="CH1" s="360">
        <v>46327</v>
      </c>
      <c r="CI1" s="360"/>
      <c r="CJ1" s="360"/>
      <c r="CK1" s="360"/>
      <c r="CL1" s="360"/>
      <c r="CM1" s="360"/>
      <c r="CN1" s="360"/>
      <c r="CO1" s="360"/>
      <c r="CP1" s="360"/>
      <c r="CQ1" s="360"/>
      <c r="CR1" s="360"/>
      <c r="CS1" s="360"/>
      <c r="CT1" s="360">
        <v>46357</v>
      </c>
      <c r="CU1" s="360"/>
      <c r="CV1" s="360"/>
      <c r="CW1" s="360"/>
      <c r="CX1" s="360"/>
      <c r="CY1" s="360"/>
      <c r="CZ1" s="360"/>
      <c r="DA1" s="360"/>
      <c r="DB1" s="360"/>
      <c r="DC1" s="360"/>
      <c r="DD1" s="360"/>
      <c r="DE1" s="360"/>
      <c r="DF1" s="360">
        <v>46388</v>
      </c>
      <c r="DG1" s="360"/>
      <c r="DH1" s="360"/>
      <c r="DI1" s="360"/>
      <c r="DJ1" s="360"/>
      <c r="DK1" s="360"/>
      <c r="DL1" s="360"/>
      <c r="DM1" s="360"/>
      <c r="DN1" s="360"/>
      <c r="DO1" s="360"/>
      <c r="DP1" s="360"/>
      <c r="DQ1" s="360"/>
      <c r="DR1" s="360">
        <v>46419</v>
      </c>
      <c r="DS1" s="360"/>
      <c r="DT1" s="360"/>
      <c r="DU1" s="360"/>
      <c r="DV1" s="360"/>
      <c r="DW1" s="360"/>
      <c r="DX1" s="360"/>
      <c r="DY1" s="360"/>
      <c r="DZ1" s="360"/>
      <c r="EA1" s="360"/>
      <c r="EB1" s="360"/>
      <c r="EC1" s="360"/>
      <c r="ED1" s="360">
        <v>46447</v>
      </c>
      <c r="EE1" s="360"/>
      <c r="EF1" s="360"/>
      <c r="EG1" s="360"/>
      <c r="EH1" s="360"/>
      <c r="EI1" s="360"/>
      <c r="EJ1" s="360"/>
      <c r="EK1" s="360"/>
      <c r="EL1" s="360"/>
      <c r="EM1" s="360"/>
      <c r="EN1" s="360"/>
      <c r="EO1" s="360"/>
    </row>
    <row r="2" spans="1:145" x14ac:dyDescent="0.25">
      <c r="A2" s="278" t="s">
        <v>146</v>
      </c>
      <c r="B2" s="355" t="s">
        <v>17</v>
      </c>
      <c r="C2" s="355"/>
      <c r="D2" s="355"/>
      <c r="E2" s="355"/>
      <c r="F2" s="355" t="s">
        <v>18</v>
      </c>
      <c r="G2" s="355"/>
      <c r="H2" s="355"/>
      <c r="I2" s="355"/>
      <c r="J2" s="355" t="s">
        <v>14</v>
      </c>
      <c r="K2" s="355"/>
      <c r="L2" s="355"/>
      <c r="M2" s="355"/>
      <c r="N2" s="355" t="s">
        <v>17</v>
      </c>
      <c r="O2" s="355"/>
      <c r="P2" s="355"/>
      <c r="Q2" s="355"/>
      <c r="R2" s="355" t="s">
        <v>18</v>
      </c>
      <c r="S2" s="355"/>
      <c r="T2" s="355"/>
      <c r="U2" s="355"/>
      <c r="V2" s="355" t="s">
        <v>14</v>
      </c>
      <c r="W2" s="355"/>
      <c r="X2" s="355"/>
      <c r="Y2" s="356"/>
      <c r="Z2" s="357" t="s">
        <v>17</v>
      </c>
      <c r="AA2" s="355"/>
      <c r="AB2" s="355"/>
      <c r="AC2" s="355"/>
      <c r="AD2" s="355" t="s">
        <v>18</v>
      </c>
      <c r="AE2" s="355"/>
      <c r="AF2" s="355"/>
      <c r="AG2" s="355"/>
      <c r="AH2" s="355" t="s">
        <v>14</v>
      </c>
      <c r="AI2" s="355"/>
      <c r="AJ2" s="355"/>
      <c r="AK2" s="358"/>
      <c r="AL2" s="359" t="s">
        <v>17</v>
      </c>
      <c r="AM2" s="355"/>
      <c r="AN2" s="355"/>
      <c r="AO2" s="355"/>
      <c r="AP2" s="355" t="s">
        <v>18</v>
      </c>
      <c r="AQ2" s="355"/>
      <c r="AR2" s="355"/>
      <c r="AS2" s="355"/>
      <c r="AT2" s="355" t="s">
        <v>14</v>
      </c>
      <c r="AU2" s="355"/>
      <c r="AV2" s="355"/>
      <c r="AW2" s="355"/>
      <c r="AX2" s="355" t="s">
        <v>17</v>
      </c>
      <c r="AY2" s="355"/>
      <c r="AZ2" s="355"/>
      <c r="BA2" s="355"/>
      <c r="BB2" s="355" t="s">
        <v>18</v>
      </c>
      <c r="BC2" s="355"/>
      <c r="BD2" s="355"/>
      <c r="BE2" s="355"/>
      <c r="BF2" s="355" t="s">
        <v>14</v>
      </c>
      <c r="BG2" s="355"/>
      <c r="BH2" s="355"/>
      <c r="BI2" s="355"/>
      <c r="BJ2" s="355" t="s">
        <v>17</v>
      </c>
      <c r="BK2" s="355"/>
      <c r="BL2" s="355"/>
      <c r="BM2" s="355"/>
      <c r="BN2" s="355" t="s">
        <v>18</v>
      </c>
      <c r="BO2" s="355"/>
      <c r="BP2" s="355"/>
      <c r="BQ2" s="355"/>
      <c r="BR2" s="355" t="s">
        <v>14</v>
      </c>
      <c r="BS2" s="355"/>
      <c r="BT2" s="355"/>
      <c r="BU2" s="355"/>
      <c r="BV2" s="355" t="s">
        <v>17</v>
      </c>
      <c r="BW2" s="355"/>
      <c r="BX2" s="355"/>
      <c r="BY2" s="355"/>
      <c r="BZ2" s="355" t="s">
        <v>18</v>
      </c>
      <c r="CA2" s="355"/>
      <c r="CB2" s="355"/>
      <c r="CC2" s="355"/>
      <c r="CD2" s="355" t="s">
        <v>14</v>
      </c>
      <c r="CE2" s="355"/>
      <c r="CF2" s="355"/>
      <c r="CG2" s="355"/>
      <c r="CH2" s="355" t="s">
        <v>17</v>
      </c>
      <c r="CI2" s="355"/>
      <c r="CJ2" s="355"/>
      <c r="CK2" s="355"/>
      <c r="CL2" s="355" t="s">
        <v>18</v>
      </c>
      <c r="CM2" s="355"/>
      <c r="CN2" s="355"/>
      <c r="CO2" s="355"/>
      <c r="CP2" s="355" t="s">
        <v>14</v>
      </c>
      <c r="CQ2" s="355"/>
      <c r="CR2" s="355"/>
      <c r="CS2" s="355"/>
      <c r="CT2" s="355" t="s">
        <v>17</v>
      </c>
      <c r="CU2" s="355"/>
      <c r="CV2" s="355"/>
      <c r="CW2" s="355"/>
      <c r="CX2" s="355" t="s">
        <v>18</v>
      </c>
      <c r="CY2" s="355"/>
      <c r="CZ2" s="355"/>
      <c r="DA2" s="355"/>
      <c r="DB2" s="355" t="s">
        <v>14</v>
      </c>
      <c r="DC2" s="355"/>
      <c r="DD2" s="355"/>
      <c r="DE2" s="355"/>
      <c r="DF2" s="355" t="s">
        <v>17</v>
      </c>
      <c r="DG2" s="355"/>
      <c r="DH2" s="355"/>
      <c r="DI2" s="355"/>
      <c r="DJ2" s="355" t="s">
        <v>18</v>
      </c>
      <c r="DK2" s="355"/>
      <c r="DL2" s="355"/>
      <c r="DM2" s="355"/>
      <c r="DN2" s="355" t="s">
        <v>14</v>
      </c>
      <c r="DO2" s="355"/>
      <c r="DP2" s="355"/>
      <c r="DQ2" s="355"/>
      <c r="DR2" s="355" t="s">
        <v>17</v>
      </c>
      <c r="DS2" s="355"/>
      <c r="DT2" s="355"/>
      <c r="DU2" s="355"/>
      <c r="DV2" s="355" t="s">
        <v>18</v>
      </c>
      <c r="DW2" s="355"/>
      <c r="DX2" s="355"/>
      <c r="DY2" s="355"/>
      <c r="DZ2" s="355" t="s">
        <v>14</v>
      </c>
      <c r="EA2" s="355"/>
      <c r="EB2" s="355"/>
      <c r="EC2" s="355"/>
      <c r="ED2" s="355" t="s">
        <v>17</v>
      </c>
      <c r="EE2" s="355"/>
      <c r="EF2" s="355"/>
      <c r="EG2" s="355"/>
      <c r="EH2" s="355" t="s">
        <v>18</v>
      </c>
      <c r="EI2" s="355"/>
      <c r="EJ2" s="355"/>
      <c r="EK2" s="355"/>
      <c r="EL2" s="355" t="s">
        <v>14</v>
      </c>
      <c r="EM2" s="355"/>
      <c r="EN2" s="355"/>
      <c r="EO2" s="355"/>
    </row>
    <row r="3" spans="1:145" x14ac:dyDescent="0.25">
      <c r="A3" s="279" t="s">
        <v>102</v>
      </c>
      <c r="B3" s="277" t="s">
        <v>15</v>
      </c>
      <c r="C3" s="277" t="s">
        <v>16</v>
      </c>
      <c r="D3" s="277" t="s">
        <v>14</v>
      </c>
      <c r="E3" s="277" t="s">
        <v>22</v>
      </c>
      <c r="F3" s="277" t="s">
        <v>15</v>
      </c>
      <c r="G3" s="277" t="s">
        <v>16</v>
      </c>
      <c r="H3" s="277" t="s">
        <v>14</v>
      </c>
      <c r="I3" s="277" t="s">
        <v>22</v>
      </c>
      <c r="J3" s="277" t="s">
        <v>15</v>
      </c>
      <c r="K3" s="277" t="s">
        <v>16</v>
      </c>
      <c r="L3" s="277" t="s">
        <v>14</v>
      </c>
      <c r="M3" s="277" t="s">
        <v>22</v>
      </c>
      <c r="N3" s="277" t="s">
        <v>15</v>
      </c>
      <c r="O3" s="277" t="s">
        <v>16</v>
      </c>
      <c r="P3" s="277" t="s">
        <v>14</v>
      </c>
      <c r="Q3" s="277" t="s">
        <v>22</v>
      </c>
      <c r="R3" s="277" t="s">
        <v>15</v>
      </c>
      <c r="S3" s="277" t="s">
        <v>16</v>
      </c>
      <c r="T3" s="277" t="s">
        <v>14</v>
      </c>
      <c r="U3" s="277" t="s">
        <v>22</v>
      </c>
      <c r="V3" s="277" t="s">
        <v>15</v>
      </c>
      <c r="W3" s="277" t="s">
        <v>16</v>
      </c>
      <c r="X3" s="277" t="s">
        <v>14</v>
      </c>
      <c r="Y3" s="321" t="s">
        <v>22</v>
      </c>
      <c r="Z3" s="323" t="s">
        <v>15</v>
      </c>
      <c r="AA3" s="277" t="s">
        <v>16</v>
      </c>
      <c r="AB3" s="277" t="s">
        <v>14</v>
      </c>
      <c r="AC3" s="277" t="s">
        <v>22</v>
      </c>
      <c r="AD3" s="277" t="s">
        <v>15</v>
      </c>
      <c r="AE3" s="277" t="s">
        <v>16</v>
      </c>
      <c r="AF3" s="277" t="s">
        <v>14</v>
      </c>
      <c r="AG3" s="277" t="s">
        <v>22</v>
      </c>
      <c r="AH3" s="277" t="s">
        <v>15</v>
      </c>
      <c r="AI3" s="277" t="s">
        <v>16</v>
      </c>
      <c r="AJ3" s="277" t="s">
        <v>14</v>
      </c>
      <c r="AK3" s="324" t="s">
        <v>22</v>
      </c>
      <c r="AL3" s="288" t="s">
        <v>15</v>
      </c>
      <c r="AM3" s="277" t="s">
        <v>16</v>
      </c>
      <c r="AN3" s="277" t="s">
        <v>14</v>
      </c>
      <c r="AO3" s="277" t="s">
        <v>22</v>
      </c>
      <c r="AP3" s="277" t="s">
        <v>15</v>
      </c>
      <c r="AQ3" s="277" t="s">
        <v>16</v>
      </c>
      <c r="AR3" s="277" t="s">
        <v>14</v>
      </c>
      <c r="AS3" s="277" t="s">
        <v>22</v>
      </c>
      <c r="AT3" s="277" t="s">
        <v>15</v>
      </c>
      <c r="AU3" s="277" t="s">
        <v>16</v>
      </c>
      <c r="AV3" s="277" t="s">
        <v>14</v>
      </c>
      <c r="AW3" s="277" t="s">
        <v>22</v>
      </c>
      <c r="AX3" s="277" t="s">
        <v>15</v>
      </c>
      <c r="AY3" s="277" t="s">
        <v>16</v>
      </c>
      <c r="AZ3" s="277" t="s">
        <v>14</v>
      </c>
      <c r="BA3" s="277" t="s">
        <v>22</v>
      </c>
      <c r="BB3" s="277" t="s">
        <v>15</v>
      </c>
      <c r="BC3" s="277" t="s">
        <v>16</v>
      </c>
      <c r="BD3" s="277" t="s">
        <v>14</v>
      </c>
      <c r="BE3" s="277" t="s">
        <v>22</v>
      </c>
      <c r="BF3" s="277" t="s">
        <v>15</v>
      </c>
      <c r="BG3" s="277" t="s">
        <v>16</v>
      </c>
      <c r="BH3" s="277" t="s">
        <v>14</v>
      </c>
      <c r="BI3" s="277" t="s">
        <v>22</v>
      </c>
      <c r="BJ3" s="277" t="s">
        <v>15</v>
      </c>
      <c r="BK3" s="277" t="s">
        <v>16</v>
      </c>
      <c r="BL3" s="277" t="s">
        <v>14</v>
      </c>
      <c r="BM3" s="277" t="s">
        <v>22</v>
      </c>
      <c r="BN3" s="277" t="s">
        <v>15</v>
      </c>
      <c r="BO3" s="277" t="s">
        <v>16</v>
      </c>
      <c r="BP3" s="277" t="s">
        <v>14</v>
      </c>
      <c r="BQ3" s="277" t="s">
        <v>22</v>
      </c>
      <c r="BR3" s="277" t="s">
        <v>15</v>
      </c>
      <c r="BS3" s="277" t="s">
        <v>16</v>
      </c>
      <c r="BT3" s="277" t="s">
        <v>14</v>
      </c>
      <c r="BU3" s="277" t="s">
        <v>22</v>
      </c>
      <c r="BV3" s="277" t="s">
        <v>15</v>
      </c>
      <c r="BW3" s="277" t="s">
        <v>16</v>
      </c>
      <c r="BX3" s="277" t="s">
        <v>14</v>
      </c>
      <c r="BY3" s="277" t="s">
        <v>22</v>
      </c>
      <c r="BZ3" s="277" t="s">
        <v>15</v>
      </c>
      <c r="CA3" s="277" t="s">
        <v>16</v>
      </c>
      <c r="CB3" s="277" t="s">
        <v>14</v>
      </c>
      <c r="CC3" s="277" t="s">
        <v>22</v>
      </c>
      <c r="CD3" s="277" t="s">
        <v>15</v>
      </c>
      <c r="CE3" s="277" t="s">
        <v>16</v>
      </c>
      <c r="CF3" s="277" t="s">
        <v>14</v>
      </c>
      <c r="CG3" s="277" t="s">
        <v>22</v>
      </c>
      <c r="CH3" s="277" t="s">
        <v>15</v>
      </c>
      <c r="CI3" s="277" t="s">
        <v>16</v>
      </c>
      <c r="CJ3" s="277" t="s">
        <v>14</v>
      </c>
      <c r="CK3" s="277" t="s">
        <v>22</v>
      </c>
      <c r="CL3" s="277" t="s">
        <v>15</v>
      </c>
      <c r="CM3" s="277" t="s">
        <v>16</v>
      </c>
      <c r="CN3" s="277" t="s">
        <v>14</v>
      </c>
      <c r="CO3" s="277" t="s">
        <v>22</v>
      </c>
      <c r="CP3" s="277" t="s">
        <v>15</v>
      </c>
      <c r="CQ3" s="277" t="s">
        <v>16</v>
      </c>
      <c r="CR3" s="277" t="s">
        <v>14</v>
      </c>
      <c r="CS3" s="277" t="s">
        <v>22</v>
      </c>
      <c r="CT3" s="277" t="s">
        <v>15</v>
      </c>
      <c r="CU3" s="277" t="s">
        <v>16</v>
      </c>
      <c r="CV3" s="277" t="s">
        <v>14</v>
      </c>
      <c r="CW3" s="277" t="s">
        <v>22</v>
      </c>
      <c r="CX3" s="277" t="s">
        <v>15</v>
      </c>
      <c r="CY3" s="277" t="s">
        <v>16</v>
      </c>
      <c r="CZ3" s="277" t="s">
        <v>14</v>
      </c>
      <c r="DA3" s="277" t="s">
        <v>22</v>
      </c>
      <c r="DB3" s="277" t="s">
        <v>15</v>
      </c>
      <c r="DC3" s="277" t="s">
        <v>16</v>
      </c>
      <c r="DD3" s="277" t="s">
        <v>14</v>
      </c>
      <c r="DE3" s="277" t="s">
        <v>22</v>
      </c>
      <c r="DF3" s="277" t="s">
        <v>15</v>
      </c>
      <c r="DG3" s="277" t="s">
        <v>16</v>
      </c>
      <c r="DH3" s="277" t="s">
        <v>14</v>
      </c>
      <c r="DI3" s="277" t="s">
        <v>22</v>
      </c>
      <c r="DJ3" s="277" t="s">
        <v>15</v>
      </c>
      <c r="DK3" s="277" t="s">
        <v>16</v>
      </c>
      <c r="DL3" s="277" t="s">
        <v>14</v>
      </c>
      <c r="DM3" s="277" t="s">
        <v>22</v>
      </c>
      <c r="DN3" s="277" t="s">
        <v>15</v>
      </c>
      <c r="DO3" s="277" t="s">
        <v>16</v>
      </c>
      <c r="DP3" s="277" t="s">
        <v>14</v>
      </c>
      <c r="DQ3" s="277" t="s">
        <v>22</v>
      </c>
      <c r="DR3" s="277" t="s">
        <v>15</v>
      </c>
      <c r="DS3" s="277" t="s">
        <v>16</v>
      </c>
      <c r="DT3" s="277" t="s">
        <v>14</v>
      </c>
      <c r="DU3" s="277" t="s">
        <v>22</v>
      </c>
      <c r="DV3" s="277" t="s">
        <v>15</v>
      </c>
      <c r="DW3" s="277" t="s">
        <v>16</v>
      </c>
      <c r="DX3" s="277" t="s">
        <v>14</v>
      </c>
      <c r="DY3" s="277" t="s">
        <v>22</v>
      </c>
      <c r="DZ3" s="277" t="s">
        <v>15</v>
      </c>
      <c r="EA3" s="277" t="s">
        <v>16</v>
      </c>
      <c r="EB3" s="277" t="s">
        <v>14</v>
      </c>
      <c r="EC3" s="277" t="s">
        <v>22</v>
      </c>
      <c r="ED3" s="277" t="s">
        <v>15</v>
      </c>
      <c r="EE3" s="277" t="s">
        <v>16</v>
      </c>
      <c r="EF3" s="277" t="s">
        <v>14</v>
      </c>
      <c r="EG3" s="277" t="s">
        <v>22</v>
      </c>
      <c r="EH3" s="277" t="s">
        <v>15</v>
      </c>
      <c r="EI3" s="277" t="s">
        <v>16</v>
      </c>
      <c r="EJ3" s="277" t="s">
        <v>14</v>
      </c>
      <c r="EK3" s="277" t="s">
        <v>22</v>
      </c>
      <c r="EL3" s="277" t="s">
        <v>15</v>
      </c>
      <c r="EM3" s="277" t="s">
        <v>16</v>
      </c>
      <c r="EN3" s="277" t="s">
        <v>14</v>
      </c>
      <c r="EO3" s="277" t="s">
        <v>22</v>
      </c>
    </row>
    <row r="4" spans="1:145" x14ac:dyDescent="0.25">
      <c r="A4" s="282" t="s">
        <v>4</v>
      </c>
      <c r="B4" s="253">
        <v>20</v>
      </c>
      <c r="C4" s="253">
        <v>14</v>
      </c>
      <c r="D4" s="283">
        <f>SUM(B4:C4)</f>
        <v>34</v>
      </c>
      <c r="E4" s="253">
        <v>2135860</v>
      </c>
      <c r="F4" s="253">
        <v>36</v>
      </c>
      <c r="G4" s="253">
        <v>0</v>
      </c>
      <c r="H4" s="283">
        <f>SUM(F4:G4)</f>
        <v>36</v>
      </c>
      <c r="I4" s="253">
        <v>5446135</v>
      </c>
      <c r="J4" s="283">
        <f>B4+F4</f>
        <v>56</v>
      </c>
      <c r="K4" s="283">
        <f>C4+G4</f>
        <v>14</v>
      </c>
      <c r="L4" s="283">
        <f>J4+K4</f>
        <v>70</v>
      </c>
      <c r="M4" s="283">
        <f>E4+I4</f>
        <v>7581995</v>
      </c>
      <c r="N4" s="253">
        <v>17</v>
      </c>
      <c r="O4" s="253">
        <v>16</v>
      </c>
      <c r="P4" s="283">
        <f>N4+O4</f>
        <v>33</v>
      </c>
      <c r="Q4" s="253">
        <v>771500</v>
      </c>
      <c r="R4" s="253">
        <v>43</v>
      </c>
      <c r="S4" s="253">
        <v>0</v>
      </c>
      <c r="T4" s="283">
        <f>SUM(R4:S4)</f>
        <v>43</v>
      </c>
      <c r="U4" s="253">
        <v>5928025</v>
      </c>
      <c r="V4" s="283">
        <f>N4+R4</f>
        <v>60</v>
      </c>
      <c r="W4" s="283">
        <f>O4+S4</f>
        <v>16</v>
      </c>
      <c r="X4" s="283">
        <f>V4+W4</f>
        <v>76</v>
      </c>
      <c r="Y4" s="322">
        <f>Q4+U4</f>
        <v>6699525</v>
      </c>
      <c r="Z4" s="325">
        <v>38</v>
      </c>
      <c r="AA4" s="328">
        <v>19</v>
      </c>
      <c r="AB4" s="267">
        <f>Z4+AA4</f>
        <v>57</v>
      </c>
      <c r="AC4" s="328">
        <v>2228550</v>
      </c>
      <c r="AD4" s="328">
        <v>44</v>
      </c>
      <c r="AE4" s="328">
        <v>0</v>
      </c>
      <c r="AF4" s="267">
        <f>AD4+AE4</f>
        <v>44</v>
      </c>
      <c r="AG4" s="328">
        <v>4996105</v>
      </c>
      <c r="AH4" s="328">
        <f>Z4+AD4</f>
        <v>82</v>
      </c>
      <c r="AI4" s="328">
        <f t="shared" ref="AI4:AK4" si="0">AA4+AE4</f>
        <v>19</v>
      </c>
      <c r="AJ4" s="267">
        <f>AH4+AI4</f>
        <v>101</v>
      </c>
      <c r="AK4" s="329">
        <f t="shared" si="0"/>
        <v>7224655</v>
      </c>
      <c r="AL4" s="330">
        <v>38</v>
      </c>
      <c r="AM4" s="328">
        <v>25</v>
      </c>
      <c r="AN4" s="267">
        <f>AL4+AM4</f>
        <v>63</v>
      </c>
      <c r="AO4" s="328">
        <v>3596430</v>
      </c>
      <c r="AP4" s="328">
        <v>51</v>
      </c>
      <c r="AQ4" s="328">
        <v>0</v>
      </c>
      <c r="AR4" s="328">
        <f>AP4+AQ4</f>
        <v>51</v>
      </c>
      <c r="AS4" s="328">
        <v>6162891</v>
      </c>
      <c r="AT4" s="328">
        <f>AL4+AP4</f>
        <v>89</v>
      </c>
      <c r="AU4" s="328">
        <f t="shared" ref="AU4:AW4" si="1">AM4+AQ4</f>
        <v>25</v>
      </c>
      <c r="AV4" s="328">
        <f t="shared" si="1"/>
        <v>114</v>
      </c>
      <c r="AW4" s="328">
        <f t="shared" si="1"/>
        <v>9759321</v>
      </c>
      <c r="AX4" s="253"/>
      <c r="AY4" s="328"/>
      <c r="AZ4" s="267"/>
      <c r="BA4" s="328"/>
      <c r="BB4" s="328"/>
      <c r="BC4" s="328"/>
      <c r="BD4" s="267"/>
      <c r="BE4" s="328"/>
      <c r="BF4" s="328"/>
      <c r="BG4" s="328"/>
      <c r="BH4" s="267"/>
      <c r="BI4" s="267"/>
      <c r="BJ4" s="253"/>
      <c r="BK4" s="328"/>
      <c r="BL4" s="267"/>
      <c r="BM4" s="328"/>
      <c r="BN4" s="328"/>
      <c r="BO4" s="328"/>
      <c r="BP4" s="267"/>
      <c r="BQ4" s="328"/>
      <c r="BR4" s="328"/>
      <c r="BS4" s="328"/>
      <c r="BT4" s="267"/>
      <c r="BU4" s="267"/>
      <c r="BV4" s="253"/>
      <c r="BW4" s="328"/>
      <c r="BX4" s="267"/>
      <c r="BY4" s="328"/>
      <c r="BZ4" s="328"/>
      <c r="CA4" s="328"/>
      <c r="CB4" s="267"/>
      <c r="CC4" s="328"/>
      <c r="CD4" s="328"/>
      <c r="CE4" s="328"/>
      <c r="CF4" s="267"/>
      <c r="CG4" s="267"/>
      <c r="CH4" s="253"/>
      <c r="CI4" s="328"/>
      <c r="CJ4" s="267"/>
      <c r="CK4" s="328"/>
      <c r="CL4" s="328"/>
      <c r="CM4" s="328"/>
      <c r="CN4" s="267"/>
      <c r="CO4" s="328"/>
      <c r="CP4" s="328"/>
      <c r="CQ4" s="328"/>
      <c r="CR4" s="267"/>
      <c r="CS4" s="267"/>
      <c r="CT4" s="253"/>
      <c r="CU4" s="328"/>
      <c r="CV4" s="267"/>
      <c r="CW4" s="328"/>
      <c r="CX4" s="328"/>
      <c r="CY4" s="328"/>
      <c r="CZ4" s="267"/>
      <c r="DA4" s="328"/>
      <c r="DB4" s="328"/>
      <c r="DC4" s="328"/>
      <c r="DD4" s="267"/>
      <c r="DE4" s="267"/>
      <c r="DF4" s="328"/>
      <c r="DG4" s="328"/>
      <c r="DH4" s="267"/>
      <c r="DI4" s="328"/>
      <c r="DJ4" s="328"/>
      <c r="DK4" s="328"/>
      <c r="DL4" s="267"/>
      <c r="DM4" s="328"/>
      <c r="DN4" s="328"/>
      <c r="DO4" s="328"/>
      <c r="DP4" s="267"/>
      <c r="DQ4" s="267"/>
      <c r="DR4" s="328"/>
      <c r="DS4" s="328"/>
      <c r="DT4" s="267"/>
      <c r="DU4" s="328"/>
      <c r="DV4" s="328"/>
      <c r="DW4" s="328"/>
      <c r="DX4" s="267"/>
      <c r="DY4" s="328"/>
      <c r="DZ4" s="267"/>
      <c r="EA4" s="267"/>
      <c r="EB4" s="267"/>
      <c r="EC4" s="267"/>
      <c r="ED4" s="267"/>
      <c r="EE4" s="267"/>
      <c r="EF4" s="267"/>
      <c r="EG4" s="267"/>
      <c r="EH4" s="267"/>
      <c r="EI4" s="267"/>
      <c r="EJ4" s="267"/>
      <c r="EK4" s="267"/>
      <c r="EL4" s="267"/>
      <c r="EM4" s="267"/>
      <c r="EN4" s="267"/>
      <c r="EO4" s="267"/>
    </row>
    <row r="5" spans="1:145" x14ac:dyDescent="0.25">
      <c r="A5" s="282" t="s">
        <v>134</v>
      </c>
      <c r="B5" s="253">
        <v>0</v>
      </c>
      <c r="C5" s="253">
        <v>0</v>
      </c>
      <c r="D5" s="253">
        <v>0</v>
      </c>
      <c r="E5" s="253">
        <f>M5/2</f>
        <v>23250</v>
      </c>
      <c r="F5" s="253">
        <v>0</v>
      </c>
      <c r="G5" s="253">
        <v>0</v>
      </c>
      <c r="H5" s="283">
        <v>0</v>
      </c>
      <c r="I5" s="253">
        <f>M5/2</f>
        <v>23250</v>
      </c>
      <c r="J5" s="283">
        <v>0</v>
      </c>
      <c r="K5" s="283">
        <v>0</v>
      </c>
      <c r="L5" s="283">
        <v>0</v>
      </c>
      <c r="M5" s="283">
        <v>46500</v>
      </c>
      <c r="N5" s="253">
        <v>0</v>
      </c>
      <c r="O5" s="253">
        <v>0</v>
      </c>
      <c r="P5" s="253">
        <v>0</v>
      </c>
      <c r="Q5" s="253">
        <f>Y5/2</f>
        <v>31500</v>
      </c>
      <c r="R5" s="253">
        <v>0</v>
      </c>
      <c r="S5" s="253">
        <v>0</v>
      </c>
      <c r="T5" s="253">
        <v>0</v>
      </c>
      <c r="U5" s="253">
        <f>Y5/2</f>
        <v>31500</v>
      </c>
      <c r="V5" s="253">
        <v>0</v>
      </c>
      <c r="W5" s="253">
        <v>0</v>
      </c>
      <c r="X5" s="253">
        <v>0</v>
      </c>
      <c r="Y5" s="322">
        <v>63000</v>
      </c>
      <c r="Z5" s="325">
        <v>0</v>
      </c>
      <c r="AA5" s="328">
        <v>0</v>
      </c>
      <c r="AB5" s="267">
        <v>0</v>
      </c>
      <c r="AC5" s="328">
        <f>AK5/2</f>
        <v>192750</v>
      </c>
      <c r="AD5" s="328">
        <v>0</v>
      </c>
      <c r="AE5" s="328">
        <v>0</v>
      </c>
      <c r="AF5" s="267">
        <f t="shared" ref="AF5:AF35" si="2">AD5+AE5</f>
        <v>0</v>
      </c>
      <c r="AG5" s="328">
        <f>AK5/2</f>
        <v>192750</v>
      </c>
      <c r="AH5" s="328">
        <f t="shared" ref="AH5:AH35" si="3">Z5+AD5</f>
        <v>0</v>
      </c>
      <c r="AI5" s="328">
        <f t="shared" ref="AI5:AI35" si="4">AA5+AE5</f>
        <v>0</v>
      </c>
      <c r="AJ5" s="267">
        <f t="shared" ref="AJ5:AJ35" si="5">AH5+AI5</f>
        <v>0</v>
      </c>
      <c r="AK5" s="329">
        <v>385500</v>
      </c>
      <c r="AL5" s="330">
        <v>0</v>
      </c>
      <c r="AM5" s="328">
        <v>0</v>
      </c>
      <c r="AN5" s="267">
        <f t="shared" ref="AN5:AN35" si="6">AL5+AM5</f>
        <v>0</v>
      </c>
      <c r="AO5" s="328">
        <f>AW5/2</f>
        <v>257000</v>
      </c>
      <c r="AP5" s="328">
        <v>0</v>
      </c>
      <c r="AQ5" s="328">
        <v>0</v>
      </c>
      <c r="AR5" s="328">
        <f t="shared" ref="AR5:AR35" si="7">AP5+AQ5</f>
        <v>0</v>
      </c>
      <c r="AS5" s="328">
        <f>AW5/2</f>
        <v>257000</v>
      </c>
      <c r="AT5" s="328">
        <f t="shared" ref="AT5:AT35" si="8">AL5+AP5</f>
        <v>0</v>
      </c>
      <c r="AU5" s="328">
        <f t="shared" ref="AU5:AU35" si="9">AM5+AQ5</f>
        <v>0</v>
      </c>
      <c r="AV5" s="328">
        <f t="shared" ref="AV5:AV35" si="10">AN5+AR5</f>
        <v>0</v>
      </c>
      <c r="AW5" s="328">
        <v>514000</v>
      </c>
      <c r="AX5" s="253"/>
      <c r="AY5" s="328"/>
      <c r="AZ5" s="267"/>
      <c r="BA5" s="328"/>
      <c r="BB5" s="328"/>
      <c r="BC5" s="328"/>
      <c r="BD5" s="267"/>
      <c r="BE5" s="328"/>
      <c r="BF5" s="328"/>
      <c r="BG5" s="328"/>
      <c r="BH5" s="267"/>
      <c r="BI5" s="267"/>
      <c r="BJ5" s="253"/>
      <c r="BK5" s="328"/>
      <c r="BL5" s="267"/>
      <c r="BM5" s="328"/>
      <c r="BN5" s="328"/>
      <c r="BO5" s="328"/>
      <c r="BP5" s="267"/>
      <c r="BQ5" s="328"/>
      <c r="BR5" s="328"/>
      <c r="BS5" s="328"/>
      <c r="BT5" s="267"/>
      <c r="BU5" s="267"/>
      <c r="BV5" s="253"/>
      <c r="BW5" s="328"/>
      <c r="BX5" s="267"/>
      <c r="BY5" s="328"/>
      <c r="BZ5" s="328"/>
      <c r="CA5" s="328"/>
      <c r="CB5" s="267"/>
      <c r="CC5" s="328"/>
      <c r="CD5" s="328"/>
      <c r="CE5" s="328"/>
      <c r="CF5" s="267"/>
      <c r="CG5" s="267"/>
      <c r="CH5" s="253"/>
      <c r="CI5" s="328"/>
      <c r="CJ5" s="267"/>
      <c r="CK5" s="328"/>
      <c r="CL5" s="328"/>
      <c r="CM5" s="328"/>
      <c r="CN5" s="267"/>
      <c r="CO5" s="328"/>
      <c r="CP5" s="328"/>
      <c r="CQ5" s="328"/>
      <c r="CR5" s="267"/>
      <c r="CS5" s="267"/>
      <c r="CT5" s="253"/>
      <c r="CU5" s="328"/>
      <c r="CV5" s="267"/>
      <c r="CW5" s="328"/>
      <c r="CX5" s="328"/>
      <c r="CY5" s="328"/>
      <c r="CZ5" s="267"/>
      <c r="DA5" s="328"/>
      <c r="DB5" s="328"/>
      <c r="DC5" s="328"/>
      <c r="DD5" s="267"/>
      <c r="DE5" s="267"/>
      <c r="DF5" s="328"/>
      <c r="DG5" s="328"/>
      <c r="DH5" s="267"/>
      <c r="DI5" s="328"/>
      <c r="DJ5" s="328"/>
      <c r="DK5" s="328"/>
      <c r="DL5" s="267"/>
      <c r="DM5" s="328"/>
      <c r="DN5" s="328"/>
      <c r="DO5" s="328"/>
      <c r="DP5" s="267"/>
      <c r="DQ5" s="267"/>
      <c r="DR5" s="328"/>
      <c r="DS5" s="328"/>
      <c r="DT5" s="267"/>
      <c r="DU5" s="328"/>
      <c r="DV5" s="328"/>
      <c r="DW5" s="328"/>
      <c r="DX5" s="267"/>
      <c r="DY5" s="328"/>
      <c r="DZ5" s="267"/>
      <c r="EA5" s="267"/>
      <c r="EB5" s="267"/>
      <c r="EC5" s="267"/>
      <c r="ED5" s="267"/>
      <c r="EE5" s="267"/>
      <c r="EF5" s="267"/>
      <c r="EG5" s="267"/>
      <c r="EH5" s="267"/>
      <c r="EI5" s="267"/>
      <c r="EJ5" s="267"/>
      <c r="EK5" s="267"/>
      <c r="EL5" s="267"/>
      <c r="EM5" s="267"/>
      <c r="EN5" s="267"/>
      <c r="EO5" s="267"/>
    </row>
    <row r="6" spans="1:145" x14ac:dyDescent="0.25">
      <c r="A6" s="282" t="s">
        <v>8</v>
      </c>
      <c r="B6" s="253">
        <v>11</v>
      </c>
      <c r="C6" s="253">
        <v>13</v>
      </c>
      <c r="D6" s="283">
        <f t="shared" ref="D6:D33" si="11">SUM(B6:C6)</f>
        <v>24</v>
      </c>
      <c r="E6" s="253">
        <v>800228</v>
      </c>
      <c r="F6" s="253">
        <v>20</v>
      </c>
      <c r="G6" s="253">
        <v>1</v>
      </c>
      <c r="H6" s="283">
        <f t="shared" ref="H6:H33" si="12">SUM(F6:G6)</f>
        <v>21</v>
      </c>
      <c r="I6" s="253">
        <v>1718160</v>
      </c>
      <c r="J6" s="283">
        <f t="shared" ref="J6:J33" si="13">B6+F6</f>
        <v>31</v>
      </c>
      <c r="K6" s="283">
        <f t="shared" ref="K6:K33" si="14">C6+G6</f>
        <v>14</v>
      </c>
      <c r="L6" s="283">
        <f t="shared" ref="L6:L33" si="15">J6+K6</f>
        <v>45</v>
      </c>
      <c r="M6" s="283">
        <f t="shared" ref="M6:M33" si="16">E6+I6</f>
        <v>2518388</v>
      </c>
      <c r="N6" s="253">
        <v>11</v>
      </c>
      <c r="O6" s="253">
        <v>19</v>
      </c>
      <c r="P6" s="283">
        <f t="shared" ref="P6:P33" si="17">N6+O6</f>
        <v>30</v>
      </c>
      <c r="Q6" s="253">
        <v>461730</v>
      </c>
      <c r="R6" s="253">
        <v>23</v>
      </c>
      <c r="S6" s="253">
        <v>7</v>
      </c>
      <c r="T6" s="283">
        <f t="shared" ref="T6:T33" si="18">SUM(R6:S6)</f>
        <v>30</v>
      </c>
      <c r="U6" s="253">
        <v>2072861</v>
      </c>
      <c r="V6" s="283">
        <f t="shared" ref="V6:V33" si="19">N6+R6</f>
        <v>34</v>
      </c>
      <c r="W6" s="283">
        <f t="shared" ref="W6:W33" si="20">O6+S6</f>
        <v>26</v>
      </c>
      <c r="X6" s="283">
        <f t="shared" ref="X6:X33" si="21">V6+W6</f>
        <v>60</v>
      </c>
      <c r="Y6" s="322">
        <f t="shared" ref="Y6:Y33" si="22">Q6+U6</f>
        <v>2534591</v>
      </c>
      <c r="Z6" s="325">
        <v>24</v>
      </c>
      <c r="AA6" s="328">
        <v>8</v>
      </c>
      <c r="AB6" s="267">
        <f t="shared" ref="AB6:AB35" si="23">Z6+AA6</f>
        <v>32</v>
      </c>
      <c r="AC6" s="328">
        <v>666730</v>
      </c>
      <c r="AD6" s="328">
        <v>29</v>
      </c>
      <c r="AE6" s="328">
        <v>2</v>
      </c>
      <c r="AF6" s="267">
        <f t="shared" si="2"/>
        <v>31</v>
      </c>
      <c r="AG6" s="328">
        <v>3181761</v>
      </c>
      <c r="AH6" s="328">
        <f t="shared" si="3"/>
        <v>53</v>
      </c>
      <c r="AI6" s="328">
        <f t="shared" si="4"/>
        <v>10</v>
      </c>
      <c r="AJ6" s="267">
        <f t="shared" si="5"/>
        <v>63</v>
      </c>
      <c r="AK6" s="329">
        <f t="shared" ref="AK6:AK35" si="24">AC6+AG6</f>
        <v>3848491</v>
      </c>
      <c r="AL6" s="330">
        <v>15</v>
      </c>
      <c r="AM6" s="328">
        <v>19</v>
      </c>
      <c r="AN6" s="267">
        <f t="shared" si="6"/>
        <v>34</v>
      </c>
      <c r="AO6" s="328">
        <v>430000</v>
      </c>
      <c r="AP6" s="328">
        <v>34</v>
      </c>
      <c r="AQ6" s="328">
        <v>0</v>
      </c>
      <c r="AR6" s="328">
        <f t="shared" si="7"/>
        <v>34</v>
      </c>
      <c r="AS6" s="328">
        <v>3366980</v>
      </c>
      <c r="AT6" s="328">
        <f t="shared" si="8"/>
        <v>49</v>
      </c>
      <c r="AU6" s="328">
        <f t="shared" si="9"/>
        <v>19</v>
      </c>
      <c r="AV6" s="328">
        <f t="shared" si="10"/>
        <v>68</v>
      </c>
      <c r="AW6" s="328">
        <f t="shared" ref="AW6:AW35" si="25">AO6+AS6</f>
        <v>3796980</v>
      </c>
      <c r="AX6" s="253"/>
      <c r="AY6" s="328"/>
      <c r="AZ6" s="267"/>
      <c r="BA6" s="328"/>
      <c r="BB6" s="328"/>
      <c r="BC6" s="328"/>
      <c r="BD6" s="267"/>
      <c r="BE6" s="328"/>
      <c r="BF6" s="328"/>
      <c r="BG6" s="328"/>
      <c r="BH6" s="267"/>
      <c r="BI6" s="267"/>
      <c r="BJ6" s="253"/>
      <c r="BK6" s="328"/>
      <c r="BL6" s="267"/>
      <c r="BM6" s="328"/>
      <c r="BN6" s="328"/>
      <c r="BO6" s="328"/>
      <c r="BP6" s="267"/>
      <c r="BQ6" s="328"/>
      <c r="BR6" s="328"/>
      <c r="BS6" s="328"/>
      <c r="BT6" s="267"/>
      <c r="BU6" s="267"/>
      <c r="BV6" s="253"/>
      <c r="BW6" s="328"/>
      <c r="BX6" s="267"/>
      <c r="BY6" s="328"/>
      <c r="BZ6" s="328"/>
      <c r="CA6" s="328"/>
      <c r="CB6" s="267"/>
      <c r="CC6" s="328"/>
      <c r="CD6" s="328"/>
      <c r="CE6" s="328"/>
      <c r="CF6" s="267"/>
      <c r="CG6" s="267"/>
      <c r="CH6" s="253"/>
      <c r="CI6" s="328"/>
      <c r="CJ6" s="267"/>
      <c r="CK6" s="328"/>
      <c r="CL6" s="328"/>
      <c r="CM6" s="328"/>
      <c r="CN6" s="267"/>
      <c r="CO6" s="328"/>
      <c r="CP6" s="328"/>
      <c r="CQ6" s="328"/>
      <c r="CR6" s="267"/>
      <c r="CS6" s="267"/>
      <c r="CT6" s="253"/>
      <c r="CU6" s="328"/>
      <c r="CV6" s="267"/>
      <c r="CW6" s="328"/>
      <c r="CX6" s="328"/>
      <c r="CY6" s="328"/>
      <c r="CZ6" s="267"/>
      <c r="DA6" s="328"/>
      <c r="DB6" s="328"/>
      <c r="DC6" s="328"/>
      <c r="DD6" s="267"/>
      <c r="DE6" s="267"/>
      <c r="DF6" s="328"/>
      <c r="DG6" s="328"/>
      <c r="DH6" s="267"/>
      <c r="DI6" s="328"/>
      <c r="DJ6" s="328"/>
      <c r="DK6" s="328"/>
      <c r="DL6" s="267"/>
      <c r="DM6" s="328"/>
      <c r="DN6" s="328"/>
      <c r="DO6" s="328"/>
      <c r="DP6" s="267"/>
      <c r="DQ6" s="267"/>
      <c r="DR6" s="328"/>
      <c r="DS6" s="328"/>
      <c r="DT6" s="267"/>
      <c r="DU6" s="328"/>
      <c r="DV6" s="328"/>
      <c r="DW6" s="328"/>
      <c r="DX6" s="267"/>
      <c r="DY6" s="328"/>
      <c r="DZ6" s="267"/>
      <c r="EA6" s="267"/>
      <c r="EB6" s="267"/>
      <c r="EC6" s="267"/>
      <c r="ED6" s="267"/>
      <c r="EE6" s="267"/>
      <c r="EF6" s="267"/>
      <c r="EG6" s="267"/>
      <c r="EH6" s="267"/>
      <c r="EI6" s="267"/>
      <c r="EJ6" s="267"/>
      <c r="EK6" s="267"/>
      <c r="EL6" s="267"/>
      <c r="EM6" s="267"/>
      <c r="EN6" s="267"/>
      <c r="EO6" s="267"/>
    </row>
    <row r="7" spans="1:145" x14ac:dyDescent="0.25">
      <c r="A7" s="282" t="s">
        <v>135</v>
      </c>
      <c r="B7" s="253">
        <v>30</v>
      </c>
      <c r="C7" s="253">
        <v>17</v>
      </c>
      <c r="D7" s="283">
        <f t="shared" si="11"/>
        <v>47</v>
      </c>
      <c r="E7" s="253">
        <v>1347000</v>
      </c>
      <c r="F7" s="253">
        <v>3</v>
      </c>
      <c r="G7" s="253">
        <v>0</v>
      </c>
      <c r="H7" s="283">
        <f t="shared" si="12"/>
        <v>3</v>
      </c>
      <c r="I7" s="253">
        <v>130200</v>
      </c>
      <c r="J7" s="283">
        <f t="shared" si="13"/>
        <v>33</v>
      </c>
      <c r="K7" s="283">
        <f t="shared" si="14"/>
        <v>17</v>
      </c>
      <c r="L7" s="283">
        <f t="shared" si="15"/>
        <v>50</v>
      </c>
      <c r="M7" s="283">
        <f t="shared" si="16"/>
        <v>1477200</v>
      </c>
      <c r="N7" s="253">
        <v>16</v>
      </c>
      <c r="O7" s="253">
        <v>15</v>
      </c>
      <c r="P7" s="283">
        <f t="shared" si="17"/>
        <v>31</v>
      </c>
      <c r="Q7" s="253">
        <v>476300</v>
      </c>
      <c r="R7" s="253">
        <v>13</v>
      </c>
      <c r="S7" s="253">
        <v>0</v>
      </c>
      <c r="T7" s="283">
        <f t="shared" si="18"/>
        <v>13</v>
      </c>
      <c r="U7" s="253">
        <v>946450</v>
      </c>
      <c r="V7" s="283">
        <f t="shared" si="19"/>
        <v>29</v>
      </c>
      <c r="W7" s="283">
        <f t="shared" si="20"/>
        <v>15</v>
      </c>
      <c r="X7" s="283">
        <f t="shared" si="21"/>
        <v>44</v>
      </c>
      <c r="Y7" s="322">
        <f t="shared" si="22"/>
        <v>1422750</v>
      </c>
      <c r="Z7" s="325">
        <v>24</v>
      </c>
      <c r="AA7" s="328">
        <v>23</v>
      </c>
      <c r="AB7" s="267">
        <f t="shared" si="23"/>
        <v>47</v>
      </c>
      <c r="AC7" s="328">
        <v>885970</v>
      </c>
      <c r="AD7" s="328">
        <v>12</v>
      </c>
      <c r="AE7" s="328">
        <v>2</v>
      </c>
      <c r="AF7" s="267">
        <f t="shared" si="2"/>
        <v>14</v>
      </c>
      <c r="AG7" s="328">
        <v>900350</v>
      </c>
      <c r="AH7" s="328">
        <f t="shared" si="3"/>
        <v>36</v>
      </c>
      <c r="AI7" s="328">
        <f t="shared" si="4"/>
        <v>25</v>
      </c>
      <c r="AJ7" s="267">
        <f t="shared" si="5"/>
        <v>61</v>
      </c>
      <c r="AK7" s="329">
        <f t="shared" si="24"/>
        <v>1786320</v>
      </c>
      <c r="AL7" s="330">
        <v>45</v>
      </c>
      <c r="AM7" s="328">
        <v>24</v>
      </c>
      <c r="AN7" s="267">
        <f t="shared" si="6"/>
        <v>69</v>
      </c>
      <c r="AO7" s="328">
        <v>1321950</v>
      </c>
      <c r="AP7" s="328">
        <v>24</v>
      </c>
      <c r="AQ7" s="328">
        <v>0</v>
      </c>
      <c r="AR7" s="328">
        <f t="shared" si="7"/>
        <v>24</v>
      </c>
      <c r="AS7" s="328">
        <v>974700</v>
      </c>
      <c r="AT7" s="328">
        <f t="shared" si="8"/>
        <v>69</v>
      </c>
      <c r="AU7" s="328">
        <f t="shared" si="9"/>
        <v>24</v>
      </c>
      <c r="AV7" s="328">
        <f t="shared" si="10"/>
        <v>93</v>
      </c>
      <c r="AW7" s="328">
        <f t="shared" si="25"/>
        <v>2296650</v>
      </c>
      <c r="AX7" s="253"/>
      <c r="AY7" s="328"/>
      <c r="AZ7" s="267"/>
      <c r="BA7" s="328"/>
      <c r="BB7" s="328"/>
      <c r="BC7" s="328"/>
      <c r="BD7" s="267"/>
      <c r="BE7" s="328"/>
      <c r="BF7" s="328"/>
      <c r="BG7" s="328"/>
      <c r="BH7" s="267"/>
      <c r="BI7" s="267"/>
      <c r="BJ7" s="253"/>
      <c r="BK7" s="328"/>
      <c r="BL7" s="267"/>
      <c r="BM7" s="328"/>
      <c r="BN7" s="328"/>
      <c r="BO7" s="328"/>
      <c r="BP7" s="267"/>
      <c r="BQ7" s="328"/>
      <c r="BR7" s="328"/>
      <c r="BS7" s="328"/>
      <c r="BT7" s="267"/>
      <c r="BU7" s="267"/>
      <c r="BV7" s="253"/>
      <c r="BW7" s="328"/>
      <c r="BX7" s="267"/>
      <c r="BY7" s="328"/>
      <c r="BZ7" s="328"/>
      <c r="CA7" s="328"/>
      <c r="CB7" s="267"/>
      <c r="CC7" s="328"/>
      <c r="CD7" s="328"/>
      <c r="CE7" s="328"/>
      <c r="CF7" s="267"/>
      <c r="CG7" s="267"/>
      <c r="CH7" s="253"/>
      <c r="CI7" s="328"/>
      <c r="CJ7" s="267"/>
      <c r="CK7" s="328"/>
      <c r="CL7" s="328"/>
      <c r="CM7" s="328"/>
      <c r="CN7" s="267"/>
      <c r="CO7" s="328"/>
      <c r="CP7" s="328"/>
      <c r="CQ7" s="328"/>
      <c r="CR7" s="267"/>
      <c r="CS7" s="267"/>
      <c r="CT7" s="253"/>
      <c r="CU7" s="328"/>
      <c r="CV7" s="267"/>
      <c r="CW7" s="328"/>
      <c r="CX7" s="328"/>
      <c r="CY7" s="328"/>
      <c r="CZ7" s="267"/>
      <c r="DA7" s="328"/>
      <c r="DB7" s="328"/>
      <c r="DC7" s="328"/>
      <c r="DD7" s="267"/>
      <c r="DE7" s="267"/>
      <c r="DF7" s="328"/>
      <c r="DG7" s="328"/>
      <c r="DH7" s="267"/>
      <c r="DI7" s="328"/>
      <c r="DJ7" s="328"/>
      <c r="DK7" s="328"/>
      <c r="DL7" s="267"/>
      <c r="DM7" s="328"/>
      <c r="DN7" s="328"/>
      <c r="DO7" s="328"/>
      <c r="DP7" s="267"/>
      <c r="DQ7" s="267"/>
      <c r="DR7" s="328"/>
      <c r="DS7" s="328"/>
      <c r="DT7" s="267"/>
      <c r="DU7" s="328"/>
      <c r="DV7" s="328"/>
      <c r="DW7" s="328"/>
      <c r="DX7" s="267"/>
      <c r="DY7" s="328"/>
      <c r="DZ7" s="267"/>
      <c r="EA7" s="267"/>
      <c r="EB7" s="267"/>
      <c r="EC7" s="267"/>
      <c r="ED7" s="267"/>
      <c r="EE7" s="267"/>
      <c r="EF7" s="267"/>
      <c r="EG7" s="267"/>
      <c r="EH7" s="267"/>
      <c r="EI7" s="267"/>
      <c r="EJ7" s="267"/>
      <c r="EK7" s="267"/>
      <c r="EL7" s="267"/>
      <c r="EM7" s="267"/>
      <c r="EN7" s="267"/>
      <c r="EO7" s="267"/>
    </row>
    <row r="8" spans="1:145" x14ac:dyDescent="0.25">
      <c r="A8" s="285" t="s">
        <v>7</v>
      </c>
      <c r="B8" s="253">
        <v>16</v>
      </c>
      <c r="C8" s="253">
        <v>14</v>
      </c>
      <c r="D8" s="283">
        <f t="shared" si="11"/>
        <v>30</v>
      </c>
      <c r="E8" s="253">
        <v>730147</v>
      </c>
      <c r="F8" s="253">
        <v>26</v>
      </c>
      <c r="G8" s="253">
        <v>0</v>
      </c>
      <c r="H8" s="283">
        <f t="shared" si="12"/>
        <v>26</v>
      </c>
      <c r="I8" s="253">
        <v>1705290</v>
      </c>
      <c r="J8" s="283">
        <f t="shared" si="13"/>
        <v>42</v>
      </c>
      <c r="K8" s="283">
        <f t="shared" si="14"/>
        <v>14</v>
      </c>
      <c r="L8" s="283">
        <f t="shared" si="15"/>
        <v>56</v>
      </c>
      <c r="M8" s="283">
        <f t="shared" si="16"/>
        <v>2435437</v>
      </c>
      <c r="N8" s="253">
        <v>21</v>
      </c>
      <c r="O8" s="253">
        <v>22</v>
      </c>
      <c r="P8" s="283">
        <f t="shared" si="17"/>
        <v>43</v>
      </c>
      <c r="Q8" s="253">
        <v>800897</v>
      </c>
      <c r="R8" s="253">
        <v>28</v>
      </c>
      <c r="S8" s="253">
        <v>1</v>
      </c>
      <c r="T8" s="283">
        <f t="shared" si="18"/>
        <v>29</v>
      </c>
      <c r="U8" s="253">
        <v>1622057</v>
      </c>
      <c r="V8" s="283">
        <f t="shared" si="19"/>
        <v>49</v>
      </c>
      <c r="W8" s="283">
        <f t="shared" si="20"/>
        <v>23</v>
      </c>
      <c r="X8" s="283">
        <f t="shared" si="21"/>
        <v>72</v>
      </c>
      <c r="Y8" s="322">
        <f t="shared" si="22"/>
        <v>2422954</v>
      </c>
      <c r="Z8" s="325">
        <v>22</v>
      </c>
      <c r="AA8" s="328">
        <v>9</v>
      </c>
      <c r="AB8" s="267">
        <f t="shared" si="23"/>
        <v>31</v>
      </c>
      <c r="AC8" s="328">
        <v>1239847</v>
      </c>
      <c r="AD8" s="328">
        <v>25</v>
      </c>
      <c r="AE8" s="328">
        <v>2</v>
      </c>
      <c r="AF8" s="267">
        <f t="shared" si="2"/>
        <v>27</v>
      </c>
      <c r="AG8" s="328">
        <v>1808506</v>
      </c>
      <c r="AH8" s="328">
        <f t="shared" si="3"/>
        <v>47</v>
      </c>
      <c r="AI8" s="328">
        <f t="shared" si="4"/>
        <v>11</v>
      </c>
      <c r="AJ8" s="267">
        <f t="shared" si="5"/>
        <v>58</v>
      </c>
      <c r="AK8" s="329">
        <f t="shared" si="24"/>
        <v>3048353</v>
      </c>
      <c r="AL8" s="330">
        <v>21</v>
      </c>
      <c r="AM8" s="328">
        <v>15</v>
      </c>
      <c r="AN8" s="267">
        <f t="shared" si="6"/>
        <v>36</v>
      </c>
      <c r="AO8" s="328">
        <v>1248140</v>
      </c>
      <c r="AP8" s="328">
        <v>30</v>
      </c>
      <c r="AQ8" s="328">
        <v>1</v>
      </c>
      <c r="AR8" s="328">
        <f t="shared" si="7"/>
        <v>31</v>
      </c>
      <c r="AS8" s="328">
        <v>1517650</v>
      </c>
      <c r="AT8" s="328">
        <f t="shared" si="8"/>
        <v>51</v>
      </c>
      <c r="AU8" s="328">
        <f t="shared" si="9"/>
        <v>16</v>
      </c>
      <c r="AV8" s="328">
        <f t="shared" si="10"/>
        <v>67</v>
      </c>
      <c r="AW8" s="328">
        <f t="shared" si="25"/>
        <v>2765790</v>
      </c>
      <c r="AX8" s="253"/>
      <c r="AY8" s="328"/>
      <c r="AZ8" s="267"/>
      <c r="BA8" s="328"/>
      <c r="BB8" s="328"/>
      <c r="BC8" s="328"/>
      <c r="BD8" s="267"/>
      <c r="BE8" s="328"/>
      <c r="BF8" s="328"/>
      <c r="BG8" s="328"/>
      <c r="BH8" s="267"/>
      <c r="BI8" s="267"/>
      <c r="BJ8" s="253"/>
      <c r="BK8" s="328"/>
      <c r="BL8" s="267"/>
      <c r="BM8" s="328"/>
      <c r="BN8" s="328"/>
      <c r="BO8" s="328"/>
      <c r="BP8" s="267"/>
      <c r="BQ8" s="328"/>
      <c r="BR8" s="328"/>
      <c r="BS8" s="328"/>
      <c r="BT8" s="267"/>
      <c r="BU8" s="267"/>
      <c r="BV8" s="253"/>
      <c r="BW8" s="328"/>
      <c r="BX8" s="267"/>
      <c r="BY8" s="328"/>
      <c r="BZ8" s="328"/>
      <c r="CA8" s="328"/>
      <c r="CB8" s="267"/>
      <c r="CC8" s="328"/>
      <c r="CD8" s="328"/>
      <c r="CE8" s="328"/>
      <c r="CF8" s="267"/>
      <c r="CG8" s="267"/>
      <c r="CH8" s="253"/>
      <c r="CI8" s="328"/>
      <c r="CJ8" s="267"/>
      <c r="CK8" s="328"/>
      <c r="CL8" s="328"/>
      <c r="CM8" s="328"/>
      <c r="CN8" s="267"/>
      <c r="CO8" s="328"/>
      <c r="CP8" s="328"/>
      <c r="CQ8" s="328"/>
      <c r="CR8" s="267"/>
      <c r="CS8" s="267"/>
      <c r="CT8" s="253"/>
      <c r="CU8" s="328"/>
      <c r="CV8" s="267"/>
      <c r="CW8" s="328"/>
      <c r="CX8" s="328"/>
      <c r="CY8" s="328"/>
      <c r="CZ8" s="267"/>
      <c r="DA8" s="328"/>
      <c r="DB8" s="328"/>
      <c r="DC8" s="328"/>
      <c r="DD8" s="267"/>
      <c r="DE8" s="267"/>
      <c r="DF8" s="328"/>
      <c r="DG8" s="328"/>
      <c r="DH8" s="267"/>
      <c r="DI8" s="328"/>
      <c r="DJ8" s="328"/>
      <c r="DK8" s="328"/>
      <c r="DL8" s="267"/>
      <c r="DM8" s="328"/>
      <c r="DN8" s="328"/>
      <c r="DO8" s="328"/>
      <c r="DP8" s="267"/>
      <c r="DQ8" s="267"/>
      <c r="DR8" s="328"/>
      <c r="DS8" s="328"/>
      <c r="DT8" s="267"/>
      <c r="DU8" s="328"/>
      <c r="DV8" s="328"/>
      <c r="DW8" s="328"/>
      <c r="DX8" s="267"/>
      <c r="DY8" s="328"/>
      <c r="DZ8" s="267"/>
      <c r="EA8" s="267"/>
      <c r="EB8" s="267"/>
      <c r="EC8" s="267"/>
      <c r="ED8" s="267"/>
      <c r="EE8" s="267"/>
      <c r="EF8" s="267"/>
      <c r="EG8" s="267"/>
      <c r="EH8" s="267"/>
      <c r="EI8" s="267"/>
      <c r="EJ8" s="267"/>
      <c r="EK8" s="267"/>
      <c r="EL8" s="267"/>
      <c r="EM8" s="267"/>
      <c r="EN8" s="267"/>
      <c r="EO8" s="267"/>
    </row>
    <row r="9" spans="1:145" x14ac:dyDescent="0.25">
      <c r="A9" s="285" t="s">
        <v>13</v>
      </c>
      <c r="B9" s="253">
        <v>8</v>
      </c>
      <c r="C9" s="253">
        <v>11</v>
      </c>
      <c r="D9" s="283">
        <f t="shared" si="11"/>
        <v>19</v>
      </c>
      <c r="E9" s="253">
        <v>447530</v>
      </c>
      <c r="F9" s="253">
        <v>13</v>
      </c>
      <c r="G9" s="253">
        <v>0</v>
      </c>
      <c r="H9" s="283">
        <f t="shared" si="12"/>
        <v>13</v>
      </c>
      <c r="I9" s="253">
        <v>927131</v>
      </c>
      <c r="J9" s="283">
        <f t="shared" si="13"/>
        <v>21</v>
      </c>
      <c r="K9" s="283">
        <f t="shared" si="14"/>
        <v>11</v>
      </c>
      <c r="L9" s="283">
        <f t="shared" si="15"/>
        <v>32</v>
      </c>
      <c r="M9" s="283">
        <f t="shared" si="16"/>
        <v>1374661</v>
      </c>
      <c r="N9" s="253">
        <v>9</v>
      </c>
      <c r="O9" s="253">
        <v>8</v>
      </c>
      <c r="P9" s="283">
        <f t="shared" si="17"/>
        <v>17</v>
      </c>
      <c r="Q9" s="253">
        <v>347650</v>
      </c>
      <c r="R9" s="253">
        <v>8</v>
      </c>
      <c r="S9" s="253">
        <v>3</v>
      </c>
      <c r="T9" s="283">
        <f t="shared" si="18"/>
        <v>11</v>
      </c>
      <c r="U9" s="253">
        <v>686480</v>
      </c>
      <c r="V9" s="283">
        <f t="shared" si="19"/>
        <v>17</v>
      </c>
      <c r="W9" s="283">
        <f t="shared" si="20"/>
        <v>11</v>
      </c>
      <c r="X9" s="283">
        <f t="shared" si="21"/>
        <v>28</v>
      </c>
      <c r="Y9" s="322">
        <f t="shared" si="22"/>
        <v>1034130</v>
      </c>
      <c r="Z9" s="325">
        <v>10</v>
      </c>
      <c r="AA9" s="328">
        <v>7</v>
      </c>
      <c r="AB9" s="267">
        <f t="shared" si="23"/>
        <v>17</v>
      </c>
      <c r="AC9" s="328">
        <v>184600</v>
      </c>
      <c r="AD9" s="328">
        <v>12</v>
      </c>
      <c r="AE9" s="328">
        <v>1</v>
      </c>
      <c r="AF9" s="267">
        <f t="shared" si="2"/>
        <v>13</v>
      </c>
      <c r="AG9" s="328">
        <v>1268240</v>
      </c>
      <c r="AH9" s="328">
        <f t="shared" si="3"/>
        <v>22</v>
      </c>
      <c r="AI9" s="328">
        <f t="shared" si="4"/>
        <v>8</v>
      </c>
      <c r="AJ9" s="267">
        <f t="shared" si="5"/>
        <v>30</v>
      </c>
      <c r="AK9" s="329">
        <f t="shared" si="24"/>
        <v>1452840</v>
      </c>
      <c r="AL9" s="330">
        <v>3</v>
      </c>
      <c r="AM9" s="328">
        <v>2</v>
      </c>
      <c r="AN9" s="267">
        <f t="shared" si="6"/>
        <v>5</v>
      </c>
      <c r="AO9" s="328">
        <v>218000</v>
      </c>
      <c r="AP9" s="328">
        <v>15</v>
      </c>
      <c r="AQ9" s="328">
        <v>0</v>
      </c>
      <c r="AR9" s="328">
        <f t="shared" si="7"/>
        <v>15</v>
      </c>
      <c r="AS9" s="328">
        <v>1382213</v>
      </c>
      <c r="AT9" s="328">
        <f t="shared" si="8"/>
        <v>18</v>
      </c>
      <c r="AU9" s="328">
        <f t="shared" si="9"/>
        <v>2</v>
      </c>
      <c r="AV9" s="328">
        <f t="shared" si="10"/>
        <v>20</v>
      </c>
      <c r="AW9" s="328">
        <f t="shared" si="25"/>
        <v>1600213</v>
      </c>
      <c r="AX9" s="253"/>
      <c r="AY9" s="328"/>
      <c r="AZ9" s="267"/>
      <c r="BA9" s="328"/>
      <c r="BB9" s="328"/>
      <c r="BC9" s="328"/>
      <c r="BD9" s="267"/>
      <c r="BE9" s="328"/>
      <c r="BF9" s="328"/>
      <c r="BG9" s="328"/>
      <c r="BH9" s="267"/>
      <c r="BI9" s="267"/>
      <c r="BJ9" s="253"/>
      <c r="BK9" s="328"/>
      <c r="BL9" s="267"/>
      <c r="BM9" s="328"/>
      <c r="BN9" s="328"/>
      <c r="BO9" s="328"/>
      <c r="BP9" s="267"/>
      <c r="BQ9" s="328"/>
      <c r="BR9" s="328"/>
      <c r="BS9" s="328"/>
      <c r="BT9" s="267"/>
      <c r="BU9" s="267"/>
      <c r="BV9" s="253"/>
      <c r="BW9" s="328"/>
      <c r="BX9" s="267"/>
      <c r="BY9" s="328"/>
      <c r="BZ9" s="328"/>
      <c r="CA9" s="328"/>
      <c r="CB9" s="267"/>
      <c r="CC9" s="328"/>
      <c r="CD9" s="328"/>
      <c r="CE9" s="328"/>
      <c r="CF9" s="267"/>
      <c r="CG9" s="267"/>
      <c r="CH9" s="253"/>
      <c r="CI9" s="328"/>
      <c r="CJ9" s="267"/>
      <c r="CK9" s="328"/>
      <c r="CL9" s="328"/>
      <c r="CM9" s="328"/>
      <c r="CN9" s="267"/>
      <c r="CO9" s="328"/>
      <c r="CP9" s="328"/>
      <c r="CQ9" s="328"/>
      <c r="CR9" s="267"/>
      <c r="CS9" s="267"/>
      <c r="CT9" s="253"/>
      <c r="CU9" s="328"/>
      <c r="CV9" s="267"/>
      <c r="CW9" s="328"/>
      <c r="CX9" s="328"/>
      <c r="CY9" s="328"/>
      <c r="CZ9" s="267"/>
      <c r="DA9" s="328"/>
      <c r="DB9" s="328"/>
      <c r="DC9" s="328"/>
      <c r="DD9" s="267"/>
      <c r="DE9" s="267"/>
      <c r="DF9" s="328"/>
      <c r="DG9" s="328"/>
      <c r="DH9" s="267"/>
      <c r="DI9" s="328"/>
      <c r="DJ9" s="328"/>
      <c r="DK9" s="328"/>
      <c r="DL9" s="267"/>
      <c r="DM9" s="328"/>
      <c r="DN9" s="328"/>
      <c r="DO9" s="328"/>
      <c r="DP9" s="267"/>
      <c r="DQ9" s="267"/>
      <c r="DR9" s="328"/>
      <c r="DS9" s="328"/>
      <c r="DT9" s="267"/>
      <c r="DU9" s="328"/>
      <c r="DV9" s="328"/>
      <c r="DW9" s="328"/>
      <c r="DX9" s="267"/>
      <c r="DY9" s="328"/>
      <c r="DZ9" s="267"/>
      <c r="EA9" s="267"/>
      <c r="EB9" s="267"/>
      <c r="EC9" s="267"/>
      <c r="ED9" s="267"/>
      <c r="EE9" s="267"/>
      <c r="EF9" s="267"/>
      <c r="EG9" s="267"/>
      <c r="EH9" s="267"/>
      <c r="EI9" s="267"/>
      <c r="EJ9" s="267"/>
      <c r="EK9" s="267"/>
      <c r="EL9" s="267"/>
      <c r="EM9" s="267"/>
      <c r="EN9" s="267"/>
      <c r="EO9" s="267"/>
    </row>
    <row r="10" spans="1:145" x14ac:dyDescent="0.25">
      <c r="A10" s="285" t="s">
        <v>95</v>
      </c>
      <c r="B10" s="253">
        <v>15</v>
      </c>
      <c r="C10" s="253">
        <v>5</v>
      </c>
      <c r="D10" s="283">
        <f t="shared" si="11"/>
        <v>20</v>
      </c>
      <c r="E10" s="253">
        <v>955371</v>
      </c>
      <c r="F10" s="253">
        <v>21</v>
      </c>
      <c r="G10" s="253">
        <v>0</v>
      </c>
      <c r="H10" s="283">
        <f t="shared" si="12"/>
        <v>21</v>
      </c>
      <c r="I10" s="253">
        <v>1481135</v>
      </c>
      <c r="J10" s="283">
        <f t="shared" si="13"/>
        <v>36</v>
      </c>
      <c r="K10" s="283">
        <f t="shared" si="14"/>
        <v>5</v>
      </c>
      <c r="L10" s="283">
        <f t="shared" si="15"/>
        <v>41</v>
      </c>
      <c r="M10" s="283">
        <f t="shared" si="16"/>
        <v>2436506</v>
      </c>
      <c r="N10" s="253">
        <v>13</v>
      </c>
      <c r="O10" s="253">
        <v>7</v>
      </c>
      <c r="P10" s="283">
        <f t="shared" si="17"/>
        <v>20</v>
      </c>
      <c r="Q10" s="253">
        <v>730343</v>
      </c>
      <c r="R10" s="253">
        <v>28</v>
      </c>
      <c r="S10" s="253">
        <v>1</v>
      </c>
      <c r="T10" s="283">
        <f t="shared" si="18"/>
        <v>29</v>
      </c>
      <c r="U10" s="253">
        <v>1515245</v>
      </c>
      <c r="V10" s="283">
        <f t="shared" si="19"/>
        <v>41</v>
      </c>
      <c r="W10" s="283">
        <f t="shared" si="20"/>
        <v>8</v>
      </c>
      <c r="X10" s="283">
        <f t="shared" si="21"/>
        <v>49</v>
      </c>
      <c r="Y10" s="322">
        <f t="shared" si="22"/>
        <v>2245588</v>
      </c>
      <c r="Z10" s="325">
        <v>17</v>
      </c>
      <c r="AA10" s="328">
        <v>5</v>
      </c>
      <c r="AB10" s="267">
        <f t="shared" si="23"/>
        <v>22</v>
      </c>
      <c r="AC10" s="328">
        <v>599200</v>
      </c>
      <c r="AD10" s="328">
        <v>27</v>
      </c>
      <c r="AE10" s="328">
        <v>1</v>
      </c>
      <c r="AF10" s="267">
        <f t="shared" si="2"/>
        <v>28</v>
      </c>
      <c r="AG10" s="328">
        <v>1514150</v>
      </c>
      <c r="AH10" s="328">
        <f t="shared" si="3"/>
        <v>44</v>
      </c>
      <c r="AI10" s="328">
        <f t="shared" si="4"/>
        <v>6</v>
      </c>
      <c r="AJ10" s="267">
        <f t="shared" si="5"/>
        <v>50</v>
      </c>
      <c r="AK10" s="329">
        <f t="shared" si="24"/>
        <v>2113350</v>
      </c>
      <c r="AL10" s="330">
        <v>19</v>
      </c>
      <c r="AM10" s="328">
        <v>5</v>
      </c>
      <c r="AN10" s="267">
        <f t="shared" si="6"/>
        <v>24</v>
      </c>
      <c r="AO10" s="328">
        <v>700675</v>
      </c>
      <c r="AP10" s="328">
        <v>31</v>
      </c>
      <c r="AQ10" s="328">
        <v>0</v>
      </c>
      <c r="AR10" s="328">
        <f t="shared" si="7"/>
        <v>31</v>
      </c>
      <c r="AS10" s="328">
        <v>1383450</v>
      </c>
      <c r="AT10" s="328">
        <f t="shared" si="8"/>
        <v>50</v>
      </c>
      <c r="AU10" s="328">
        <f t="shared" si="9"/>
        <v>5</v>
      </c>
      <c r="AV10" s="328">
        <f t="shared" si="10"/>
        <v>55</v>
      </c>
      <c r="AW10" s="328">
        <f t="shared" si="25"/>
        <v>2084125</v>
      </c>
      <c r="AX10" s="253"/>
      <c r="AY10" s="328"/>
      <c r="AZ10" s="267"/>
      <c r="BA10" s="328"/>
      <c r="BB10" s="328"/>
      <c r="BC10" s="328"/>
      <c r="BD10" s="267"/>
      <c r="BE10" s="328"/>
      <c r="BF10" s="328"/>
      <c r="BG10" s="328"/>
      <c r="BH10" s="267"/>
      <c r="BI10" s="267"/>
      <c r="BJ10" s="253"/>
      <c r="BK10" s="328"/>
      <c r="BL10" s="267"/>
      <c r="BM10" s="328"/>
      <c r="BN10" s="328"/>
      <c r="BO10" s="328"/>
      <c r="BP10" s="267"/>
      <c r="BQ10" s="328"/>
      <c r="BR10" s="328"/>
      <c r="BS10" s="328"/>
      <c r="BT10" s="267"/>
      <c r="BU10" s="267"/>
      <c r="BV10" s="253"/>
      <c r="BW10" s="328"/>
      <c r="BX10" s="267"/>
      <c r="BY10" s="328"/>
      <c r="BZ10" s="328"/>
      <c r="CA10" s="328"/>
      <c r="CB10" s="267"/>
      <c r="CC10" s="328"/>
      <c r="CD10" s="328"/>
      <c r="CE10" s="328"/>
      <c r="CF10" s="267"/>
      <c r="CG10" s="267"/>
      <c r="CH10" s="253"/>
      <c r="CI10" s="328"/>
      <c r="CJ10" s="267"/>
      <c r="CK10" s="328"/>
      <c r="CL10" s="328"/>
      <c r="CM10" s="328"/>
      <c r="CN10" s="267"/>
      <c r="CO10" s="328"/>
      <c r="CP10" s="328"/>
      <c r="CQ10" s="328"/>
      <c r="CR10" s="267"/>
      <c r="CS10" s="267"/>
      <c r="CT10" s="253"/>
      <c r="CU10" s="328"/>
      <c r="CV10" s="267"/>
      <c r="CW10" s="328"/>
      <c r="CX10" s="328"/>
      <c r="CY10" s="328"/>
      <c r="CZ10" s="267"/>
      <c r="DA10" s="328"/>
      <c r="DB10" s="328"/>
      <c r="DC10" s="328"/>
      <c r="DD10" s="267"/>
      <c r="DE10" s="267"/>
      <c r="DF10" s="328"/>
      <c r="DG10" s="328"/>
      <c r="DH10" s="267"/>
      <c r="DI10" s="328"/>
      <c r="DJ10" s="328"/>
      <c r="DK10" s="328"/>
      <c r="DL10" s="267"/>
      <c r="DM10" s="328"/>
      <c r="DN10" s="328"/>
      <c r="DO10" s="328"/>
      <c r="DP10" s="267"/>
      <c r="DQ10" s="267"/>
      <c r="DR10" s="328"/>
      <c r="DS10" s="328"/>
      <c r="DT10" s="267"/>
      <c r="DU10" s="328"/>
      <c r="DV10" s="328"/>
      <c r="DW10" s="328"/>
      <c r="DX10" s="267"/>
      <c r="DY10" s="328"/>
      <c r="DZ10" s="267"/>
      <c r="EA10" s="267"/>
      <c r="EB10" s="267"/>
      <c r="EC10" s="267"/>
      <c r="ED10" s="267"/>
      <c r="EE10" s="267"/>
      <c r="EF10" s="267"/>
      <c r="EG10" s="267"/>
      <c r="EH10" s="267"/>
      <c r="EI10" s="267"/>
      <c r="EJ10" s="267"/>
      <c r="EK10" s="267"/>
      <c r="EL10" s="267"/>
      <c r="EM10" s="267"/>
      <c r="EN10" s="267"/>
      <c r="EO10" s="267"/>
    </row>
    <row r="11" spans="1:145" x14ac:dyDescent="0.25">
      <c r="A11" s="282" t="s">
        <v>126</v>
      </c>
      <c r="B11" s="253">
        <v>0</v>
      </c>
      <c r="C11" s="253">
        <v>0</v>
      </c>
      <c r="D11" s="283">
        <f t="shared" si="11"/>
        <v>0</v>
      </c>
      <c r="E11" s="253">
        <v>0</v>
      </c>
      <c r="F11" s="253">
        <v>0</v>
      </c>
      <c r="G11" s="253">
        <v>0</v>
      </c>
      <c r="H11" s="283">
        <f t="shared" si="12"/>
        <v>0</v>
      </c>
      <c r="I11" s="253">
        <v>0</v>
      </c>
      <c r="J11" s="283">
        <f t="shared" si="13"/>
        <v>0</v>
      </c>
      <c r="K11" s="283">
        <f t="shared" si="14"/>
        <v>0</v>
      </c>
      <c r="L11" s="283">
        <f t="shared" si="15"/>
        <v>0</v>
      </c>
      <c r="M11" s="283">
        <f t="shared" si="16"/>
        <v>0</v>
      </c>
      <c r="N11" s="253">
        <v>0</v>
      </c>
      <c r="O11" s="253">
        <v>0</v>
      </c>
      <c r="P11" s="283">
        <f t="shared" si="17"/>
        <v>0</v>
      </c>
      <c r="Q11" s="253">
        <v>0</v>
      </c>
      <c r="R11" s="253">
        <v>0</v>
      </c>
      <c r="S11" s="253">
        <v>0</v>
      </c>
      <c r="T11" s="283">
        <f t="shared" si="18"/>
        <v>0</v>
      </c>
      <c r="U11" s="253">
        <v>0</v>
      </c>
      <c r="V11" s="283">
        <f t="shared" si="19"/>
        <v>0</v>
      </c>
      <c r="W11" s="283">
        <f t="shared" si="20"/>
        <v>0</v>
      </c>
      <c r="X11" s="283">
        <f t="shared" si="21"/>
        <v>0</v>
      </c>
      <c r="Y11" s="322">
        <f t="shared" si="22"/>
        <v>0</v>
      </c>
      <c r="Z11" s="325">
        <v>1</v>
      </c>
      <c r="AA11" s="328">
        <v>0</v>
      </c>
      <c r="AB11" s="267">
        <f t="shared" si="23"/>
        <v>1</v>
      </c>
      <c r="AC11" s="328">
        <v>0</v>
      </c>
      <c r="AD11" s="328">
        <v>0</v>
      </c>
      <c r="AE11" s="328">
        <v>0</v>
      </c>
      <c r="AF11" s="267">
        <f t="shared" si="2"/>
        <v>0</v>
      </c>
      <c r="AG11" s="328">
        <v>0</v>
      </c>
      <c r="AH11" s="328">
        <f t="shared" si="3"/>
        <v>1</v>
      </c>
      <c r="AI11" s="328">
        <f t="shared" si="4"/>
        <v>0</v>
      </c>
      <c r="AJ11" s="267">
        <f t="shared" si="5"/>
        <v>1</v>
      </c>
      <c r="AK11" s="329">
        <f t="shared" si="24"/>
        <v>0</v>
      </c>
      <c r="AL11" s="330">
        <v>5</v>
      </c>
      <c r="AM11" s="328">
        <v>2</v>
      </c>
      <c r="AN11" s="267">
        <f t="shared" si="6"/>
        <v>7</v>
      </c>
      <c r="AO11" s="328">
        <v>108800</v>
      </c>
      <c r="AP11" s="328">
        <v>0</v>
      </c>
      <c r="AQ11" s="328">
        <v>0</v>
      </c>
      <c r="AR11" s="328">
        <f t="shared" si="7"/>
        <v>0</v>
      </c>
      <c r="AS11" s="328">
        <v>0</v>
      </c>
      <c r="AT11" s="328">
        <f t="shared" si="8"/>
        <v>5</v>
      </c>
      <c r="AU11" s="328">
        <f t="shared" si="9"/>
        <v>2</v>
      </c>
      <c r="AV11" s="328">
        <f t="shared" si="10"/>
        <v>7</v>
      </c>
      <c r="AW11" s="328">
        <f t="shared" si="25"/>
        <v>108800</v>
      </c>
      <c r="AX11" s="253"/>
      <c r="AY11" s="328"/>
      <c r="AZ11" s="267"/>
      <c r="BA11" s="328"/>
      <c r="BB11" s="328"/>
      <c r="BC11" s="328"/>
      <c r="BD11" s="267"/>
      <c r="BE11" s="328"/>
      <c r="BF11" s="328"/>
      <c r="BG11" s="328"/>
      <c r="BH11" s="267"/>
      <c r="BI11" s="267"/>
      <c r="BJ11" s="253"/>
      <c r="BK11" s="328"/>
      <c r="BL11" s="267"/>
      <c r="BM11" s="328"/>
      <c r="BN11" s="328"/>
      <c r="BO11" s="328"/>
      <c r="BP11" s="267"/>
      <c r="BQ11" s="328"/>
      <c r="BR11" s="328"/>
      <c r="BS11" s="328"/>
      <c r="BT11" s="267"/>
      <c r="BU11" s="267"/>
      <c r="BV11" s="253"/>
      <c r="BW11" s="328"/>
      <c r="BX11" s="267"/>
      <c r="BY11" s="328"/>
      <c r="BZ11" s="328"/>
      <c r="CA11" s="328"/>
      <c r="CB11" s="267"/>
      <c r="CC11" s="328"/>
      <c r="CD11" s="328"/>
      <c r="CE11" s="328"/>
      <c r="CF11" s="267"/>
      <c r="CG11" s="267"/>
      <c r="CH11" s="253"/>
      <c r="CI11" s="328"/>
      <c r="CJ11" s="267"/>
      <c r="CK11" s="328"/>
      <c r="CL11" s="328"/>
      <c r="CM11" s="328"/>
      <c r="CN11" s="267"/>
      <c r="CO11" s="328"/>
      <c r="CP11" s="328"/>
      <c r="CQ11" s="328"/>
      <c r="CR11" s="267"/>
      <c r="CS11" s="267"/>
      <c r="CT11" s="253"/>
      <c r="CU11" s="328"/>
      <c r="CV11" s="267"/>
      <c r="CW11" s="328"/>
      <c r="CX11" s="328"/>
      <c r="CY11" s="328"/>
      <c r="CZ11" s="267"/>
      <c r="DA11" s="328"/>
      <c r="DB11" s="328"/>
      <c r="DC11" s="328"/>
      <c r="DD11" s="267"/>
      <c r="DE11" s="267"/>
      <c r="DF11" s="328"/>
      <c r="DG11" s="328"/>
      <c r="DH11" s="267"/>
      <c r="DI11" s="328"/>
      <c r="DJ11" s="328"/>
      <c r="DK11" s="328"/>
      <c r="DL11" s="267"/>
      <c r="DM11" s="328"/>
      <c r="DN11" s="328"/>
      <c r="DO11" s="328"/>
      <c r="DP11" s="267"/>
      <c r="DQ11" s="267"/>
      <c r="DR11" s="328"/>
      <c r="DS11" s="328"/>
      <c r="DT11" s="267"/>
      <c r="DU11" s="328"/>
      <c r="DV11" s="328"/>
      <c r="DW11" s="328"/>
      <c r="DX11" s="267"/>
      <c r="DY11" s="328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</row>
    <row r="12" spans="1:145" x14ac:dyDescent="0.25">
      <c r="A12" s="282" t="s">
        <v>127</v>
      </c>
      <c r="B12" s="253">
        <v>15</v>
      </c>
      <c r="C12" s="253">
        <v>18</v>
      </c>
      <c r="D12" s="283">
        <f t="shared" si="11"/>
        <v>33</v>
      </c>
      <c r="E12" s="253">
        <v>614450</v>
      </c>
      <c r="F12" s="253">
        <v>24</v>
      </c>
      <c r="G12" s="253">
        <v>3</v>
      </c>
      <c r="H12" s="283">
        <f t="shared" si="12"/>
        <v>27</v>
      </c>
      <c r="I12" s="253">
        <v>2464971</v>
      </c>
      <c r="J12" s="283">
        <f t="shared" si="13"/>
        <v>39</v>
      </c>
      <c r="K12" s="283">
        <f t="shared" si="14"/>
        <v>21</v>
      </c>
      <c r="L12" s="283">
        <f t="shared" si="15"/>
        <v>60</v>
      </c>
      <c r="M12" s="283">
        <f t="shared" si="16"/>
        <v>3079421</v>
      </c>
      <c r="N12" s="253">
        <v>21</v>
      </c>
      <c r="O12" s="253">
        <v>17</v>
      </c>
      <c r="P12" s="283">
        <f t="shared" si="17"/>
        <v>38</v>
      </c>
      <c r="Q12" s="253">
        <v>861680</v>
      </c>
      <c r="R12" s="253">
        <v>28</v>
      </c>
      <c r="S12" s="253">
        <v>3</v>
      </c>
      <c r="T12" s="283">
        <f t="shared" si="18"/>
        <v>31</v>
      </c>
      <c r="U12" s="253">
        <v>2644230</v>
      </c>
      <c r="V12" s="283">
        <f t="shared" si="19"/>
        <v>49</v>
      </c>
      <c r="W12" s="283">
        <f t="shared" si="20"/>
        <v>20</v>
      </c>
      <c r="X12" s="283">
        <f t="shared" si="21"/>
        <v>69</v>
      </c>
      <c r="Y12" s="322">
        <f t="shared" si="22"/>
        <v>3505910</v>
      </c>
      <c r="Z12" s="325">
        <v>19</v>
      </c>
      <c r="AA12" s="328">
        <v>9</v>
      </c>
      <c r="AB12" s="267">
        <f t="shared" si="23"/>
        <v>28</v>
      </c>
      <c r="AC12" s="328">
        <v>1411320</v>
      </c>
      <c r="AD12" s="328">
        <v>35</v>
      </c>
      <c r="AE12" s="328">
        <v>1</v>
      </c>
      <c r="AF12" s="267">
        <f t="shared" si="2"/>
        <v>36</v>
      </c>
      <c r="AG12" s="328">
        <v>2875382</v>
      </c>
      <c r="AH12" s="328">
        <f t="shared" si="3"/>
        <v>54</v>
      </c>
      <c r="AI12" s="328">
        <f t="shared" si="4"/>
        <v>10</v>
      </c>
      <c r="AJ12" s="267">
        <f t="shared" si="5"/>
        <v>64</v>
      </c>
      <c r="AK12" s="329">
        <f t="shared" si="24"/>
        <v>4286702</v>
      </c>
      <c r="AL12" s="330">
        <v>27</v>
      </c>
      <c r="AM12" s="328">
        <v>18</v>
      </c>
      <c r="AN12" s="267">
        <f t="shared" si="6"/>
        <v>45</v>
      </c>
      <c r="AO12" s="328">
        <v>2044700</v>
      </c>
      <c r="AP12" s="328">
        <v>36</v>
      </c>
      <c r="AQ12" s="328">
        <v>2</v>
      </c>
      <c r="AR12" s="328">
        <f t="shared" si="7"/>
        <v>38</v>
      </c>
      <c r="AS12" s="328">
        <v>3488740</v>
      </c>
      <c r="AT12" s="328">
        <f t="shared" si="8"/>
        <v>63</v>
      </c>
      <c r="AU12" s="328">
        <f t="shared" si="9"/>
        <v>20</v>
      </c>
      <c r="AV12" s="328">
        <f t="shared" si="10"/>
        <v>83</v>
      </c>
      <c r="AW12" s="328">
        <f t="shared" si="25"/>
        <v>5533440</v>
      </c>
      <c r="AX12" s="253"/>
      <c r="AY12" s="328"/>
      <c r="AZ12" s="267"/>
      <c r="BA12" s="328"/>
      <c r="BB12" s="328"/>
      <c r="BC12" s="328"/>
      <c r="BD12" s="267"/>
      <c r="BE12" s="328"/>
      <c r="BF12" s="328"/>
      <c r="BG12" s="328"/>
      <c r="BH12" s="267"/>
      <c r="BI12" s="267"/>
      <c r="BJ12" s="253"/>
      <c r="BK12" s="328"/>
      <c r="BL12" s="267"/>
      <c r="BM12" s="328"/>
      <c r="BN12" s="328"/>
      <c r="BO12" s="328"/>
      <c r="BP12" s="267"/>
      <c r="BQ12" s="328"/>
      <c r="BR12" s="328"/>
      <c r="BS12" s="328"/>
      <c r="BT12" s="267"/>
      <c r="BU12" s="267"/>
      <c r="BV12" s="253"/>
      <c r="BW12" s="328"/>
      <c r="BX12" s="267"/>
      <c r="BY12" s="328"/>
      <c r="BZ12" s="328"/>
      <c r="CA12" s="328"/>
      <c r="CB12" s="267"/>
      <c r="CC12" s="328"/>
      <c r="CD12" s="328"/>
      <c r="CE12" s="328"/>
      <c r="CF12" s="267"/>
      <c r="CG12" s="267"/>
      <c r="CH12" s="253"/>
      <c r="CI12" s="328"/>
      <c r="CJ12" s="267"/>
      <c r="CK12" s="328"/>
      <c r="CL12" s="328"/>
      <c r="CM12" s="328"/>
      <c r="CN12" s="267"/>
      <c r="CO12" s="328"/>
      <c r="CP12" s="328"/>
      <c r="CQ12" s="328"/>
      <c r="CR12" s="267"/>
      <c r="CS12" s="267"/>
      <c r="CT12" s="253"/>
      <c r="CU12" s="328"/>
      <c r="CV12" s="267"/>
      <c r="CW12" s="328"/>
      <c r="CX12" s="328"/>
      <c r="CY12" s="328"/>
      <c r="CZ12" s="267"/>
      <c r="DA12" s="328"/>
      <c r="DB12" s="328"/>
      <c r="DC12" s="328"/>
      <c r="DD12" s="267"/>
      <c r="DE12" s="267"/>
      <c r="DF12" s="328"/>
      <c r="DG12" s="328"/>
      <c r="DH12" s="267"/>
      <c r="DI12" s="328"/>
      <c r="DJ12" s="328"/>
      <c r="DK12" s="328"/>
      <c r="DL12" s="267"/>
      <c r="DM12" s="328"/>
      <c r="DN12" s="328"/>
      <c r="DO12" s="328"/>
      <c r="DP12" s="267"/>
      <c r="DQ12" s="267"/>
      <c r="DR12" s="328"/>
      <c r="DS12" s="328"/>
      <c r="DT12" s="267"/>
      <c r="DU12" s="328"/>
      <c r="DV12" s="328"/>
      <c r="DW12" s="328"/>
      <c r="DX12" s="267"/>
      <c r="DY12" s="328"/>
      <c r="DZ12" s="267"/>
      <c r="EA12" s="267"/>
      <c r="EB12" s="267"/>
      <c r="EC12" s="267"/>
      <c r="ED12" s="267"/>
      <c r="EE12" s="267"/>
      <c r="EF12" s="267"/>
      <c r="EG12" s="267"/>
      <c r="EH12" s="267"/>
      <c r="EI12" s="267"/>
      <c r="EJ12" s="267"/>
      <c r="EK12" s="267"/>
      <c r="EL12" s="267"/>
      <c r="EM12" s="267"/>
      <c r="EN12" s="267"/>
      <c r="EO12" s="267"/>
    </row>
    <row r="13" spans="1:145" x14ac:dyDescent="0.25">
      <c r="A13" s="282" t="s">
        <v>3</v>
      </c>
      <c r="B13" s="253">
        <v>23</v>
      </c>
      <c r="C13" s="253">
        <v>33</v>
      </c>
      <c r="D13" s="283">
        <f t="shared" si="11"/>
        <v>56</v>
      </c>
      <c r="E13" s="253">
        <v>1534898</v>
      </c>
      <c r="F13" s="253">
        <v>35</v>
      </c>
      <c r="G13" s="253">
        <v>2</v>
      </c>
      <c r="H13" s="283">
        <f t="shared" si="12"/>
        <v>37</v>
      </c>
      <c r="I13" s="253">
        <v>3196409</v>
      </c>
      <c r="J13" s="283">
        <f t="shared" si="13"/>
        <v>58</v>
      </c>
      <c r="K13" s="283">
        <f t="shared" si="14"/>
        <v>35</v>
      </c>
      <c r="L13" s="283">
        <f t="shared" si="15"/>
        <v>93</v>
      </c>
      <c r="M13" s="283">
        <f t="shared" si="16"/>
        <v>4731307</v>
      </c>
      <c r="N13" s="253">
        <v>21</v>
      </c>
      <c r="O13" s="253">
        <v>38</v>
      </c>
      <c r="P13" s="283">
        <f t="shared" si="17"/>
        <v>59</v>
      </c>
      <c r="Q13" s="253">
        <v>881250</v>
      </c>
      <c r="R13" s="253">
        <v>33</v>
      </c>
      <c r="S13" s="253">
        <v>3</v>
      </c>
      <c r="T13" s="283">
        <f t="shared" si="18"/>
        <v>36</v>
      </c>
      <c r="U13" s="253">
        <v>2987301</v>
      </c>
      <c r="V13" s="283">
        <f t="shared" si="19"/>
        <v>54</v>
      </c>
      <c r="W13" s="283">
        <f t="shared" si="20"/>
        <v>41</v>
      </c>
      <c r="X13" s="283">
        <f t="shared" si="21"/>
        <v>95</v>
      </c>
      <c r="Y13" s="322">
        <f t="shared" si="22"/>
        <v>3868551</v>
      </c>
      <c r="Z13" s="325">
        <v>26</v>
      </c>
      <c r="AA13" s="328">
        <v>20</v>
      </c>
      <c r="AB13" s="267">
        <f t="shared" si="23"/>
        <v>46</v>
      </c>
      <c r="AC13" s="328">
        <v>1614730</v>
      </c>
      <c r="AD13" s="328">
        <v>47</v>
      </c>
      <c r="AE13" s="328">
        <v>0</v>
      </c>
      <c r="AF13" s="267">
        <f t="shared" si="2"/>
        <v>47</v>
      </c>
      <c r="AG13" s="328">
        <v>4628645</v>
      </c>
      <c r="AH13" s="328">
        <f t="shared" si="3"/>
        <v>73</v>
      </c>
      <c r="AI13" s="328">
        <f t="shared" si="4"/>
        <v>20</v>
      </c>
      <c r="AJ13" s="267">
        <f t="shared" si="5"/>
        <v>93</v>
      </c>
      <c r="AK13" s="329">
        <f t="shared" si="24"/>
        <v>6243375</v>
      </c>
      <c r="AL13" s="330">
        <v>21</v>
      </c>
      <c r="AM13" s="328">
        <v>27</v>
      </c>
      <c r="AN13" s="267">
        <f t="shared" si="6"/>
        <v>48</v>
      </c>
      <c r="AO13" s="328">
        <v>1476046</v>
      </c>
      <c r="AP13" s="328">
        <v>35</v>
      </c>
      <c r="AQ13" s="328">
        <v>6</v>
      </c>
      <c r="AR13" s="328">
        <f t="shared" si="7"/>
        <v>41</v>
      </c>
      <c r="AS13" s="328">
        <v>2216367</v>
      </c>
      <c r="AT13" s="328">
        <f t="shared" si="8"/>
        <v>56</v>
      </c>
      <c r="AU13" s="328">
        <f t="shared" si="9"/>
        <v>33</v>
      </c>
      <c r="AV13" s="328">
        <f t="shared" si="10"/>
        <v>89</v>
      </c>
      <c r="AW13" s="328">
        <f t="shared" si="25"/>
        <v>3692413</v>
      </c>
      <c r="AX13" s="253"/>
      <c r="AY13" s="328"/>
      <c r="AZ13" s="267"/>
      <c r="BA13" s="328"/>
      <c r="BB13" s="328"/>
      <c r="BC13" s="328"/>
      <c r="BD13" s="267"/>
      <c r="BE13" s="328"/>
      <c r="BF13" s="328"/>
      <c r="BG13" s="328"/>
      <c r="BH13" s="267"/>
      <c r="BI13" s="267"/>
      <c r="BJ13" s="253"/>
      <c r="BK13" s="328"/>
      <c r="BL13" s="267"/>
      <c r="BM13" s="328"/>
      <c r="BN13" s="328"/>
      <c r="BO13" s="328"/>
      <c r="BP13" s="267"/>
      <c r="BQ13" s="328"/>
      <c r="BR13" s="328"/>
      <c r="BS13" s="328"/>
      <c r="BT13" s="267"/>
      <c r="BU13" s="267"/>
      <c r="BV13" s="253"/>
      <c r="BW13" s="328"/>
      <c r="BX13" s="267"/>
      <c r="BY13" s="328"/>
      <c r="BZ13" s="328"/>
      <c r="CA13" s="328"/>
      <c r="CB13" s="267"/>
      <c r="CC13" s="328"/>
      <c r="CD13" s="328"/>
      <c r="CE13" s="328"/>
      <c r="CF13" s="267"/>
      <c r="CG13" s="267"/>
      <c r="CH13" s="253"/>
      <c r="CI13" s="328"/>
      <c r="CJ13" s="267"/>
      <c r="CK13" s="328"/>
      <c r="CL13" s="328"/>
      <c r="CM13" s="328"/>
      <c r="CN13" s="267"/>
      <c r="CO13" s="328"/>
      <c r="CP13" s="328"/>
      <c r="CQ13" s="328"/>
      <c r="CR13" s="267"/>
      <c r="CS13" s="267"/>
      <c r="CT13" s="253"/>
      <c r="CU13" s="328"/>
      <c r="CV13" s="267"/>
      <c r="CW13" s="328"/>
      <c r="CX13" s="328"/>
      <c r="CY13" s="328"/>
      <c r="CZ13" s="267"/>
      <c r="DA13" s="328"/>
      <c r="DB13" s="328"/>
      <c r="DC13" s="328"/>
      <c r="DD13" s="267"/>
      <c r="DE13" s="267"/>
      <c r="DF13" s="328"/>
      <c r="DG13" s="328"/>
      <c r="DH13" s="267"/>
      <c r="DI13" s="328"/>
      <c r="DJ13" s="328"/>
      <c r="DK13" s="328"/>
      <c r="DL13" s="267"/>
      <c r="DM13" s="328"/>
      <c r="DN13" s="328"/>
      <c r="DO13" s="328"/>
      <c r="DP13" s="267"/>
      <c r="DQ13" s="267"/>
      <c r="DR13" s="328"/>
      <c r="DS13" s="328"/>
      <c r="DT13" s="267"/>
      <c r="DU13" s="328"/>
      <c r="DV13" s="328"/>
      <c r="DW13" s="328"/>
      <c r="DX13" s="267"/>
      <c r="DY13" s="328"/>
      <c r="DZ13" s="267"/>
      <c r="EA13" s="267"/>
      <c r="EB13" s="267"/>
      <c r="EC13" s="267"/>
      <c r="ED13" s="267"/>
      <c r="EE13" s="267"/>
      <c r="EF13" s="267"/>
      <c r="EG13" s="267"/>
      <c r="EH13" s="267"/>
      <c r="EI13" s="267"/>
      <c r="EJ13" s="267"/>
      <c r="EK13" s="267"/>
      <c r="EL13" s="267"/>
      <c r="EM13" s="267"/>
      <c r="EN13" s="267"/>
      <c r="EO13" s="267"/>
    </row>
    <row r="14" spans="1:145" x14ac:dyDescent="0.25">
      <c r="A14" s="282" t="s">
        <v>128</v>
      </c>
      <c r="B14" s="253">
        <v>38</v>
      </c>
      <c r="C14" s="253">
        <v>33</v>
      </c>
      <c r="D14" s="283">
        <f t="shared" si="11"/>
        <v>71</v>
      </c>
      <c r="E14" s="253">
        <v>1212640</v>
      </c>
      <c r="F14" s="253">
        <v>55</v>
      </c>
      <c r="G14" s="253">
        <v>2</v>
      </c>
      <c r="H14" s="283">
        <f t="shared" si="12"/>
        <v>57</v>
      </c>
      <c r="I14" s="253">
        <v>3489723</v>
      </c>
      <c r="J14" s="283">
        <f t="shared" si="13"/>
        <v>93</v>
      </c>
      <c r="K14" s="283">
        <f t="shared" si="14"/>
        <v>35</v>
      </c>
      <c r="L14" s="283">
        <f t="shared" si="15"/>
        <v>128</v>
      </c>
      <c r="M14" s="283">
        <f t="shared" si="16"/>
        <v>4702363</v>
      </c>
      <c r="N14" s="253">
        <v>31</v>
      </c>
      <c r="O14" s="253">
        <v>24</v>
      </c>
      <c r="P14" s="283">
        <f t="shared" si="17"/>
        <v>55</v>
      </c>
      <c r="Q14" s="253">
        <v>1574060</v>
      </c>
      <c r="R14" s="253">
        <v>66</v>
      </c>
      <c r="S14" s="253">
        <v>4</v>
      </c>
      <c r="T14" s="283">
        <f t="shared" si="18"/>
        <v>70</v>
      </c>
      <c r="U14" s="253">
        <v>4171091</v>
      </c>
      <c r="V14" s="283">
        <f t="shared" si="19"/>
        <v>97</v>
      </c>
      <c r="W14" s="283">
        <f t="shared" si="20"/>
        <v>28</v>
      </c>
      <c r="X14" s="283">
        <f t="shared" si="21"/>
        <v>125</v>
      </c>
      <c r="Y14" s="322">
        <f t="shared" si="22"/>
        <v>5745151</v>
      </c>
      <c r="Z14" s="325">
        <v>36</v>
      </c>
      <c r="AA14" s="328">
        <v>29</v>
      </c>
      <c r="AB14" s="267">
        <f t="shared" si="23"/>
        <v>65</v>
      </c>
      <c r="AC14" s="328">
        <v>2102000</v>
      </c>
      <c r="AD14" s="328">
        <v>65</v>
      </c>
      <c r="AE14" s="328">
        <v>5</v>
      </c>
      <c r="AF14" s="267">
        <f t="shared" si="2"/>
        <v>70</v>
      </c>
      <c r="AG14" s="328">
        <v>3641311</v>
      </c>
      <c r="AH14" s="328">
        <f t="shared" si="3"/>
        <v>101</v>
      </c>
      <c r="AI14" s="328">
        <f t="shared" si="4"/>
        <v>34</v>
      </c>
      <c r="AJ14" s="267">
        <f t="shared" si="5"/>
        <v>135</v>
      </c>
      <c r="AK14" s="329">
        <f t="shared" si="24"/>
        <v>5743311</v>
      </c>
      <c r="AL14" s="330">
        <v>37</v>
      </c>
      <c r="AM14" s="328">
        <v>33</v>
      </c>
      <c r="AN14" s="267">
        <f t="shared" si="6"/>
        <v>70</v>
      </c>
      <c r="AO14" s="328">
        <v>2274600</v>
      </c>
      <c r="AP14" s="328">
        <v>59</v>
      </c>
      <c r="AQ14" s="328">
        <v>1</v>
      </c>
      <c r="AR14" s="328">
        <f t="shared" si="7"/>
        <v>60</v>
      </c>
      <c r="AS14" s="328">
        <v>4653085</v>
      </c>
      <c r="AT14" s="328">
        <f t="shared" si="8"/>
        <v>96</v>
      </c>
      <c r="AU14" s="328">
        <f t="shared" si="9"/>
        <v>34</v>
      </c>
      <c r="AV14" s="328">
        <f t="shared" si="10"/>
        <v>130</v>
      </c>
      <c r="AW14" s="328">
        <f t="shared" si="25"/>
        <v>6927685</v>
      </c>
      <c r="AX14" s="253"/>
      <c r="AY14" s="328"/>
      <c r="AZ14" s="267"/>
      <c r="BA14" s="328"/>
      <c r="BB14" s="328"/>
      <c r="BC14" s="328"/>
      <c r="BD14" s="267"/>
      <c r="BE14" s="328"/>
      <c r="BF14" s="328"/>
      <c r="BG14" s="328"/>
      <c r="BH14" s="267"/>
      <c r="BI14" s="267"/>
      <c r="BJ14" s="253"/>
      <c r="BK14" s="328"/>
      <c r="BL14" s="267"/>
      <c r="BM14" s="328"/>
      <c r="BN14" s="328"/>
      <c r="BO14" s="328"/>
      <c r="BP14" s="267"/>
      <c r="BQ14" s="328"/>
      <c r="BR14" s="328"/>
      <c r="BS14" s="328"/>
      <c r="BT14" s="267"/>
      <c r="BU14" s="267"/>
      <c r="BV14" s="253"/>
      <c r="BW14" s="328"/>
      <c r="BX14" s="267"/>
      <c r="BY14" s="328"/>
      <c r="BZ14" s="328"/>
      <c r="CA14" s="328"/>
      <c r="CB14" s="267"/>
      <c r="CC14" s="328"/>
      <c r="CD14" s="328"/>
      <c r="CE14" s="328"/>
      <c r="CF14" s="267"/>
      <c r="CG14" s="267"/>
      <c r="CH14" s="253"/>
      <c r="CI14" s="328"/>
      <c r="CJ14" s="267"/>
      <c r="CK14" s="328"/>
      <c r="CL14" s="328"/>
      <c r="CM14" s="328"/>
      <c r="CN14" s="267"/>
      <c r="CO14" s="328"/>
      <c r="CP14" s="328"/>
      <c r="CQ14" s="328"/>
      <c r="CR14" s="267"/>
      <c r="CS14" s="267"/>
      <c r="CT14" s="253"/>
      <c r="CU14" s="328"/>
      <c r="CV14" s="267"/>
      <c r="CW14" s="328"/>
      <c r="CX14" s="328"/>
      <c r="CY14" s="328"/>
      <c r="CZ14" s="267"/>
      <c r="DA14" s="328"/>
      <c r="DB14" s="328"/>
      <c r="DC14" s="328"/>
      <c r="DD14" s="267"/>
      <c r="DE14" s="267"/>
      <c r="DF14" s="328"/>
      <c r="DG14" s="328"/>
      <c r="DH14" s="267"/>
      <c r="DI14" s="328"/>
      <c r="DJ14" s="328"/>
      <c r="DK14" s="328"/>
      <c r="DL14" s="267"/>
      <c r="DM14" s="328"/>
      <c r="DN14" s="328"/>
      <c r="DO14" s="328"/>
      <c r="DP14" s="267"/>
      <c r="DQ14" s="267"/>
      <c r="DR14" s="328"/>
      <c r="DS14" s="328"/>
      <c r="DT14" s="267"/>
      <c r="DU14" s="328"/>
      <c r="DV14" s="328"/>
      <c r="DW14" s="328"/>
      <c r="DX14" s="267"/>
      <c r="DY14" s="328"/>
      <c r="DZ14" s="267"/>
      <c r="EA14" s="267"/>
      <c r="EB14" s="267"/>
      <c r="EC14" s="267"/>
      <c r="ED14" s="267"/>
      <c r="EE14" s="267"/>
      <c r="EF14" s="267"/>
      <c r="EG14" s="267"/>
      <c r="EH14" s="267"/>
      <c r="EI14" s="267"/>
      <c r="EJ14" s="267"/>
      <c r="EK14" s="267"/>
      <c r="EL14" s="267"/>
      <c r="EM14" s="267"/>
      <c r="EN14" s="267"/>
      <c r="EO14" s="267"/>
    </row>
    <row r="15" spans="1:145" x14ac:dyDescent="0.25">
      <c r="A15" s="282" t="s">
        <v>118</v>
      </c>
      <c r="B15" s="253">
        <v>13</v>
      </c>
      <c r="C15" s="253">
        <v>5</v>
      </c>
      <c r="D15" s="283">
        <f t="shared" si="11"/>
        <v>18</v>
      </c>
      <c r="E15" s="253">
        <v>460000</v>
      </c>
      <c r="F15" s="253">
        <v>7</v>
      </c>
      <c r="G15" s="253">
        <v>0</v>
      </c>
      <c r="H15" s="283">
        <f t="shared" si="12"/>
        <v>7</v>
      </c>
      <c r="I15" s="253">
        <v>194299</v>
      </c>
      <c r="J15" s="283">
        <f t="shared" si="13"/>
        <v>20</v>
      </c>
      <c r="K15" s="283">
        <f t="shared" si="14"/>
        <v>5</v>
      </c>
      <c r="L15" s="283">
        <f t="shared" si="15"/>
        <v>25</v>
      </c>
      <c r="M15" s="283">
        <f t="shared" si="16"/>
        <v>654299</v>
      </c>
      <c r="N15" s="253">
        <v>8</v>
      </c>
      <c r="O15" s="253">
        <v>5</v>
      </c>
      <c r="P15" s="283">
        <f t="shared" si="17"/>
        <v>13</v>
      </c>
      <c r="Q15" s="253">
        <v>370050</v>
      </c>
      <c r="R15" s="253">
        <v>9</v>
      </c>
      <c r="S15" s="253">
        <v>0</v>
      </c>
      <c r="T15" s="283">
        <f t="shared" si="18"/>
        <v>9</v>
      </c>
      <c r="U15" s="253">
        <v>414100</v>
      </c>
      <c r="V15" s="283">
        <f t="shared" si="19"/>
        <v>17</v>
      </c>
      <c r="W15" s="283">
        <f t="shared" si="20"/>
        <v>5</v>
      </c>
      <c r="X15" s="283">
        <f t="shared" si="21"/>
        <v>22</v>
      </c>
      <c r="Y15" s="322">
        <f t="shared" si="22"/>
        <v>784150</v>
      </c>
      <c r="Z15" s="325">
        <v>8</v>
      </c>
      <c r="AA15" s="328">
        <v>4</v>
      </c>
      <c r="AB15" s="267">
        <f t="shared" si="23"/>
        <v>12</v>
      </c>
      <c r="AC15" s="328">
        <v>434900</v>
      </c>
      <c r="AD15" s="328">
        <v>10</v>
      </c>
      <c r="AE15" s="328">
        <v>0</v>
      </c>
      <c r="AF15" s="267">
        <f t="shared" si="2"/>
        <v>10</v>
      </c>
      <c r="AG15" s="328">
        <v>810595</v>
      </c>
      <c r="AH15" s="328">
        <f t="shared" si="3"/>
        <v>18</v>
      </c>
      <c r="AI15" s="328">
        <f t="shared" si="4"/>
        <v>4</v>
      </c>
      <c r="AJ15" s="267">
        <f t="shared" si="5"/>
        <v>22</v>
      </c>
      <c r="AK15" s="329">
        <f t="shared" si="24"/>
        <v>1245495</v>
      </c>
      <c r="AL15" s="330">
        <v>6</v>
      </c>
      <c r="AM15" s="328">
        <v>4</v>
      </c>
      <c r="AN15" s="267">
        <f t="shared" si="6"/>
        <v>10</v>
      </c>
      <c r="AO15" s="328">
        <v>248110</v>
      </c>
      <c r="AP15" s="328">
        <v>10</v>
      </c>
      <c r="AQ15" s="328">
        <v>0</v>
      </c>
      <c r="AR15" s="328">
        <f t="shared" si="7"/>
        <v>10</v>
      </c>
      <c r="AS15" s="328">
        <v>486500</v>
      </c>
      <c r="AT15" s="328">
        <f t="shared" si="8"/>
        <v>16</v>
      </c>
      <c r="AU15" s="328">
        <f t="shared" si="9"/>
        <v>4</v>
      </c>
      <c r="AV15" s="328">
        <f t="shared" si="10"/>
        <v>20</v>
      </c>
      <c r="AW15" s="328">
        <f t="shared" si="25"/>
        <v>734610</v>
      </c>
      <c r="AX15" s="253"/>
      <c r="AY15" s="328"/>
      <c r="AZ15" s="267"/>
      <c r="BA15" s="328"/>
      <c r="BB15" s="328"/>
      <c r="BC15" s="328"/>
      <c r="BD15" s="267"/>
      <c r="BE15" s="328"/>
      <c r="BF15" s="328"/>
      <c r="BG15" s="328"/>
      <c r="BH15" s="267"/>
      <c r="BI15" s="267"/>
      <c r="BJ15" s="253"/>
      <c r="BK15" s="328"/>
      <c r="BL15" s="267"/>
      <c r="BM15" s="328"/>
      <c r="BN15" s="328"/>
      <c r="BO15" s="328"/>
      <c r="BP15" s="267"/>
      <c r="BQ15" s="328"/>
      <c r="BR15" s="328"/>
      <c r="BS15" s="328"/>
      <c r="BT15" s="267"/>
      <c r="BU15" s="267"/>
      <c r="BV15" s="253"/>
      <c r="BW15" s="328"/>
      <c r="BX15" s="267"/>
      <c r="BY15" s="328"/>
      <c r="BZ15" s="328"/>
      <c r="CA15" s="328"/>
      <c r="CB15" s="267"/>
      <c r="CC15" s="328"/>
      <c r="CD15" s="328"/>
      <c r="CE15" s="328"/>
      <c r="CF15" s="267"/>
      <c r="CG15" s="267"/>
      <c r="CH15" s="253"/>
      <c r="CI15" s="328"/>
      <c r="CJ15" s="267"/>
      <c r="CK15" s="328"/>
      <c r="CL15" s="328"/>
      <c r="CM15" s="328"/>
      <c r="CN15" s="267"/>
      <c r="CO15" s="328"/>
      <c r="CP15" s="328"/>
      <c r="CQ15" s="328"/>
      <c r="CR15" s="267"/>
      <c r="CS15" s="267"/>
      <c r="CT15" s="253"/>
      <c r="CU15" s="328"/>
      <c r="CV15" s="267"/>
      <c r="CW15" s="328"/>
      <c r="CX15" s="328"/>
      <c r="CY15" s="328"/>
      <c r="CZ15" s="267"/>
      <c r="DA15" s="328"/>
      <c r="DB15" s="328"/>
      <c r="DC15" s="328"/>
      <c r="DD15" s="267"/>
      <c r="DE15" s="267"/>
      <c r="DF15" s="328"/>
      <c r="DG15" s="328"/>
      <c r="DH15" s="267"/>
      <c r="DI15" s="328"/>
      <c r="DJ15" s="328"/>
      <c r="DK15" s="328"/>
      <c r="DL15" s="267"/>
      <c r="DM15" s="328"/>
      <c r="DN15" s="328"/>
      <c r="DO15" s="328"/>
      <c r="DP15" s="267"/>
      <c r="DQ15" s="267"/>
      <c r="DR15" s="328"/>
      <c r="DS15" s="328"/>
      <c r="DT15" s="267"/>
      <c r="DU15" s="328"/>
      <c r="DV15" s="328"/>
      <c r="DW15" s="328"/>
      <c r="DX15" s="267"/>
      <c r="DY15" s="328"/>
      <c r="DZ15" s="267"/>
      <c r="EA15" s="267"/>
      <c r="EB15" s="267"/>
      <c r="EC15" s="267"/>
      <c r="ED15" s="267"/>
      <c r="EE15" s="267"/>
      <c r="EF15" s="267"/>
      <c r="EG15" s="267"/>
      <c r="EH15" s="267"/>
      <c r="EI15" s="267"/>
      <c r="EJ15" s="267"/>
      <c r="EK15" s="267"/>
      <c r="EL15" s="267"/>
      <c r="EM15" s="267"/>
      <c r="EN15" s="267"/>
      <c r="EO15" s="267"/>
    </row>
    <row r="16" spans="1:145" x14ac:dyDescent="0.25">
      <c r="A16" s="282" t="s">
        <v>10</v>
      </c>
      <c r="B16" s="253">
        <v>10</v>
      </c>
      <c r="C16" s="253">
        <v>13</v>
      </c>
      <c r="D16" s="283">
        <f t="shared" si="11"/>
        <v>23</v>
      </c>
      <c r="E16" s="253">
        <v>921820</v>
      </c>
      <c r="F16" s="253">
        <v>27</v>
      </c>
      <c r="G16" s="253">
        <v>0</v>
      </c>
      <c r="H16" s="283">
        <f t="shared" si="12"/>
        <v>27</v>
      </c>
      <c r="I16" s="253">
        <v>2988975</v>
      </c>
      <c r="J16" s="283">
        <f t="shared" si="13"/>
        <v>37</v>
      </c>
      <c r="K16" s="283">
        <f t="shared" si="14"/>
        <v>13</v>
      </c>
      <c r="L16" s="283">
        <f t="shared" si="15"/>
        <v>50</v>
      </c>
      <c r="M16" s="283">
        <f t="shared" si="16"/>
        <v>3910795</v>
      </c>
      <c r="N16" s="253">
        <v>15</v>
      </c>
      <c r="O16" s="253">
        <v>17</v>
      </c>
      <c r="P16" s="283">
        <f t="shared" si="17"/>
        <v>32</v>
      </c>
      <c r="Q16" s="253">
        <v>772471</v>
      </c>
      <c r="R16" s="253">
        <v>23</v>
      </c>
      <c r="S16" s="253">
        <v>1</v>
      </c>
      <c r="T16" s="283">
        <f t="shared" si="18"/>
        <v>24</v>
      </c>
      <c r="U16" s="253">
        <v>2178521</v>
      </c>
      <c r="V16" s="283">
        <f t="shared" si="19"/>
        <v>38</v>
      </c>
      <c r="W16" s="283">
        <f t="shared" si="20"/>
        <v>18</v>
      </c>
      <c r="X16" s="283">
        <f t="shared" si="21"/>
        <v>56</v>
      </c>
      <c r="Y16" s="322">
        <f t="shared" si="22"/>
        <v>2950992</v>
      </c>
      <c r="Z16" s="325">
        <v>23</v>
      </c>
      <c r="AA16" s="328">
        <v>13</v>
      </c>
      <c r="AB16" s="267">
        <f t="shared" si="23"/>
        <v>36</v>
      </c>
      <c r="AC16" s="328">
        <v>822500</v>
      </c>
      <c r="AD16" s="328">
        <v>29</v>
      </c>
      <c r="AE16" s="328">
        <v>2</v>
      </c>
      <c r="AF16" s="267">
        <f t="shared" si="2"/>
        <v>31</v>
      </c>
      <c r="AG16" s="328">
        <v>3060311</v>
      </c>
      <c r="AH16" s="328">
        <f t="shared" si="3"/>
        <v>52</v>
      </c>
      <c r="AI16" s="328">
        <f t="shared" si="4"/>
        <v>15</v>
      </c>
      <c r="AJ16" s="267">
        <f t="shared" si="5"/>
        <v>67</v>
      </c>
      <c r="AK16" s="329">
        <f t="shared" si="24"/>
        <v>3882811</v>
      </c>
      <c r="AL16" s="330">
        <v>25</v>
      </c>
      <c r="AM16" s="328">
        <v>9</v>
      </c>
      <c r="AN16" s="267">
        <f t="shared" si="6"/>
        <v>34</v>
      </c>
      <c r="AO16" s="328">
        <v>2059460</v>
      </c>
      <c r="AP16" s="328">
        <v>42</v>
      </c>
      <c r="AQ16" s="328">
        <v>1</v>
      </c>
      <c r="AR16" s="328">
        <f t="shared" si="7"/>
        <v>43</v>
      </c>
      <c r="AS16" s="328">
        <v>2953472</v>
      </c>
      <c r="AT16" s="328">
        <f t="shared" si="8"/>
        <v>67</v>
      </c>
      <c r="AU16" s="328">
        <f t="shared" si="9"/>
        <v>10</v>
      </c>
      <c r="AV16" s="328">
        <f t="shared" si="10"/>
        <v>77</v>
      </c>
      <c r="AW16" s="328">
        <f t="shared" si="25"/>
        <v>5012932</v>
      </c>
      <c r="AX16" s="253"/>
      <c r="AY16" s="328"/>
      <c r="AZ16" s="267"/>
      <c r="BA16" s="328"/>
      <c r="BB16" s="328"/>
      <c r="BC16" s="328"/>
      <c r="BD16" s="267"/>
      <c r="BE16" s="328"/>
      <c r="BF16" s="328"/>
      <c r="BG16" s="328"/>
      <c r="BH16" s="267"/>
      <c r="BI16" s="267"/>
      <c r="BJ16" s="253"/>
      <c r="BK16" s="328"/>
      <c r="BL16" s="267"/>
      <c r="BM16" s="328"/>
      <c r="BN16" s="328"/>
      <c r="BO16" s="328"/>
      <c r="BP16" s="267"/>
      <c r="BQ16" s="328"/>
      <c r="BR16" s="328"/>
      <c r="BS16" s="328"/>
      <c r="BT16" s="267"/>
      <c r="BU16" s="267"/>
      <c r="BV16" s="253"/>
      <c r="BW16" s="328"/>
      <c r="BX16" s="267"/>
      <c r="BY16" s="328"/>
      <c r="BZ16" s="328"/>
      <c r="CA16" s="328"/>
      <c r="CB16" s="267"/>
      <c r="CC16" s="328"/>
      <c r="CD16" s="328"/>
      <c r="CE16" s="328"/>
      <c r="CF16" s="267"/>
      <c r="CG16" s="267"/>
      <c r="CH16" s="253"/>
      <c r="CI16" s="328"/>
      <c r="CJ16" s="267"/>
      <c r="CK16" s="328"/>
      <c r="CL16" s="328"/>
      <c r="CM16" s="328"/>
      <c r="CN16" s="267"/>
      <c r="CO16" s="328"/>
      <c r="CP16" s="328"/>
      <c r="CQ16" s="328"/>
      <c r="CR16" s="267"/>
      <c r="CS16" s="267"/>
      <c r="CT16" s="253"/>
      <c r="CU16" s="328"/>
      <c r="CV16" s="267"/>
      <c r="CW16" s="328"/>
      <c r="CX16" s="328"/>
      <c r="CY16" s="328"/>
      <c r="CZ16" s="267"/>
      <c r="DA16" s="328"/>
      <c r="DB16" s="328"/>
      <c r="DC16" s="328"/>
      <c r="DD16" s="267"/>
      <c r="DE16" s="267"/>
      <c r="DF16" s="328"/>
      <c r="DG16" s="328"/>
      <c r="DH16" s="267"/>
      <c r="DI16" s="328"/>
      <c r="DJ16" s="328"/>
      <c r="DK16" s="328"/>
      <c r="DL16" s="267"/>
      <c r="DM16" s="328"/>
      <c r="DN16" s="328"/>
      <c r="DO16" s="328"/>
      <c r="DP16" s="267"/>
      <c r="DQ16" s="267"/>
      <c r="DR16" s="328"/>
      <c r="DS16" s="328"/>
      <c r="DT16" s="267"/>
      <c r="DU16" s="328"/>
      <c r="DV16" s="328"/>
      <c r="DW16" s="328"/>
      <c r="DX16" s="267"/>
      <c r="DY16" s="328"/>
      <c r="DZ16" s="267"/>
      <c r="EA16" s="267"/>
      <c r="EB16" s="267"/>
      <c r="EC16" s="267"/>
      <c r="ED16" s="267"/>
      <c r="EE16" s="267"/>
      <c r="EF16" s="267"/>
      <c r="EG16" s="267"/>
      <c r="EH16" s="267"/>
      <c r="EI16" s="267"/>
      <c r="EJ16" s="267"/>
      <c r="EK16" s="267"/>
      <c r="EL16" s="267"/>
      <c r="EM16" s="267"/>
      <c r="EN16" s="267"/>
      <c r="EO16" s="267"/>
    </row>
    <row r="17" spans="1:145" x14ac:dyDescent="0.25">
      <c r="A17" s="282" t="s">
        <v>11</v>
      </c>
      <c r="B17" s="253">
        <v>16</v>
      </c>
      <c r="C17" s="253">
        <v>21</v>
      </c>
      <c r="D17" s="283">
        <f t="shared" si="11"/>
        <v>37</v>
      </c>
      <c r="E17" s="253">
        <v>1022100</v>
      </c>
      <c r="F17" s="253">
        <v>30</v>
      </c>
      <c r="G17" s="253">
        <v>0</v>
      </c>
      <c r="H17" s="283">
        <f t="shared" si="12"/>
        <v>30</v>
      </c>
      <c r="I17" s="253">
        <v>1662770</v>
      </c>
      <c r="J17" s="283">
        <f t="shared" si="13"/>
        <v>46</v>
      </c>
      <c r="K17" s="283">
        <f t="shared" si="14"/>
        <v>21</v>
      </c>
      <c r="L17" s="283">
        <f t="shared" si="15"/>
        <v>67</v>
      </c>
      <c r="M17" s="283">
        <f t="shared" si="16"/>
        <v>2684870</v>
      </c>
      <c r="N17" s="253">
        <v>20</v>
      </c>
      <c r="O17" s="253">
        <v>18</v>
      </c>
      <c r="P17" s="283">
        <f t="shared" si="17"/>
        <v>38</v>
      </c>
      <c r="Q17" s="253">
        <v>1074050</v>
      </c>
      <c r="R17" s="253">
        <v>35</v>
      </c>
      <c r="S17" s="253">
        <v>1</v>
      </c>
      <c r="T17" s="283">
        <f t="shared" si="18"/>
        <v>36</v>
      </c>
      <c r="U17" s="253">
        <v>1918530</v>
      </c>
      <c r="V17" s="283">
        <f t="shared" si="19"/>
        <v>55</v>
      </c>
      <c r="W17" s="283">
        <f t="shared" si="20"/>
        <v>19</v>
      </c>
      <c r="X17" s="283">
        <f t="shared" si="21"/>
        <v>74</v>
      </c>
      <c r="Y17" s="322">
        <f t="shared" si="22"/>
        <v>2992580</v>
      </c>
      <c r="Z17" s="325">
        <v>21</v>
      </c>
      <c r="AA17" s="328">
        <v>19</v>
      </c>
      <c r="AB17" s="267">
        <f t="shared" si="23"/>
        <v>40</v>
      </c>
      <c r="AC17" s="328">
        <v>584330</v>
      </c>
      <c r="AD17" s="328">
        <v>44</v>
      </c>
      <c r="AE17" s="328">
        <v>0</v>
      </c>
      <c r="AF17" s="267">
        <f t="shared" si="2"/>
        <v>44</v>
      </c>
      <c r="AG17" s="328">
        <v>2330695</v>
      </c>
      <c r="AH17" s="328">
        <f t="shared" si="3"/>
        <v>65</v>
      </c>
      <c r="AI17" s="328">
        <f t="shared" si="4"/>
        <v>19</v>
      </c>
      <c r="AJ17" s="267">
        <f t="shared" si="5"/>
        <v>84</v>
      </c>
      <c r="AK17" s="329">
        <f t="shared" si="24"/>
        <v>2915025</v>
      </c>
      <c r="AL17" s="330">
        <v>24</v>
      </c>
      <c r="AM17" s="328">
        <v>8</v>
      </c>
      <c r="AN17" s="267">
        <f t="shared" si="6"/>
        <v>32</v>
      </c>
      <c r="AO17" s="328">
        <v>930650</v>
      </c>
      <c r="AP17" s="328">
        <v>37</v>
      </c>
      <c r="AQ17" s="328">
        <v>1</v>
      </c>
      <c r="AR17" s="328">
        <f t="shared" si="7"/>
        <v>38</v>
      </c>
      <c r="AS17" s="328">
        <v>1850980</v>
      </c>
      <c r="AT17" s="328">
        <f t="shared" si="8"/>
        <v>61</v>
      </c>
      <c r="AU17" s="328">
        <f t="shared" si="9"/>
        <v>9</v>
      </c>
      <c r="AV17" s="328">
        <f t="shared" si="10"/>
        <v>70</v>
      </c>
      <c r="AW17" s="328">
        <f t="shared" si="25"/>
        <v>2781630</v>
      </c>
      <c r="AX17" s="253"/>
      <c r="AY17" s="328"/>
      <c r="AZ17" s="267"/>
      <c r="BA17" s="328"/>
      <c r="BB17" s="328"/>
      <c r="BC17" s="328"/>
      <c r="BD17" s="267"/>
      <c r="BE17" s="328"/>
      <c r="BF17" s="328"/>
      <c r="BG17" s="328"/>
      <c r="BH17" s="267"/>
      <c r="BI17" s="267"/>
      <c r="BJ17" s="253"/>
      <c r="BK17" s="328"/>
      <c r="BL17" s="267"/>
      <c r="BM17" s="328"/>
      <c r="BN17" s="328"/>
      <c r="BO17" s="328"/>
      <c r="BP17" s="267"/>
      <c r="BQ17" s="328"/>
      <c r="BR17" s="328"/>
      <c r="BS17" s="328"/>
      <c r="BT17" s="267"/>
      <c r="BU17" s="267"/>
      <c r="BV17" s="253"/>
      <c r="BW17" s="328"/>
      <c r="BX17" s="267"/>
      <c r="BY17" s="328"/>
      <c r="BZ17" s="328"/>
      <c r="CA17" s="328"/>
      <c r="CB17" s="267"/>
      <c r="CC17" s="328"/>
      <c r="CD17" s="328"/>
      <c r="CE17" s="328"/>
      <c r="CF17" s="267"/>
      <c r="CG17" s="267"/>
      <c r="CH17" s="253"/>
      <c r="CI17" s="328"/>
      <c r="CJ17" s="267"/>
      <c r="CK17" s="328"/>
      <c r="CL17" s="328"/>
      <c r="CM17" s="328"/>
      <c r="CN17" s="267"/>
      <c r="CO17" s="328"/>
      <c r="CP17" s="328"/>
      <c r="CQ17" s="328"/>
      <c r="CR17" s="267"/>
      <c r="CS17" s="267"/>
      <c r="CT17" s="253"/>
      <c r="CU17" s="328"/>
      <c r="CV17" s="267"/>
      <c r="CW17" s="328"/>
      <c r="CX17" s="328"/>
      <c r="CY17" s="328"/>
      <c r="CZ17" s="267"/>
      <c r="DA17" s="328"/>
      <c r="DB17" s="328"/>
      <c r="DC17" s="328"/>
      <c r="DD17" s="267"/>
      <c r="DE17" s="267"/>
      <c r="DF17" s="328"/>
      <c r="DG17" s="328"/>
      <c r="DH17" s="267"/>
      <c r="DI17" s="328"/>
      <c r="DJ17" s="328"/>
      <c r="DK17" s="328"/>
      <c r="DL17" s="267"/>
      <c r="DM17" s="328"/>
      <c r="DN17" s="328"/>
      <c r="DO17" s="328"/>
      <c r="DP17" s="267"/>
      <c r="DQ17" s="267"/>
      <c r="DR17" s="328"/>
      <c r="DS17" s="328"/>
      <c r="DT17" s="267"/>
      <c r="DU17" s="328"/>
      <c r="DV17" s="328"/>
      <c r="DW17" s="328"/>
      <c r="DX17" s="267"/>
      <c r="DY17" s="328"/>
      <c r="DZ17" s="267"/>
      <c r="EA17" s="267"/>
      <c r="EB17" s="267"/>
      <c r="EC17" s="267"/>
      <c r="ED17" s="267"/>
      <c r="EE17" s="267"/>
      <c r="EF17" s="267"/>
      <c r="EG17" s="267"/>
      <c r="EH17" s="267"/>
      <c r="EI17" s="267"/>
      <c r="EJ17" s="267"/>
      <c r="EK17" s="267"/>
      <c r="EL17" s="267"/>
      <c r="EM17" s="267"/>
      <c r="EN17" s="267"/>
      <c r="EO17" s="267"/>
    </row>
    <row r="18" spans="1:145" x14ac:dyDescent="0.25">
      <c r="A18" s="282" t="s">
        <v>86</v>
      </c>
      <c r="B18" s="253">
        <v>12</v>
      </c>
      <c r="C18" s="253">
        <v>24</v>
      </c>
      <c r="D18" s="283">
        <f t="shared" si="11"/>
        <v>36</v>
      </c>
      <c r="E18" s="253">
        <v>402600</v>
      </c>
      <c r="F18" s="253">
        <v>45</v>
      </c>
      <c r="G18" s="253">
        <v>1</v>
      </c>
      <c r="H18" s="283">
        <f t="shared" si="12"/>
        <v>46</v>
      </c>
      <c r="I18" s="253">
        <v>2165845</v>
      </c>
      <c r="J18" s="283">
        <f t="shared" si="13"/>
        <v>57</v>
      </c>
      <c r="K18" s="283">
        <f t="shared" si="14"/>
        <v>25</v>
      </c>
      <c r="L18" s="283">
        <f t="shared" si="15"/>
        <v>82</v>
      </c>
      <c r="M18" s="283">
        <f t="shared" si="16"/>
        <v>2568445</v>
      </c>
      <c r="N18" s="253">
        <v>23</v>
      </c>
      <c r="O18" s="253">
        <v>26</v>
      </c>
      <c r="P18" s="283">
        <f t="shared" si="17"/>
        <v>49</v>
      </c>
      <c r="Q18" s="253">
        <v>613650</v>
      </c>
      <c r="R18" s="253">
        <v>31</v>
      </c>
      <c r="S18" s="253">
        <v>1</v>
      </c>
      <c r="T18" s="283">
        <f t="shared" si="18"/>
        <v>32</v>
      </c>
      <c r="U18" s="253">
        <v>1751340</v>
      </c>
      <c r="V18" s="283">
        <f t="shared" si="19"/>
        <v>54</v>
      </c>
      <c r="W18" s="283">
        <f t="shared" si="20"/>
        <v>27</v>
      </c>
      <c r="X18" s="283">
        <f t="shared" si="21"/>
        <v>81</v>
      </c>
      <c r="Y18" s="322">
        <f t="shared" si="22"/>
        <v>2364990</v>
      </c>
      <c r="Z18" s="325">
        <v>33</v>
      </c>
      <c r="AA18" s="328">
        <v>28</v>
      </c>
      <c r="AB18" s="267">
        <f t="shared" si="23"/>
        <v>61</v>
      </c>
      <c r="AC18" s="328">
        <v>1005100</v>
      </c>
      <c r="AD18" s="328">
        <v>34</v>
      </c>
      <c r="AE18" s="328">
        <v>2</v>
      </c>
      <c r="AF18" s="267">
        <f t="shared" si="2"/>
        <v>36</v>
      </c>
      <c r="AG18" s="328">
        <v>1677750</v>
      </c>
      <c r="AH18" s="328">
        <f t="shared" si="3"/>
        <v>67</v>
      </c>
      <c r="AI18" s="328">
        <f t="shared" si="4"/>
        <v>30</v>
      </c>
      <c r="AJ18" s="267">
        <f t="shared" si="5"/>
        <v>97</v>
      </c>
      <c r="AK18" s="329">
        <f t="shared" si="24"/>
        <v>2682850</v>
      </c>
      <c r="AL18" s="330">
        <v>31</v>
      </c>
      <c r="AM18" s="328">
        <v>27</v>
      </c>
      <c r="AN18" s="267">
        <f t="shared" si="6"/>
        <v>58</v>
      </c>
      <c r="AO18" s="328">
        <v>1451930</v>
      </c>
      <c r="AP18" s="328">
        <v>40</v>
      </c>
      <c r="AQ18" s="328">
        <v>0</v>
      </c>
      <c r="AR18" s="328">
        <f t="shared" si="7"/>
        <v>40</v>
      </c>
      <c r="AS18" s="328">
        <v>1979670</v>
      </c>
      <c r="AT18" s="328">
        <f t="shared" si="8"/>
        <v>71</v>
      </c>
      <c r="AU18" s="328">
        <f t="shared" si="9"/>
        <v>27</v>
      </c>
      <c r="AV18" s="328">
        <f t="shared" si="10"/>
        <v>98</v>
      </c>
      <c r="AW18" s="328">
        <f t="shared" si="25"/>
        <v>3431600</v>
      </c>
      <c r="AX18" s="253"/>
      <c r="AY18" s="328"/>
      <c r="AZ18" s="267"/>
      <c r="BA18" s="328"/>
      <c r="BB18" s="328"/>
      <c r="BC18" s="328"/>
      <c r="BD18" s="267"/>
      <c r="BE18" s="328"/>
      <c r="BF18" s="328"/>
      <c r="BG18" s="328"/>
      <c r="BH18" s="267"/>
      <c r="BI18" s="267"/>
      <c r="BJ18" s="253"/>
      <c r="BK18" s="328"/>
      <c r="BL18" s="267"/>
      <c r="BM18" s="328"/>
      <c r="BN18" s="328"/>
      <c r="BO18" s="328"/>
      <c r="BP18" s="267"/>
      <c r="BQ18" s="328"/>
      <c r="BR18" s="328"/>
      <c r="BS18" s="328"/>
      <c r="BT18" s="267"/>
      <c r="BU18" s="267"/>
      <c r="BV18" s="253"/>
      <c r="BW18" s="328"/>
      <c r="BX18" s="267"/>
      <c r="BY18" s="328"/>
      <c r="BZ18" s="328"/>
      <c r="CA18" s="328"/>
      <c r="CB18" s="267"/>
      <c r="CC18" s="328"/>
      <c r="CD18" s="328"/>
      <c r="CE18" s="328"/>
      <c r="CF18" s="267"/>
      <c r="CG18" s="267"/>
      <c r="CH18" s="253"/>
      <c r="CI18" s="328"/>
      <c r="CJ18" s="267"/>
      <c r="CK18" s="328"/>
      <c r="CL18" s="328"/>
      <c r="CM18" s="328"/>
      <c r="CN18" s="267"/>
      <c r="CO18" s="328"/>
      <c r="CP18" s="328"/>
      <c r="CQ18" s="328"/>
      <c r="CR18" s="267"/>
      <c r="CS18" s="267"/>
      <c r="CT18" s="253"/>
      <c r="CU18" s="328"/>
      <c r="CV18" s="267"/>
      <c r="CW18" s="328"/>
      <c r="CX18" s="328"/>
      <c r="CY18" s="328"/>
      <c r="CZ18" s="267"/>
      <c r="DA18" s="328"/>
      <c r="DB18" s="328"/>
      <c r="DC18" s="328"/>
      <c r="DD18" s="267"/>
      <c r="DE18" s="267"/>
      <c r="DF18" s="328"/>
      <c r="DG18" s="328"/>
      <c r="DH18" s="267"/>
      <c r="DI18" s="328"/>
      <c r="DJ18" s="328"/>
      <c r="DK18" s="328"/>
      <c r="DL18" s="267"/>
      <c r="DM18" s="328"/>
      <c r="DN18" s="328"/>
      <c r="DO18" s="328"/>
      <c r="DP18" s="267"/>
      <c r="DQ18" s="267"/>
      <c r="DR18" s="328"/>
      <c r="DS18" s="328"/>
      <c r="DT18" s="267"/>
      <c r="DU18" s="328"/>
      <c r="DV18" s="328"/>
      <c r="DW18" s="328"/>
      <c r="DX18" s="267"/>
      <c r="DY18" s="328"/>
      <c r="DZ18" s="267"/>
      <c r="EA18" s="267"/>
      <c r="EB18" s="267"/>
      <c r="EC18" s="267"/>
      <c r="ED18" s="267"/>
      <c r="EE18" s="267"/>
      <c r="EF18" s="267"/>
      <c r="EG18" s="267"/>
      <c r="EH18" s="267"/>
      <c r="EI18" s="267"/>
      <c r="EJ18" s="267"/>
      <c r="EK18" s="267"/>
      <c r="EL18" s="267"/>
      <c r="EM18" s="267"/>
      <c r="EN18" s="267"/>
      <c r="EO18" s="267"/>
    </row>
    <row r="19" spans="1:145" x14ac:dyDescent="0.25">
      <c r="A19" s="286" t="s">
        <v>5</v>
      </c>
      <c r="B19" s="253">
        <v>30</v>
      </c>
      <c r="C19" s="253">
        <v>12</v>
      </c>
      <c r="D19" s="283">
        <f t="shared" si="11"/>
        <v>42</v>
      </c>
      <c r="E19" s="253">
        <v>1545851</v>
      </c>
      <c r="F19" s="253">
        <v>47</v>
      </c>
      <c r="G19" s="253">
        <v>0</v>
      </c>
      <c r="H19" s="283">
        <f t="shared" si="12"/>
        <v>47</v>
      </c>
      <c r="I19" s="253">
        <v>3234731</v>
      </c>
      <c r="J19" s="283">
        <f t="shared" si="13"/>
        <v>77</v>
      </c>
      <c r="K19" s="283">
        <f t="shared" si="14"/>
        <v>12</v>
      </c>
      <c r="L19" s="283">
        <f t="shared" si="15"/>
        <v>89</v>
      </c>
      <c r="M19" s="283">
        <f t="shared" si="16"/>
        <v>4780582</v>
      </c>
      <c r="N19" s="253">
        <v>33</v>
      </c>
      <c r="O19" s="253">
        <v>14</v>
      </c>
      <c r="P19" s="283">
        <f t="shared" si="17"/>
        <v>47</v>
      </c>
      <c r="Q19" s="253">
        <v>1423701</v>
      </c>
      <c r="R19" s="253">
        <v>51</v>
      </c>
      <c r="S19" s="253">
        <v>1</v>
      </c>
      <c r="T19" s="283">
        <f t="shared" si="18"/>
        <v>52</v>
      </c>
      <c r="U19" s="253">
        <v>3238465</v>
      </c>
      <c r="V19" s="283">
        <f t="shared" si="19"/>
        <v>84</v>
      </c>
      <c r="W19" s="283">
        <f t="shared" si="20"/>
        <v>15</v>
      </c>
      <c r="X19" s="283">
        <f t="shared" si="21"/>
        <v>99</v>
      </c>
      <c r="Y19" s="322">
        <f t="shared" si="22"/>
        <v>4662166</v>
      </c>
      <c r="Z19" s="325">
        <v>22</v>
      </c>
      <c r="AA19" s="328">
        <v>11</v>
      </c>
      <c r="AB19" s="267">
        <f t="shared" si="23"/>
        <v>33</v>
      </c>
      <c r="AC19" s="328">
        <v>1188100</v>
      </c>
      <c r="AD19" s="328">
        <v>50</v>
      </c>
      <c r="AE19" s="328">
        <v>0</v>
      </c>
      <c r="AF19" s="267">
        <f t="shared" si="2"/>
        <v>50</v>
      </c>
      <c r="AG19" s="328">
        <v>2415981</v>
      </c>
      <c r="AH19" s="328">
        <f t="shared" si="3"/>
        <v>72</v>
      </c>
      <c r="AI19" s="328">
        <f t="shared" si="4"/>
        <v>11</v>
      </c>
      <c r="AJ19" s="267">
        <f t="shared" si="5"/>
        <v>83</v>
      </c>
      <c r="AK19" s="329">
        <f t="shared" si="24"/>
        <v>3604081</v>
      </c>
      <c r="AL19" s="330">
        <v>14</v>
      </c>
      <c r="AM19" s="328">
        <v>10</v>
      </c>
      <c r="AN19" s="267">
        <f t="shared" si="6"/>
        <v>24</v>
      </c>
      <c r="AO19" s="328">
        <v>998752</v>
      </c>
      <c r="AP19" s="328">
        <v>57</v>
      </c>
      <c r="AQ19" s="328">
        <v>1</v>
      </c>
      <c r="AR19" s="328">
        <f t="shared" si="7"/>
        <v>58</v>
      </c>
      <c r="AS19" s="328">
        <v>2779581</v>
      </c>
      <c r="AT19" s="328">
        <f t="shared" si="8"/>
        <v>71</v>
      </c>
      <c r="AU19" s="328">
        <f t="shared" si="9"/>
        <v>11</v>
      </c>
      <c r="AV19" s="328">
        <f t="shared" si="10"/>
        <v>82</v>
      </c>
      <c r="AW19" s="328">
        <f t="shared" si="25"/>
        <v>3778333</v>
      </c>
      <c r="AX19" s="253"/>
      <c r="AY19" s="328"/>
      <c r="AZ19" s="267"/>
      <c r="BA19" s="328"/>
      <c r="BB19" s="328"/>
      <c r="BC19" s="328"/>
      <c r="BD19" s="267"/>
      <c r="BE19" s="328"/>
      <c r="BF19" s="328"/>
      <c r="BG19" s="328"/>
      <c r="BH19" s="267"/>
      <c r="BI19" s="267"/>
      <c r="BJ19" s="253"/>
      <c r="BK19" s="328"/>
      <c r="BL19" s="267"/>
      <c r="BM19" s="328"/>
      <c r="BN19" s="328"/>
      <c r="BO19" s="328"/>
      <c r="BP19" s="267"/>
      <c r="BQ19" s="328"/>
      <c r="BR19" s="328"/>
      <c r="BS19" s="328"/>
      <c r="BT19" s="267"/>
      <c r="BU19" s="267"/>
      <c r="BV19" s="253"/>
      <c r="BW19" s="328"/>
      <c r="BX19" s="267"/>
      <c r="BY19" s="328"/>
      <c r="BZ19" s="328"/>
      <c r="CA19" s="328"/>
      <c r="CB19" s="267"/>
      <c r="CC19" s="328"/>
      <c r="CD19" s="328"/>
      <c r="CE19" s="328"/>
      <c r="CF19" s="267"/>
      <c r="CG19" s="267"/>
      <c r="CH19" s="253"/>
      <c r="CI19" s="328"/>
      <c r="CJ19" s="267"/>
      <c r="CK19" s="328"/>
      <c r="CL19" s="328"/>
      <c r="CM19" s="328"/>
      <c r="CN19" s="267"/>
      <c r="CO19" s="328"/>
      <c r="CP19" s="328"/>
      <c r="CQ19" s="328"/>
      <c r="CR19" s="267"/>
      <c r="CS19" s="267"/>
      <c r="CT19" s="253"/>
      <c r="CU19" s="328"/>
      <c r="CV19" s="267"/>
      <c r="CW19" s="328"/>
      <c r="CX19" s="328"/>
      <c r="CY19" s="328"/>
      <c r="CZ19" s="267"/>
      <c r="DA19" s="328"/>
      <c r="DB19" s="328"/>
      <c r="DC19" s="328"/>
      <c r="DD19" s="267"/>
      <c r="DE19" s="267"/>
      <c r="DF19" s="328"/>
      <c r="DG19" s="328"/>
      <c r="DH19" s="267"/>
      <c r="DI19" s="328"/>
      <c r="DJ19" s="328"/>
      <c r="DK19" s="328"/>
      <c r="DL19" s="267"/>
      <c r="DM19" s="328"/>
      <c r="DN19" s="328"/>
      <c r="DO19" s="328"/>
      <c r="DP19" s="267"/>
      <c r="DQ19" s="267"/>
      <c r="DR19" s="328"/>
      <c r="DS19" s="328"/>
      <c r="DT19" s="267"/>
      <c r="DU19" s="328"/>
      <c r="DV19" s="328"/>
      <c r="DW19" s="328"/>
      <c r="DX19" s="267"/>
      <c r="DY19" s="328"/>
      <c r="DZ19" s="267"/>
      <c r="EA19" s="267"/>
      <c r="EB19" s="267"/>
      <c r="EC19" s="267"/>
      <c r="ED19" s="267"/>
      <c r="EE19" s="267"/>
      <c r="EF19" s="267"/>
      <c r="EG19" s="267"/>
      <c r="EH19" s="267"/>
      <c r="EI19" s="267"/>
      <c r="EJ19" s="267"/>
      <c r="EK19" s="267"/>
      <c r="EL19" s="267"/>
      <c r="EM19" s="267"/>
      <c r="EN19" s="267"/>
      <c r="EO19" s="267"/>
    </row>
    <row r="20" spans="1:145" x14ac:dyDescent="0.25">
      <c r="A20" s="286" t="s">
        <v>23</v>
      </c>
      <c r="B20" s="253">
        <v>25</v>
      </c>
      <c r="C20" s="253">
        <v>22</v>
      </c>
      <c r="D20" s="283">
        <f t="shared" si="11"/>
        <v>47</v>
      </c>
      <c r="E20" s="253">
        <v>934650</v>
      </c>
      <c r="F20" s="253">
        <v>50</v>
      </c>
      <c r="G20" s="253">
        <v>3</v>
      </c>
      <c r="H20" s="283">
        <f t="shared" si="12"/>
        <v>53</v>
      </c>
      <c r="I20" s="253">
        <v>3635795</v>
      </c>
      <c r="J20" s="283">
        <f t="shared" si="13"/>
        <v>75</v>
      </c>
      <c r="K20" s="283">
        <f t="shared" si="14"/>
        <v>25</v>
      </c>
      <c r="L20" s="283">
        <f t="shared" si="15"/>
        <v>100</v>
      </c>
      <c r="M20" s="283">
        <f t="shared" si="16"/>
        <v>4570445</v>
      </c>
      <c r="N20" s="253">
        <v>24</v>
      </c>
      <c r="O20" s="253">
        <v>21</v>
      </c>
      <c r="P20" s="283">
        <f t="shared" si="17"/>
        <v>45</v>
      </c>
      <c r="Q20" s="253">
        <v>1482900</v>
      </c>
      <c r="R20" s="253">
        <v>52</v>
      </c>
      <c r="S20" s="253">
        <v>0</v>
      </c>
      <c r="T20" s="283">
        <f t="shared" si="18"/>
        <v>52</v>
      </c>
      <c r="U20" s="253">
        <v>3825336</v>
      </c>
      <c r="V20" s="283">
        <f t="shared" si="19"/>
        <v>76</v>
      </c>
      <c r="W20" s="283">
        <f t="shared" si="20"/>
        <v>21</v>
      </c>
      <c r="X20" s="283">
        <f t="shared" si="21"/>
        <v>97</v>
      </c>
      <c r="Y20" s="322">
        <f t="shared" si="22"/>
        <v>5308236</v>
      </c>
      <c r="Z20" s="325">
        <v>32</v>
      </c>
      <c r="AA20" s="328">
        <v>23</v>
      </c>
      <c r="AB20" s="267">
        <f t="shared" si="23"/>
        <v>55</v>
      </c>
      <c r="AC20" s="328">
        <v>952550</v>
      </c>
      <c r="AD20" s="328">
        <v>51</v>
      </c>
      <c r="AE20" s="328">
        <v>0</v>
      </c>
      <c r="AF20" s="267">
        <f t="shared" si="2"/>
        <v>51</v>
      </c>
      <c r="AG20" s="328">
        <v>3475071</v>
      </c>
      <c r="AH20" s="328">
        <f t="shared" si="3"/>
        <v>83</v>
      </c>
      <c r="AI20" s="328">
        <f t="shared" si="4"/>
        <v>23</v>
      </c>
      <c r="AJ20" s="267">
        <f t="shared" si="5"/>
        <v>106</v>
      </c>
      <c r="AK20" s="329">
        <f t="shared" si="24"/>
        <v>4427621</v>
      </c>
      <c r="AL20" s="330">
        <v>30</v>
      </c>
      <c r="AM20" s="328">
        <v>16</v>
      </c>
      <c r="AN20" s="267">
        <f t="shared" si="6"/>
        <v>46</v>
      </c>
      <c r="AO20" s="328">
        <v>1511500</v>
      </c>
      <c r="AP20" s="328">
        <v>44</v>
      </c>
      <c r="AQ20" s="328">
        <v>0</v>
      </c>
      <c r="AR20" s="328">
        <f t="shared" si="7"/>
        <v>44</v>
      </c>
      <c r="AS20" s="328">
        <v>2375370</v>
      </c>
      <c r="AT20" s="328">
        <f t="shared" si="8"/>
        <v>74</v>
      </c>
      <c r="AU20" s="328">
        <f t="shared" si="9"/>
        <v>16</v>
      </c>
      <c r="AV20" s="328">
        <f t="shared" si="10"/>
        <v>90</v>
      </c>
      <c r="AW20" s="328">
        <f t="shared" si="25"/>
        <v>3886870</v>
      </c>
      <c r="AX20" s="253"/>
      <c r="AY20" s="328"/>
      <c r="AZ20" s="267"/>
      <c r="BA20" s="328"/>
      <c r="BB20" s="328"/>
      <c r="BC20" s="328"/>
      <c r="BD20" s="267"/>
      <c r="BE20" s="328"/>
      <c r="BF20" s="328"/>
      <c r="BG20" s="328"/>
      <c r="BH20" s="267"/>
      <c r="BI20" s="267"/>
      <c r="BJ20" s="253"/>
      <c r="BK20" s="328"/>
      <c r="BL20" s="267"/>
      <c r="BM20" s="328"/>
      <c r="BN20" s="328"/>
      <c r="BO20" s="328"/>
      <c r="BP20" s="267"/>
      <c r="BQ20" s="328"/>
      <c r="BR20" s="328"/>
      <c r="BS20" s="328"/>
      <c r="BT20" s="267"/>
      <c r="BU20" s="267"/>
      <c r="BV20" s="253"/>
      <c r="BW20" s="328"/>
      <c r="BX20" s="267"/>
      <c r="BY20" s="328"/>
      <c r="BZ20" s="328"/>
      <c r="CA20" s="328"/>
      <c r="CB20" s="267"/>
      <c r="CC20" s="328"/>
      <c r="CD20" s="328"/>
      <c r="CE20" s="328"/>
      <c r="CF20" s="267"/>
      <c r="CG20" s="267"/>
      <c r="CH20" s="253"/>
      <c r="CI20" s="328"/>
      <c r="CJ20" s="267"/>
      <c r="CK20" s="328"/>
      <c r="CL20" s="328"/>
      <c r="CM20" s="328"/>
      <c r="CN20" s="267"/>
      <c r="CO20" s="328"/>
      <c r="CP20" s="328"/>
      <c r="CQ20" s="328"/>
      <c r="CR20" s="267"/>
      <c r="CS20" s="267"/>
      <c r="CT20" s="253"/>
      <c r="CU20" s="328"/>
      <c r="CV20" s="267"/>
      <c r="CW20" s="328"/>
      <c r="CX20" s="328"/>
      <c r="CY20" s="328"/>
      <c r="CZ20" s="267"/>
      <c r="DA20" s="328"/>
      <c r="DB20" s="328"/>
      <c r="DC20" s="328"/>
      <c r="DD20" s="267"/>
      <c r="DE20" s="267"/>
      <c r="DF20" s="328"/>
      <c r="DG20" s="328"/>
      <c r="DH20" s="267"/>
      <c r="DI20" s="328"/>
      <c r="DJ20" s="328"/>
      <c r="DK20" s="328"/>
      <c r="DL20" s="267"/>
      <c r="DM20" s="328"/>
      <c r="DN20" s="328"/>
      <c r="DO20" s="328"/>
      <c r="DP20" s="267"/>
      <c r="DQ20" s="267"/>
      <c r="DR20" s="328"/>
      <c r="DS20" s="328"/>
      <c r="DT20" s="267"/>
      <c r="DU20" s="328"/>
      <c r="DV20" s="328"/>
      <c r="DW20" s="328"/>
      <c r="DX20" s="267"/>
      <c r="DY20" s="328"/>
      <c r="DZ20" s="267"/>
      <c r="EA20" s="267"/>
      <c r="EB20" s="267"/>
      <c r="EC20" s="267"/>
      <c r="ED20" s="267"/>
      <c r="EE20" s="267"/>
      <c r="EF20" s="267"/>
      <c r="EG20" s="267"/>
      <c r="EH20" s="267"/>
      <c r="EI20" s="267"/>
      <c r="EJ20" s="267"/>
      <c r="EK20" s="267"/>
      <c r="EL20" s="267"/>
      <c r="EM20" s="267"/>
      <c r="EN20" s="267"/>
      <c r="EO20" s="267"/>
    </row>
    <row r="21" spans="1:145" x14ac:dyDescent="0.25">
      <c r="A21" s="287" t="s">
        <v>87</v>
      </c>
      <c r="B21" s="253">
        <v>10</v>
      </c>
      <c r="C21" s="253">
        <v>12</v>
      </c>
      <c r="D21" s="283">
        <f t="shared" si="11"/>
        <v>22</v>
      </c>
      <c r="E21" s="253">
        <v>650400</v>
      </c>
      <c r="F21" s="253">
        <v>11</v>
      </c>
      <c r="G21" s="253">
        <v>0</v>
      </c>
      <c r="H21" s="283">
        <f t="shared" si="12"/>
        <v>11</v>
      </c>
      <c r="I21" s="253">
        <v>1872970</v>
      </c>
      <c r="J21" s="283">
        <f t="shared" si="13"/>
        <v>21</v>
      </c>
      <c r="K21" s="283">
        <f t="shared" si="14"/>
        <v>12</v>
      </c>
      <c r="L21" s="283">
        <f t="shared" si="15"/>
        <v>33</v>
      </c>
      <c r="M21" s="283">
        <f t="shared" si="16"/>
        <v>2523370</v>
      </c>
      <c r="N21" s="253">
        <v>9</v>
      </c>
      <c r="O21" s="253">
        <v>8</v>
      </c>
      <c r="P21" s="283">
        <f t="shared" si="17"/>
        <v>17</v>
      </c>
      <c r="Q21" s="253">
        <v>395600</v>
      </c>
      <c r="R21" s="253">
        <v>16</v>
      </c>
      <c r="S21" s="253">
        <v>0</v>
      </c>
      <c r="T21" s="283">
        <f t="shared" si="18"/>
        <v>16</v>
      </c>
      <c r="U21" s="253">
        <v>1651795</v>
      </c>
      <c r="V21" s="283">
        <f t="shared" si="19"/>
        <v>25</v>
      </c>
      <c r="W21" s="283">
        <f t="shared" si="20"/>
        <v>8</v>
      </c>
      <c r="X21" s="283">
        <f t="shared" si="21"/>
        <v>33</v>
      </c>
      <c r="Y21" s="322">
        <f t="shared" si="22"/>
        <v>2047395</v>
      </c>
      <c r="Z21" s="325">
        <v>5</v>
      </c>
      <c r="AA21" s="328">
        <v>6</v>
      </c>
      <c r="AB21" s="267">
        <f t="shared" si="23"/>
        <v>11</v>
      </c>
      <c r="AC21" s="328">
        <v>434050</v>
      </c>
      <c r="AD21" s="328">
        <v>17</v>
      </c>
      <c r="AE21" s="328">
        <v>0</v>
      </c>
      <c r="AF21" s="267">
        <f t="shared" si="2"/>
        <v>17</v>
      </c>
      <c r="AG21" s="328">
        <v>1453060</v>
      </c>
      <c r="AH21" s="328">
        <f t="shared" si="3"/>
        <v>22</v>
      </c>
      <c r="AI21" s="328">
        <f t="shared" si="4"/>
        <v>6</v>
      </c>
      <c r="AJ21" s="267">
        <f t="shared" si="5"/>
        <v>28</v>
      </c>
      <c r="AK21" s="329">
        <f t="shared" si="24"/>
        <v>1887110</v>
      </c>
      <c r="AL21" s="330">
        <v>6</v>
      </c>
      <c r="AM21" s="328">
        <v>7</v>
      </c>
      <c r="AN21" s="267">
        <f t="shared" si="6"/>
        <v>13</v>
      </c>
      <c r="AO21" s="328">
        <v>372450</v>
      </c>
      <c r="AP21" s="328">
        <v>11</v>
      </c>
      <c r="AQ21" s="328">
        <v>2</v>
      </c>
      <c r="AR21" s="328">
        <f t="shared" si="7"/>
        <v>13</v>
      </c>
      <c r="AS21" s="328">
        <v>591150</v>
      </c>
      <c r="AT21" s="328">
        <f t="shared" si="8"/>
        <v>17</v>
      </c>
      <c r="AU21" s="328">
        <f t="shared" si="9"/>
        <v>9</v>
      </c>
      <c r="AV21" s="328">
        <f t="shared" si="10"/>
        <v>26</v>
      </c>
      <c r="AW21" s="328">
        <f t="shared" si="25"/>
        <v>963600</v>
      </c>
      <c r="AX21" s="253"/>
      <c r="AY21" s="328"/>
      <c r="AZ21" s="267"/>
      <c r="BA21" s="328"/>
      <c r="BB21" s="328"/>
      <c r="BC21" s="328"/>
      <c r="BD21" s="267"/>
      <c r="BE21" s="328"/>
      <c r="BF21" s="328"/>
      <c r="BG21" s="328"/>
      <c r="BH21" s="267"/>
      <c r="BI21" s="267"/>
      <c r="BJ21" s="253"/>
      <c r="BK21" s="328"/>
      <c r="BL21" s="267"/>
      <c r="BM21" s="328"/>
      <c r="BN21" s="328"/>
      <c r="BO21" s="328"/>
      <c r="BP21" s="267"/>
      <c r="BQ21" s="328"/>
      <c r="BR21" s="328"/>
      <c r="BS21" s="328"/>
      <c r="BT21" s="267"/>
      <c r="BU21" s="267"/>
      <c r="BV21" s="253"/>
      <c r="BW21" s="328"/>
      <c r="BX21" s="267"/>
      <c r="BY21" s="328"/>
      <c r="BZ21" s="328"/>
      <c r="CA21" s="328"/>
      <c r="CB21" s="267"/>
      <c r="CC21" s="328"/>
      <c r="CD21" s="328"/>
      <c r="CE21" s="328"/>
      <c r="CF21" s="267"/>
      <c r="CG21" s="267"/>
      <c r="CH21" s="253"/>
      <c r="CI21" s="328"/>
      <c r="CJ21" s="267"/>
      <c r="CK21" s="328"/>
      <c r="CL21" s="328"/>
      <c r="CM21" s="328"/>
      <c r="CN21" s="267"/>
      <c r="CO21" s="328"/>
      <c r="CP21" s="328"/>
      <c r="CQ21" s="328"/>
      <c r="CR21" s="267"/>
      <c r="CS21" s="267"/>
      <c r="CT21" s="253"/>
      <c r="CU21" s="328"/>
      <c r="CV21" s="267"/>
      <c r="CW21" s="328"/>
      <c r="CX21" s="328"/>
      <c r="CY21" s="328"/>
      <c r="CZ21" s="267"/>
      <c r="DA21" s="328"/>
      <c r="DB21" s="328"/>
      <c r="DC21" s="328"/>
      <c r="DD21" s="267"/>
      <c r="DE21" s="267"/>
      <c r="DF21" s="328"/>
      <c r="DG21" s="328"/>
      <c r="DH21" s="267"/>
      <c r="DI21" s="328"/>
      <c r="DJ21" s="328"/>
      <c r="DK21" s="328"/>
      <c r="DL21" s="267"/>
      <c r="DM21" s="328"/>
      <c r="DN21" s="328"/>
      <c r="DO21" s="328"/>
      <c r="DP21" s="267"/>
      <c r="DQ21" s="267"/>
      <c r="DR21" s="328"/>
      <c r="DS21" s="328"/>
      <c r="DT21" s="267"/>
      <c r="DU21" s="328"/>
      <c r="DV21" s="328"/>
      <c r="DW21" s="328"/>
      <c r="DX21" s="267"/>
      <c r="DY21" s="328"/>
      <c r="DZ21" s="267"/>
      <c r="EA21" s="267"/>
      <c r="EB21" s="267"/>
      <c r="EC21" s="267"/>
      <c r="ED21" s="267"/>
      <c r="EE21" s="267"/>
      <c r="EF21" s="267"/>
      <c r="EG21" s="267"/>
      <c r="EH21" s="267"/>
      <c r="EI21" s="267"/>
      <c r="EJ21" s="267"/>
      <c r="EK21" s="267"/>
      <c r="EL21" s="267"/>
      <c r="EM21" s="267"/>
      <c r="EN21" s="267"/>
      <c r="EO21" s="267"/>
    </row>
    <row r="22" spans="1:145" x14ac:dyDescent="0.25">
      <c r="A22" s="287" t="s">
        <v>129</v>
      </c>
      <c r="B22" s="253">
        <v>13</v>
      </c>
      <c r="C22" s="253">
        <v>17</v>
      </c>
      <c r="D22" s="283">
        <f t="shared" si="11"/>
        <v>30</v>
      </c>
      <c r="E22" s="253">
        <v>1028930</v>
      </c>
      <c r="F22" s="253">
        <v>38</v>
      </c>
      <c r="G22" s="253">
        <v>1</v>
      </c>
      <c r="H22" s="283">
        <f t="shared" si="12"/>
        <v>39</v>
      </c>
      <c r="I22" s="253">
        <v>4892821</v>
      </c>
      <c r="J22" s="283">
        <f t="shared" si="13"/>
        <v>51</v>
      </c>
      <c r="K22" s="283">
        <f t="shared" si="14"/>
        <v>18</v>
      </c>
      <c r="L22" s="283">
        <f t="shared" si="15"/>
        <v>69</v>
      </c>
      <c r="M22" s="283">
        <f t="shared" si="16"/>
        <v>5921751</v>
      </c>
      <c r="N22" s="253">
        <v>6</v>
      </c>
      <c r="O22" s="253">
        <v>16</v>
      </c>
      <c r="P22" s="283">
        <f t="shared" si="17"/>
        <v>22</v>
      </c>
      <c r="Q22" s="253">
        <v>179800</v>
      </c>
      <c r="R22" s="253">
        <v>26</v>
      </c>
      <c r="S22" s="253">
        <v>1</v>
      </c>
      <c r="T22" s="283">
        <f t="shared" si="18"/>
        <v>27</v>
      </c>
      <c r="U22" s="253">
        <v>1905179</v>
      </c>
      <c r="V22" s="283">
        <f t="shared" si="19"/>
        <v>32</v>
      </c>
      <c r="W22" s="283">
        <f t="shared" si="20"/>
        <v>17</v>
      </c>
      <c r="X22" s="283">
        <f t="shared" si="21"/>
        <v>49</v>
      </c>
      <c r="Y22" s="322">
        <f t="shared" si="22"/>
        <v>2084979</v>
      </c>
      <c r="Z22" s="325">
        <v>14</v>
      </c>
      <c r="AA22" s="328">
        <v>10</v>
      </c>
      <c r="AB22" s="267">
        <f t="shared" si="23"/>
        <v>24</v>
      </c>
      <c r="AC22" s="328">
        <v>766880</v>
      </c>
      <c r="AD22" s="328">
        <v>30</v>
      </c>
      <c r="AE22" s="328">
        <v>0</v>
      </c>
      <c r="AF22" s="267">
        <f t="shared" si="2"/>
        <v>30</v>
      </c>
      <c r="AG22" s="328">
        <v>4719131</v>
      </c>
      <c r="AH22" s="328">
        <f t="shared" si="3"/>
        <v>44</v>
      </c>
      <c r="AI22" s="328">
        <f t="shared" si="4"/>
        <v>10</v>
      </c>
      <c r="AJ22" s="267">
        <f t="shared" si="5"/>
        <v>54</v>
      </c>
      <c r="AK22" s="329">
        <f t="shared" si="24"/>
        <v>5486011</v>
      </c>
      <c r="AL22" s="330">
        <v>12</v>
      </c>
      <c r="AM22" s="328">
        <v>13</v>
      </c>
      <c r="AN22" s="267">
        <f t="shared" si="6"/>
        <v>25</v>
      </c>
      <c r="AO22" s="328">
        <v>481570</v>
      </c>
      <c r="AP22" s="328">
        <v>27</v>
      </c>
      <c r="AQ22" s="328">
        <v>1</v>
      </c>
      <c r="AR22" s="328">
        <f t="shared" si="7"/>
        <v>28</v>
      </c>
      <c r="AS22" s="328">
        <v>2487375</v>
      </c>
      <c r="AT22" s="328">
        <f t="shared" si="8"/>
        <v>39</v>
      </c>
      <c r="AU22" s="328">
        <f t="shared" si="9"/>
        <v>14</v>
      </c>
      <c r="AV22" s="328">
        <f t="shared" si="10"/>
        <v>53</v>
      </c>
      <c r="AW22" s="328">
        <f t="shared" si="25"/>
        <v>2968945</v>
      </c>
      <c r="AX22" s="253"/>
      <c r="AY22" s="328"/>
      <c r="AZ22" s="267"/>
      <c r="BA22" s="328"/>
      <c r="BB22" s="328"/>
      <c r="BC22" s="328"/>
      <c r="BD22" s="267"/>
      <c r="BE22" s="328"/>
      <c r="BF22" s="328"/>
      <c r="BG22" s="328"/>
      <c r="BH22" s="267"/>
      <c r="BI22" s="267"/>
      <c r="BJ22" s="253"/>
      <c r="BK22" s="328"/>
      <c r="BL22" s="267"/>
      <c r="BM22" s="328"/>
      <c r="BN22" s="328"/>
      <c r="BO22" s="328"/>
      <c r="BP22" s="267"/>
      <c r="BQ22" s="328"/>
      <c r="BR22" s="328"/>
      <c r="BS22" s="328"/>
      <c r="BT22" s="267"/>
      <c r="BU22" s="267"/>
      <c r="BV22" s="253"/>
      <c r="BW22" s="328"/>
      <c r="BX22" s="267"/>
      <c r="BY22" s="328"/>
      <c r="BZ22" s="328"/>
      <c r="CA22" s="328"/>
      <c r="CB22" s="267"/>
      <c r="CC22" s="328"/>
      <c r="CD22" s="328"/>
      <c r="CE22" s="328"/>
      <c r="CF22" s="267"/>
      <c r="CG22" s="267"/>
      <c r="CH22" s="253"/>
      <c r="CI22" s="328"/>
      <c r="CJ22" s="267"/>
      <c r="CK22" s="328"/>
      <c r="CL22" s="328"/>
      <c r="CM22" s="328"/>
      <c r="CN22" s="267"/>
      <c r="CO22" s="328"/>
      <c r="CP22" s="328"/>
      <c r="CQ22" s="328"/>
      <c r="CR22" s="267"/>
      <c r="CS22" s="267"/>
      <c r="CT22" s="253"/>
      <c r="CU22" s="328"/>
      <c r="CV22" s="267"/>
      <c r="CW22" s="328"/>
      <c r="CX22" s="328"/>
      <c r="CY22" s="328"/>
      <c r="CZ22" s="267"/>
      <c r="DA22" s="328"/>
      <c r="DB22" s="328"/>
      <c r="DC22" s="328"/>
      <c r="DD22" s="267"/>
      <c r="DE22" s="267"/>
      <c r="DF22" s="328"/>
      <c r="DG22" s="328"/>
      <c r="DH22" s="267"/>
      <c r="DI22" s="328"/>
      <c r="DJ22" s="328"/>
      <c r="DK22" s="328"/>
      <c r="DL22" s="267"/>
      <c r="DM22" s="328"/>
      <c r="DN22" s="328"/>
      <c r="DO22" s="328"/>
      <c r="DP22" s="267"/>
      <c r="DQ22" s="267"/>
      <c r="DR22" s="328"/>
      <c r="DS22" s="328"/>
      <c r="DT22" s="267"/>
      <c r="DU22" s="328"/>
      <c r="DV22" s="328"/>
      <c r="DW22" s="328"/>
      <c r="DX22" s="267"/>
      <c r="DY22" s="328"/>
      <c r="DZ22" s="267"/>
      <c r="EA22" s="267"/>
      <c r="EB22" s="267"/>
      <c r="EC22" s="267"/>
      <c r="ED22" s="267"/>
      <c r="EE22" s="267"/>
      <c r="EF22" s="267"/>
      <c r="EG22" s="267"/>
      <c r="EH22" s="267"/>
      <c r="EI22" s="267"/>
      <c r="EJ22" s="267"/>
      <c r="EK22" s="267"/>
      <c r="EL22" s="267"/>
      <c r="EM22" s="267"/>
      <c r="EN22" s="267"/>
      <c r="EO22" s="267"/>
    </row>
    <row r="23" spans="1:145" x14ac:dyDescent="0.25">
      <c r="A23" s="287" t="s">
        <v>130</v>
      </c>
      <c r="B23" s="253">
        <v>15</v>
      </c>
      <c r="C23" s="253">
        <v>21</v>
      </c>
      <c r="D23" s="283">
        <f t="shared" si="11"/>
        <v>36</v>
      </c>
      <c r="E23" s="253">
        <v>1325180</v>
      </c>
      <c r="F23" s="253">
        <v>39</v>
      </c>
      <c r="G23" s="253">
        <v>3</v>
      </c>
      <c r="H23" s="283">
        <f t="shared" si="12"/>
        <v>42</v>
      </c>
      <c r="I23" s="253">
        <v>3248990</v>
      </c>
      <c r="J23" s="283">
        <f t="shared" si="13"/>
        <v>54</v>
      </c>
      <c r="K23" s="283">
        <f t="shared" si="14"/>
        <v>24</v>
      </c>
      <c r="L23" s="283">
        <f t="shared" si="15"/>
        <v>78</v>
      </c>
      <c r="M23" s="283">
        <f t="shared" si="16"/>
        <v>4574170</v>
      </c>
      <c r="N23" s="253">
        <v>21</v>
      </c>
      <c r="O23" s="253">
        <v>23</v>
      </c>
      <c r="P23" s="283">
        <f t="shared" si="17"/>
        <v>44</v>
      </c>
      <c r="Q23" s="253">
        <v>1145970</v>
      </c>
      <c r="R23" s="253">
        <v>47</v>
      </c>
      <c r="S23" s="253">
        <v>2</v>
      </c>
      <c r="T23" s="283">
        <f t="shared" si="18"/>
        <v>49</v>
      </c>
      <c r="U23" s="253">
        <v>3801365</v>
      </c>
      <c r="V23" s="283">
        <f t="shared" si="19"/>
        <v>68</v>
      </c>
      <c r="W23" s="283">
        <f t="shared" si="20"/>
        <v>25</v>
      </c>
      <c r="X23" s="283">
        <f t="shared" si="21"/>
        <v>93</v>
      </c>
      <c r="Y23" s="322">
        <f t="shared" si="22"/>
        <v>4947335</v>
      </c>
      <c r="Z23" s="325">
        <v>21</v>
      </c>
      <c r="AA23" s="328">
        <v>22</v>
      </c>
      <c r="AB23" s="267">
        <f t="shared" si="23"/>
        <v>43</v>
      </c>
      <c r="AC23" s="328">
        <v>907250</v>
      </c>
      <c r="AD23" s="328">
        <v>42</v>
      </c>
      <c r="AE23" s="328">
        <v>0</v>
      </c>
      <c r="AF23" s="267">
        <f t="shared" si="2"/>
        <v>42</v>
      </c>
      <c r="AG23" s="328">
        <v>4361495</v>
      </c>
      <c r="AH23" s="328">
        <f t="shared" si="3"/>
        <v>63</v>
      </c>
      <c r="AI23" s="328">
        <f t="shared" si="4"/>
        <v>22</v>
      </c>
      <c r="AJ23" s="267">
        <f t="shared" si="5"/>
        <v>85</v>
      </c>
      <c r="AK23" s="329">
        <f t="shared" si="24"/>
        <v>5268745</v>
      </c>
      <c r="AL23" s="330">
        <v>15</v>
      </c>
      <c r="AM23" s="328">
        <v>12</v>
      </c>
      <c r="AN23" s="267">
        <f t="shared" si="6"/>
        <v>27</v>
      </c>
      <c r="AO23" s="328">
        <v>353300</v>
      </c>
      <c r="AP23" s="328">
        <v>39</v>
      </c>
      <c r="AQ23" s="328">
        <v>1</v>
      </c>
      <c r="AR23" s="328">
        <f t="shared" si="7"/>
        <v>40</v>
      </c>
      <c r="AS23" s="328">
        <v>3352140</v>
      </c>
      <c r="AT23" s="328">
        <f t="shared" si="8"/>
        <v>54</v>
      </c>
      <c r="AU23" s="328">
        <f t="shared" si="9"/>
        <v>13</v>
      </c>
      <c r="AV23" s="328">
        <f t="shared" si="10"/>
        <v>67</v>
      </c>
      <c r="AW23" s="328">
        <f t="shared" si="25"/>
        <v>3705440</v>
      </c>
      <c r="AX23" s="253"/>
      <c r="AY23" s="328"/>
      <c r="AZ23" s="267"/>
      <c r="BA23" s="328"/>
      <c r="BB23" s="328"/>
      <c r="BC23" s="328"/>
      <c r="BD23" s="267"/>
      <c r="BE23" s="328"/>
      <c r="BF23" s="328"/>
      <c r="BG23" s="328"/>
      <c r="BH23" s="267"/>
      <c r="BI23" s="267"/>
      <c r="BJ23" s="253"/>
      <c r="BK23" s="328"/>
      <c r="BL23" s="267"/>
      <c r="BM23" s="328"/>
      <c r="BN23" s="328"/>
      <c r="BO23" s="328"/>
      <c r="BP23" s="267"/>
      <c r="BQ23" s="328"/>
      <c r="BR23" s="328"/>
      <c r="BS23" s="328"/>
      <c r="BT23" s="267"/>
      <c r="BU23" s="267"/>
      <c r="BV23" s="253"/>
      <c r="BW23" s="328"/>
      <c r="BX23" s="267"/>
      <c r="BY23" s="328"/>
      <c r="BZ23" s="328"/>
      <c r="CA23" s="328"/>
      <c r="CB23" s="267"/>
      <c r="CC23" s="328"/>
      <c r="CD23" s="328"/>
      <c r="CE23" s="328"/>
      <c r="CF23" s="267"/>
      <c r="CG23" s="267"/>
      <c r="CH23" s="253"/>
      <c r="CI23" s="328"/>
      <c r="CJ23" s="267"/>
      <c r="CK23" s="328"/>
      <c r="CL23" s="328"/>
      <c r="CM23" s="328"/>
      <c r="CN23" s="267"/>
      <c r="CO23" s="328"/>
      <c r="CP23" s="328"/>
      <c r="CQ23" s="328"/>
      <c r="CR23" s="267"/>
      <c r="CS23" s="267"/>
      <c r="CT23" s="253"/>
      <c r="CU23" s="328"/>
      <c r="CV23" s="267"/>
      <c r="CW23" s="328"/>
      <c r="CX23" s="328"/>
      <c r="CY23" s="328"/>
      <c r="CZ23" s="267"/>
      <c r="DA23" s="328"/>
      <c r="DB23" s="328"/>
      <c r="DC23" s="328"/>
      <c r="DD23" s="267"/>
      <c r="DE23" s="267"/>
      <c r="DF23" s="328"/>
      <c r="DG23" s="328"/>
      <c r="DH23" s="267"/>
      <c r="DI23" s="328"/>
      <c r="DJ23" s="328"/>
      <c r="DK23" s="328"/>
      <c r="DL23" s="267"/>
      <c r="DM23" s="328"/>
      <c r="DN23" s="328"/>
      <c r="DO23" s="328"/>
      <c r="DP23" s="267"/>
      <c r="DQ23" s="267"/>
      <c r="DR23" s="328"/>
      <c r="DS23" s="328"/>
      <c r="DT23" s="267"/>
      <c r="DU23" s="328"/>
      <c r="DV23" s="328"/>
      <c r="DW23" s="328"/>
      <c r="DX23" s="267"/>
      <c r="DY23" s="328"/>
      <c r="DZ23" s="267"/>
      <c r="EA23" s="267"/>
      <c r="EB23" s="267"/>
      <c r="EC23" s="267"/>
      <c r="ED23" s="267"/>
      <c r="EE23" s="267"/>
      <c r="EF23" s="267"/>
      <c r="EG23" s="267"/>
      <c r="EH23" s="267"/>
      <c r="EI23" s="267"/>
      <c r="EJ23" s="267"/>
      <c r="EK23" s="267"/>
      <c r="EL23" s="267"/>
      <c r="EM23" s="267"/>
      <c r="EN23" s="267"/>
      <c r="EO23" s="267"/>
    </row>
    <row r="24" spans="1:145" x14ac:dyDescent="0.25">
      <c r="A24" s="287" t="s">
        <v>131</v>
      </c>
      <c r="B24" s="253">
        <v>14</v>
      </c>
      <c r="C24" s="253">
        <v>12</v>
      </c>
      <c r="D24" s="283">
        <f t="shared" si="11"/>
        <v>26</v>
      </c>
      <c r="E24" s="253">
        <v>450750</v>
      </c>
      <c r="F24" s="253">
        <v>17</v>
      </c>
      <c r="G24" s="253">
        <v>1</v>
      </c>
      <c r="H24" s="283">
        <f t="shared" si="12"/>
        <v>18</v>
      </c>
      <c r="I24" s="253">
        <v>958000</v>
      </c>
      <c r="J24" s="283">
        <f t="shared" si="13"/>
        <v>31</v>
      </c>
      <c r="K24" s="283">
        <f t="shared" si="14"/>
        <v>13</v>
      </c>
      <c r="L24" s="283">
        <f t="shared" si="15"/>
        <v>44</v>
      </c>
      <c r="M24" s="283">
        <f t="shared" si="16"/>
        <v>1408750</v>
      </c>
      <c r="N24" s="253">
        <v>20</v>
      </c>
      <c r="O24" s="253">
        <v>18</v>
      </c>
      <c r="P24" s="283">
        <f t="shared" si="17"/>
        <v>38</v>
      </c>
      <c r="Q24" s="253">
        <v>716450</v>
      </c>
      <c r="R24" s="253">
        <v>19</v>
      </c>
      <c r="S24" s="253">
        <v>1</v>
      </c>
      <c r="T24" s="283">
        <f t="shared" si="18"/>
        <v>20</v>
      </c>
      <c r="U24" s="253">
        <v>1675960</v>
      </c>
      <c r="V24" s="283">
        <f t="shared" si="19"/>
        <v>39</v>
      </c>
      <c r="W24" s="283">
        <f t="shared" si="20"/>
        <v>19</v>
      </c>
      <c r="X24" s="283">
        <f t="shared" si="21"/>
        <v>58</v>
      </c>
      <c r="Y24" s="322">
        <f t="shared" si="22"/>
        <v>2392410</v>
      </c>
      <c r="Z24" s="325">
        <v>14</v>
      </c>
      <c r="AA24" s="328">
        <v>10</v>
      </c>
      <c r="AB24" s="267">
        <f t="shared" si="23"/>
        <v>24</v>
      </c>
      <c r="AC24" s="328">
        <v>483250</v>
      </c>
      <c r="AD24" s="328">
        <v>17</v>
      </c>
      <c r="AE24" s="328">
        <v>0</v>
      </c>
      <c r="AF24" s="267">
        <f t="shared" si="2"/>
        <v>17</v>
      </c>
      <c r="AG24" s="328">
        <v>573400</v>
      </c>
      <c r="AH24" s="328">
        <f t="shared" si="3"/>
        <v>31</v>
      </c>
      <c r="AI24" s="328">
        <f t="shared" si="4"/>
        <v>10</v>
      </c>
      <c r="AJ24" s="267">
        <f t="shared" si="5"/>
        <v>41</v>
      </c>
      <c r="AK24" s="329">
        <f t="shared" si="24"/>
        <v>1056650</v>
      </c>
      <c r="AL24" s="330">
        <v>17</v>
      </c>
      <c r="AM24" s="328">
        <v>9</v>
      </c>
      <c r="AN24" s="267">
        <f t="shared" si="6"/>
        <v>26</v>
      </c>
      <c r="AO24" s="328">
        <v>663370</v>
      </c>
      <c r="AP24" s="328">
        <v>24</v>
      </c>
      <c r="AQ24" s="328">
        <v>1</v>
      </c>
      <c r="AR24" s="328">
        <f t="shared" si="7"/>
        <v>25</v>
      </c>
      <c r="AS24" s="328">
        <v>1192305</v>
      </c>
      <c r="AT24" s="328">
        <f t="shared" si="8"/>
        <v>41</v>
      </c>
      <c r="AU24" s="328">
        <f t="shared" si="9"/>
        <v>10</v>
      </c>
      <c r="AV24" s="328">
        <f t="shared" si="10"/>
        <v>51</v>
      </c>
      <c r="AW24" s="328">
        <f t="shared" si="25"/>
        <v>1855675</v>
      </c>
      <c r="AX24" s="253"/>
      <c r="AY24" s="328"/>
      <c r="AZ24" s="267"/>
      <c r="BA24" s="328"/>
      <c r="BB24" s="328"/>
      <c r="BC24" s="328"/>
      <c r="BD24" s="267"/>
      <c r="BE24" s="328"/>
      <c r="BF24" s="328"/>
      <c r="BG24" s="328"/>
      <c r="BH24" s="267"/>
      <c r="BI24" s="267"/>
      <c r="BJ24" s="253"/>
      <c r="BK24" s="328"/>
      <c r="BL24" s="267"/>
      <c r="BM24" s="328"/>
      <c r="BN24" s="328"/>
      <c r="BO24" s="328"/>
      <c r="BP24" s="267"/>
      <c r="BQ24" s="328"/>
      <c r="BR24" s="328"/>
      <c r="BS24" s="328"/>
      <c r="BT24" s="267"/>
      <c r="BU24" s="267"/>
      <c r="BV24" s="253"/>
      <c r="BW24" s="328"/>
      <c r="BX24" s="267"/>
      <c r="BY24" s="328"/>
      <c r="BZ24" s="328"/>
      <c r="CA24" s="328"/>
      <c r="CB24" s="267"/>
      <c r="CC24" s="328"/>
      <c r="CD24" s="328"/>
      <c r="CE24" s="328"/>
      <c r="CF24" s="267"/>
      <c r="CG24" s="267"/>
      <c r="CH24" s="253"/>
      <c r="CI24" s="328"/>
      <c r="CJ24" s="267"/>
      <c r="CK24" s="328"/>
      <c r="CL24" s="328"/>
      <c r="CM24" s="328"/>
      <c r="CN24" s="267"/>
      <c r="CO24" s="328"/>
      <c r="CP24" s="328"/>
      <c r="CQ24" s="328"/>
      <c r="CR24" s="267"/>
      <c r="CS24" s="267"/>
      <c r="CT24" s="253"/>
      <c r="CU24" s="328"/>
      <c r="CV24" s="267"/>
      <c r="CW24" s="328"/>
      <c r="CX24" s="328"/>
      <c r="CY24" s="328"/>
      <c r="CZ24" s="267"/>
      <c r="DA24" s="328"/>
      <c r="DB24" s="328"/>
      <c r="DC24" s="328"/>
      <c r="DD24" s="267"/>
      <c r="DE24" s="267"/>
      <c r="DF24" s="328"/>
      <c r="DG24" s="328"/>
      <c r="DH24" s="267"/>
      <c r="DI24" s="328"/>
      <c r="DJ24" s="328"/>
      <c r="DK24" s="328"/>
      <c r="DL24" s="267"/>
      <c r="DM24" s="328"/>
      <c r="DN24" s="328"/>
      <c r="DO24" s="328"/>
      <c r="DP24" s="267"/>
      <c r="DQ24" s="267"/>
      <c r="DR24" s="328"/>
      <c r="DS24" s="328"/>
      <c r="DT24" s="267"/>
      <c r="DU24" s="328"/>
      <c r="DV24" s="328"/>
      <c r="DW24" s="328"/>
      <c r="DX24" s="267"/>
      <c r="DY24" s="328"/>
      <c r="DZ24" s="267"/>
      <c r="EA24" s="267"/>
      <c r="EB24" s="267"/>
      <c r="EC24" s="267"/>
      <c r="ED24" s="267"/>
      <c r="EE24" s="267"/>
      <c r="EF24" s="267"/>
      <c r="EG24" s="267"/>
      <c r="EH24" s="267"/>
      <c r="EI24" s="267"/>
      <c r="EJ24" s="267"/>
      <c r="EK24" s="267"/>
      <c r="EL24" s="267"/>
      <c r="EM24" s="267"/>
      <c r="EN24" s="267"/>
      <c r="EO24" s="267"/>
    </row>
    <row r="25" spans="1:145" x14ac:dyDescent="0.25">
      <c r="A25" s="287" t="s">
        <v>125</v>
      </c>
      <c r="B25" s="253">
        <v>8</v>
      </c>
      <c r="C25" s="253">
        <v>7</v>
      </c>
      <c r="D25" s="283">
        <f t="shared" si="11"/>
        <v>15</v>
      </c>
      <c r="E25" s="253">
        <v>253700</v>
      </c>
      <c r="F25" s="253">
        <v>0</v>
      </c>
      <c r="G25" s="253">
        <v>0</v>
      </c>
      <c r="H25" s="283">
        <f t="shared" si="12"/>
        <v>0</v>
      </c>
      <c r="I25" s="253">
        <v>0</v>
      </c>
      <c r="J25" s="283">
        <f t="shared" si="13"/>
        <v>8</v>
      </c>
      <c r="K25" s="283">
        <f t="shared" si="14"/>
        <v>7</v>
      </c>
      <c r="L25" s="283">
        <f t="shared" si="15"/>
        <v>15</v>
      </c>
      <c r="M25" s="283">
        <f t="shared" si="16"/>
        <v>253700</v>
      </c>
      <c r="N25" s="253">
        <v>10</v>
      </c>
      <c r="O25" s="253">
        <v>7</v>
      </c>
      <c r="P25" s="283">
        <f t="shared" si="17"/>
        <v>17</v>
      </c>
      <c r="Q25" s="253">
        <v>544400</v>
      </c>
      <c r="R25" s="253">
        <v>4</v>
      </c>
      <c r="S25" s="253">
        <v>0</v>
      </c>
      <c r="T25" s="283">
        <f t="shared" si="18"/>
        <v>4</v>
      </c>
      <c r="U25" s="253">
        <v>127000</v>
      </c>
      <c r="V25" s="283">
        <f t="shared" si="19"/>
        <v>14</v>
      </c>
      <c r="W25" s="283">
        <f t="shared" si="20"/>
        <v>7</v>
      </c>
      <c r="X25" s="283">
        <f t="shared" si="21"/>
        <v>21</v>
      </c>
      <c r="Y25" s="322">
        <f t="shared" si="22"/>
        <v>671400</v>
      </c>
      <c r="Z25" s="325">
        <v>9</v>
      </c>
      <c r="AA25" s="328">
        <v>7</v>
      </c>
      <c r="AB25" s="267">
        <f t="shared" si="23"/>
        <v>16</v>
      </c>
      <c r="AC25" s="328">
        <v>713180</v>
      </c>
      <c r="AD25" s="328">
        <v>10</v>
      </c>
      <c r="AE25" s="328">
        <v>0</v>
      </c>
      <c r="AF25" s="267">
        <f t="shared" si="2"/>
        <v>10</v>
      </c>
      <c r="AG25" s="328">
        <v>475400</v>
      </c>
      <c r="AH25" s="328">
        <f t="shared" si="3"/>
        <v>19</v>
      </c>
      <c r="AI25" s="328">
        <f t="shared" si="4"/>
        <v>7</v>
      </c>
      <c r="AJ25" s="267">
        <f t="shared" si="5"/>
        <v>26</v>
      </c>
      <c r="AK25" s="329">
        <f t="shared" si="24"/>
        <v>1188580</v>
      </c>
      <c r="AL25" s="330">
        <v>5</v>
      </c>
      <c r="AM25" s="328">
        <v>4</v>
      </c>
      <c r="AN25" s="267">
        <f t="shared" si="6"/>
        <v>9</v>
      </c>
      <c r="AO25" s="328">
        <v>141800</v>
      </c>
      <c r="AP25" s="328">
        <v>12</v>
      </c>
      <c r="AQ25" s="328">
        <v>0</v>
      </c>
      <c r="AR25" s="328">
        <f t="shared" si="7"/>
        <v>12</v>
      </c>
      <c r="AS25" s="328">
        <v>871150</v>
      </c>
      <c r="AT25" s="328">
        <f t="shared" si="8"/>
        <v>17</v>
      </c>
      <c r="AU25" s="328">
        <f t="shared" si="9"/>
        <v>4</v>
      </c>
      <c r="AV25" s="328">
        <f t="shared" si="10"/>
        <v>21</v>
      </c>
      <c r="AW25" s="328">
        <f t="shared" si="25"/>
        <v>1012950</v>
      </c>
      <c r="AX25" s="253"/>
      <c r="AY25" s="328"/>
      <c r="AZ25" s="267"/>
      <c r="BA25" s="328"/>
      <c r="BB25" s="328"/>
      <c r="BC25" s="328"/>
      <c r="BD25" s="267"/>
      <c r="BE25" s="328"/>
      <c r="BF25" s="328"/>
      <c r="BG25" s="328"/>
      <c r="BH25" s="267"/>
      <c r="BI25" s="267"/>
      <c r="BJ25" s="253"/>
      <c r="BK25" s="328"/>
      <c r="BL25" s="267"/>
      <c r="BM25" s="328"/>
      <c r="BN25" s="328"/>
      <c r="BO25" s="328"/>
      <c r="BP25" s="267"/>
      <c r="BQ25" s="328"/>
      <c r="BR25" s="328"/>
      <c r="BS25" s="328"/>
      <c r="BT25" s="267"/>
      <c r="BU25" s="267"/>
      <c r="BV25" s="253"/>
      <c r="BW25" s="328"/>
      <c r="BX25" s="267"/>
      <c r="BY25" s="328"/>
      <c r="BZ25" s="328"/>
      <c r="CA25" s="328"/>
      <c r="CB25" s="267"/>
      <c r="CC25" s="328"/>
      <c r="CD25" s="328"/>
      <c r="CE25" s="328"/>
      <c r="CF25" s="267"/>
      <c r="CG25" s="267"/>
      <c r="CH25" s="253"/>
      <c r="CI25" s="328"/>
      <c r="CJ25" s="267"/>
      <c r="CK25" s="328"/>
      <c r="CL25" s="328"/>
      <c r="CM25" s="328"/>
      <c r="CN25" s="267"/>
      <c r="CO25" s="328"/>
      <c r="CP25" s="328"/>
      <c r="CQ25" s="328"/>
      <c r="CR25" s="267"/>
      <c r="CS25" s="267"/>
      <c r="CT25" s="253"/>
      <c r="CU25" s="328"/>
      <c r="CV25" s="267"/>
      <c r="CW25" s="328"/>
      <c r="CX25" s="328"/>
      <c r="CY25" s="328"/>
      <c r="CZ25" s="267"/>
      <c r="DA25" s="328"/>
      <c r="DB25" s="328"/>
      <c r="DC25" s="328"/>
      <c r="DD25" s="267"/>
      <c r="DE25" s="267"/>
      <c r="DF25" s="328"/>
      <c r="DG25" s="328"/>
      <c r="DH25" s="267"/>
      <c r="DI25" s="328"/>
      <c r="DJ25" s="328"/>
      <c r="DK25" s="328"/>
      <c r="DL25" s="267"/>
      <c r="DM25" s="328"/>
      <c r="DN25" s="328"/>
      <c r="DO25" s="328"/>
      <c r="DP25" s="267"/>
      <c r="DQ25" s="267"/>
      <c r="DR25" s="328"/>
      <c r="DS25" s="328"/>
      <c r="DT25" s="267"/>
      <c r="DU25" s="328"/>
      <c r="DV25" s="328"/>
      <c r="DW25" s="328"/>
      <c r="DX25" s="267"/>
      <c r="DY25" s="328"/>
      <c r="DZ25" s="267"/>
      <c r="EA25" s="267"/>
      <c r="EB25" s="267"/>
      <c r="EC25" s="267"/>
      <c r="ED25" s="267"/>
      <c r="EE25" s="267"/>
      <c r="EF25" s="267"/>
      <c r="EG25" s="267"/>
      <c r="EH25" s="267"/>
      <c r="EI25" s="267"/>
      <c r="EJ25" s="267"/>
      <c r="EK25" s="267"/>
      <c r="EL25" s="267"/>
      <c r="EM25" s="267"/>
      <c r="EN25" s="267"/>
      <c r="EO25" s="267"/>
    </row>
    <row r="26" spans="1:145" x14ac:dyDescent="0.25">
      <c r="A26" s="287" t="s">
        <v>9</v>
      </c>
      <c r="B26" s="253">
        <v>22</v>
      </c>
      <c r="C26" s="253">
        <v>14</v>
      </c>
      <c r="D26" s="283">
        <f t="shared" si="11"/>
        <v>36</v>
      </c>
      <c r="E26" s="253">
        <v>560750</v>
      </c>
      <c r="F26" s="253">
        <v>25</v>
      </c>
      <c r="G26" s="253">
        <v>0</v>
      </c>
      <c r="H26" s="283">
        <f t="shared" si="12"/>
        <v>25</v>
      </c>
      <c r="I26" s="253">
        <v>957735</v>
      </c>
      <c r="J26" s="283">
        <f t="shared" si="13"/>
        <v>47</v>
      </c>
      <c r="K26" s="283">
        <f t="shared" si="14"/>
        <v>14</v>
      </c>
      <c r="L26" s="283">
        <f t="shared" si="15"/>
        <v>61</v>
      </c>
      <c r="M26" s="283">
        <f t="shared" si="16"/>
        <v>1518485</v>
      </c>
      <c r="N26" s="253">
        <v>25</v>
      </c>
      <c r="O26" s="253">
        <v>13</v>
      </c>
      <c r="P26" s="283">
        <f t="shared" si="17"/>
        <v>38</v>
      </c>
      <c r="Q26" s="253">
        <v>775101</v>
      </c>
      <c r="R26" s="253">
        <v>25</v>
      </c>
      <c r="S26" s="253">
        <v>1</v>
      </c>
      <c r="T26" s="283">
        <f t="shared" si="18"/>
        <v>26</v>
      </c>
      <c r="U26" s="253">
        <v>1149195</v>
      </c>
      <c r="V26" s="283">
        <f t="shared" si="19"/>
        <v>50</v>
      </c>
      <c r="W26" s="283">
        <f t="shared" si="20"/>
        <v>14</v>
      </c>
      <c r="X26" s="283">
        <f t="shared" si="21"/>
        <v>64</v>
      </c>
      <c r="Y26" s="322">
        <f t="shared" si="22"/>
        <v>1924296</v>
      </c>
      <c r="Z26" s="325">
        <v>34</v>
      </c>
      <c r="AA26" s="328">
        <v>15</v>
      </c>
      <c r="AB26" s="267">
        <f t="shared" si="23"/>
        <v>49</v>
      </c>
      <c r="AC26" s="328">
        <v>997540</v>
      </c>
      <c r="AD26" s="328">
        <v>32</v>
      </c>
      <c r="AE26" s="328">
        <v>0</v>
      </c>
      <c r="AF26" s="267">
        <f t="shared" si="2"/>
        <v>32</v>
      </c>
      <c r="AG26" s="328">
        <v>1524901</v>
      </c>
      <c r="AH26" s="328">
        <f t="shared" si="3"/>
        <v>66</v>
      </c>
      <c r="AI26" s="328">
        <f t="shared" si="4"/>
        <v>15</v>
      </c>
      <c r="AJ26" s="267">
        <f t="shared" si="5"/>
        <v>81</v>
      </c>
      <c r="AK26" s="329">
        <f t="shared" si="24"/>
        <v>2522441</v>
      </c>
      <c r="AL26" s="330">
        <v>27</v>
      </c>
      <c r="AM26" s="328">
        <v>15</v>
      </c>
      <c r="AN26" s="267">
        <f t="shared" si="6"/>
        <v>42</v>
      </c>
      <c r="AO26" s="328">
        <v>665800</v>
      </c>
      <c r="AP26" s="328">
        <v>33</v>
      </c>
      <c r="AQ26" s="328">
        <v>0</v>
      </c>
      <c r="AR26" s="328">
        <f t="shared" si="7"/>
        <v>33</v>
      </c>
      <c r="AS26" s="328">
        <v>1361440</v>
      </c>
      <c r="AT26" s="328">
        <f t="shared" si="8"/>
        <v>60</v>
      </c>
      <c r="AU26" s="328">
        <f t="shared" si="9"/>
        <v>15</v>
      </c>
      <c r="AV26" s="328">
        <f t="shared" si="10"/>
        <v>75</v>
      </c>
      <c r="AW26" s="328">
        <f t="shared" si="25"/>
        <v>2027240</v>
      </c>
      <c r="AX26" s="253"/>
      <c r="AY26" s="328"/>
      <c r="AZ26" s="267"/>
      <c r="BA26" s="328"/>
      <c r="BB26" s="328"/>
      <c r="BC26" s="328"/>
      <c r="BD26" s="267"/>
      <c r="BE26" s="328"/>
      <c r="BF26" s="328"/>
      <c r="BG26" s="328"/>
      <c r="BH26" s="267"/>
      <c r="BI26" s="267"/>
      <c r="BJ26" s="253"/>
      <c r="BK26" s="328"/>
      <c r="BL26" s="267"/>
      <c r="BM26" s="328"/>
      <c r="BN26" s="328"/>
      <c r="BO26" s="328"/>
      <c r="BP26" s="267"/>
      <c r="BQ26" s="328"/>
      <c r="BR26" s="328"/>
      <c r="BS26" s="328"/>
      <c r="BT26" s="267"/>
      <c r="BU26" s="267"/>
      <c r="BV26" s="253"/>
      <c r="BW26" s="328"/>
      <c r="BX26" s="267"/>
      <c r="BY26" s="328"/>
      <c r="BZ26" s="328"/>
      <c r="CA26" s="328"/>
      <c r="CB26" s="267"/>
      <c r="CC26" s="328"/>
      <c r="CD26" s="328"/>
      <c r="CE26" s="328"/>
      <c r="CF26" s="267"/>
      <c r="CG26" s="267"/>
      <c r="CH26" s="253"/>
      <c r="CI26" s="328"/>
      <c r="CJ26" s="267"/>
      <c r="CK26" s="328"/>
      <c r="CL26" s="328"/>
      <c r="CM26" s="328"/>
      <c r="CN26" s="267"/>
      <c r="CO26" s="328"/>
      <c r="CP26" s="328"/>
      <c r="CQ26" s="328"/>
      <c r="CR26" s="267"/>
      <c r="CS26" s="267"/>
      <c r="CT26" s="253"/>
      <c r="CU26" s="328"/>
      <c r="CV26" s="267"/>
      <c r="CW26" s="328"/>
      <c r="CX26" s="328"/>
      <c r="CY26" s="328"/>
      <c r="CZ26" s="267"/>
      <c r="DA26" s="328"/>
      <c r="DB26" s="328"/>
      <c r="DC26" s="328"/>
      <c r="DD26" s="267"/>
      <c r="DE26" s="267"/>
      <c r="DF26" s="328"/>
      <c r="DG26" s="328"/>
      <c r="DH26" s="267"/>
      <c r="DI26" s="328"/>
      <c r="DJ26" s="328"/>
      <c r="DK26" s="328"/>
      <c r="DL26" s="267"/>
      <c r="DM26" s="328"/>
      <c r="DN26" s="328"/>
      <c r="DO26" s="328"/>
      <c r="DP26" s="267"/>
      <c r="DQ26" s="267"/>
      <c r="DR26" s="328"/>
      <c r="DS26" s="328"/>
      <c r="DT26" s="267"/>
      <c r="DU26" s="328"/>
      <c r="DV26" s="328"/>
      <c r="DW26" s="328"/>
      <c r="DX26" s="267"/>
      <c r="DY26" s="328"/>
      <c r="DZ26" s="267"/>
      <c r="EA26" s="267"/>
      <c r="EB26" s="267"/>
      <c r="EC26" s="267"/>
      <c r="ED26" s="267"/>
      <c r="EE26" s="267"/>
      <c r="EF26" s="267"/>
      <c r="EG26" s="267"/>
      <c r="EH26" s="267"/>
      <c r="EI26" s="267"/>
      <c r="EJ26" s="267"/>
      <c r="EK26" s="267"/>
      <c r="EL26" s="267"/>
      <c r="EM26" s="267"/>
      <c r="EN26" s="267"/>
      <c r="EO26" s="267"/>
    </row>
    <row r="27" spans="1:145" x14ac:dyDescent="0.25">
      <c r="A27" s="287" t="s">
        <v>12</v>
      </c>
      <c r="B27" s="253">
        <v>18</v>
      </c>
      <c r="C27" s="253">
        <v>11</v>
      </c>
      <c r="D27" s="283">
        <f t="shared" si="11"/>
        <v>29</v>
      </c>
      <c r="E27" s="253">
        <v>560948</v>
      </c>
      <c r="F27" s="253">
        <v>19</v>
      </c>
      <c r="G27" s="253">
        <v>1</v>
      </c>
      <c r="H27" s="283">
        <f t="shared" si="12"/>
        <v>20</v>
      </c>
      <c r="I27" s="253">
        <v>830947</v>
      </c>
      <c r="J27" s="283">
        <f t="shared" si="13"/>
        <v>37</v>
      </c>
      <c r="K27" s="283">
        <f t="shared" si="14"/>
        <v>12</v>
      </c>
      <c r="L27" s="283">
        <f t="shared" si="15"/>
        <v>49</v>
      </c>
      <c r="M27" s="283">
        <f t="shared" si="16"/>
        <v>1391895</v>
      </c>
      <c r="N27" s="253">
        <v>10</v>
      </c>
      <c r="O27" s="253">
        <v>6</v>
      </c>
      <c r="P27" s="283">
        <f t="shared" si="17"/>
        <v>16</v>
      </c>
      <c r="Q27" s="253">
        <v>299200</v>
      </c>
      <c r="R27" s="253">
        <v>14</v>
      </c>
      <c r="S27" s="253">
        <v>0</v>
      </c>
      <c r="T27" s="283">
        <f t="shared" si="18"/>
        <v>14</v>
      </c>
      <c r="U27" s="253">
        <v>599950</v>
      </c>
      <c r="V27" s="283">
        <f t="shared" si="19"/>
        <v>24</v>
      </c>
      <c r="W27" s="283">
        <f t="shared" si="20"/>
        <v>6</v>
      </c>
      <c r="X27" s="283">
        <f t="shared" si="21"/>
        <v>30</v>
      </c>
      <c r="Y27" s="322">
        <f t="shared" si="22"/>
        <v>899150</v>
      </c>
      <c r="Z27" s="325">
        <v>21</v>
      </c>
      <c r="AA27" s="328">
        <v>8</v>
      </c>
      <c r="AB27" s="267">
        <f t="shared" si="23"/>
        <v>29</v>
      </c>
      <c r="AC27" s="328">
        <v>572145</v>
      </c>
      <c r="AD27" s="328">
        <v>19</v>
      </c>
      <c r="AE27" s="328">
        <v>0</v>
      </c>
      <c r="AF27" s="267">
        <f t="shared" si="2"/>
        <v>19</v>
      </c>
      <c r="AG27" s="328">
        <v>867984</v>
      </c>
      <c r="AH27" s="328">
        <f t="shared" si="3"/>
        <v>40</v>
      </c>
      <c r="AI27" s="328">
        <f t="shared" si="4"/>
        <v>8</v>
      </c>
      <c r="AJ27" s="267">
        <f t="shared" si="5"/>
        <v>48</v>
      </c>
      <c r="AK27" s="329">
        <f t="shared" si="24"/>
        <v>1440129</v>
      </c>
      <c r="AL27" s="330">
        <v>28</v>
      </c>
      <c r="AM27" s="328">
        <v>9</v>
      </c>
      <c r="AN27" s="267">
        <f t="shared" si="6"/>
        <v>37</v>
      </c>
      <c r="AO27" s="328">
        <v>888350</v>
      </c>
      <c r="AP27" s="328">
        <v>23</v>
      </c>
      <c r="AQ27" s="328">
        <v>0</v>
      </c>
      <c r="AR27" s="328">
        <f t="shared" si="7"/>
        <v>23</v>
      </c>
      <c r="AS27" s="328">
        <v>920030</v>
      </c>
      <c r="AT27" s="328">
        <f t="shared" si="8"/>
        <v>51</v>
      </c>
      <c r="AU27" s="328">
        <f t="shared" si="9"/>
        <v>9</v>
      </c>
      <c r="AV27" s="328">
        <f t="shared" si="10"/>
        <v>60</v>
      </c>
      <c r="AW27" s="328">
        <f t="shared" si="25"/>
        <v>1808380</v>
      </c>
      <c r="AX27" s="253"/>
      <c r="AY27" s="253"/>
      <c r="AZ27" s="253"/>
      <c r="BA27" s="253"/>
      <c r="BB27" s="253"/>
      <c r="BC27" s="253"/>
      <c r="BD27" s="253"/>
      <c r="BE27" s="253"/>
      <c r="BF27" s="253"/>
      <c r="BG27" s="253"/>
      <c r="BH27" s="253"/>
      <c r="BI27" s="253"/>
      <c r="BJ27" s="253"/>
      <c r="BK27" s="328"/>
      <c r="BL27" s="267"/>
      <c r="BM27" s="328"/>
      <c r="BN27" s="328"/>
      <c r="BO27" s="328"/>
      <c r="BP27" s="267"/>
      <c r="BQ27" s="328"/>
      <c r="BR27" s="328"/>
      <c r="BS27" s="328"/>
      <c r="BT27" s="267"/>
      <c r="BU27" s="267"/>
      <c r="BV27" s="253"/>
      <c r="BW27" s="328"/>
      <c r="BX27" s="267"/>
      <c r="BY27" s="328"/>
      <c r="BZ27" s="328"/>
      <c r="CA27" s="328"/>
      <c r="CB27" s="267"/>
      <c r="CC27" s="328"/>
      <c r="CD27" s="328"/>
      <c r="CE27" s="328"/>
      <c r="CF27" s="267"/>
      <c r="CG27" s="267"/>
      <c r="CH27" s="253"/>
      <c r="CI27" s="328"/>
      <c r="CJ27" s="267"/>
      <c r="CK27" s="328"/>
      <c r="CL27" s="328"/>
      <c r="CM27" s="328"/>
      <c r="CN27" s="267"/>
      <c r="CO27" s="328"/>
      <c r="CP27" s="328"/>
      <c r="CQ27" s="328"/>
      <c r="CR27" s="267"/>
      <c r="CS27" s="267"/>
      <c r="CT27" s="253"/>
      <c r="CU27" s="328"/>
      <c r="CV27" s="267"/>
      <c r="CW27" s="328"/>
      <c r="CX27" s="328"/>
      <c r="CY27" s="328"/>
      <c r="CZ27" s="267"/>
      <c r="DA27" s="328"/>
      <c r="DB27" s="328"/>
      <c r="DC27" s="328"/>
      <c r="DD27" s="267"/>
      <c r="DE27" s="267"/>
      <c r="DF27" s="328"/>
      <c r="DG27" s="328"/>
      <c r="DH27" s="267"/>
      <c r="DI27" s="328"/>
      <c r="DJ27" s="328"/>
      <c r="DK27" s="328"/>
      <c r="DL27" s="267"/>
      <c r="DM27" s="328"/>
      <c r="DN27" s="328"/>
      <c r="DO27" s="328"/>
      <c r="DP27" s="267"/>
      <c r="DQ27" s="267"/>
      <c r="DR27" s="328"/>
      <c r="DS27" s="328"/>
      <c r="DT27" s="267"/>
      <c r="DU27" s="328"/>
      <c r="DV27" s="328"/>
      <c r="DW27" s="328"/>
      <c r="DX27" s="267"/>
      <c r="DY27" s="328"/>
      <c r="DZ27" s="267"/>
      <c r="EA27" s="267"/>
      <c r="EB27" s="267"/>
      <c r="EC27" s="267"/>
      <c r="ED27" s="267"/>
      <c r="EE27" s="267"/>
      <c r="EF27" s="267"/>
      <c r="EG27" s="267"/>
      <c r="EH27" s="267"/>
      <c r="EI27" s="267"/>
      <c r="EJ27" s="267"/>
      <c r="EK27" s="267"/>
      <c r="EL27" s="267"/>
      <c r="EM27" s="267"/>
      <c r="EN27" s="267"/>
      <c r="EO27" s="267"/>
    </row>
    <row r="28" spans="1:145" x14ac:dyDescent="0.25">
      <c r="A28" s="287" t="s">
        <v>117</v>
      </c>
      <c r="B28" s="253">
        <v>10</v>
      </c>
      <c r="C28" s="253">
        <v>10</v>
      </c>
      <c r="D28" s="283">
        <f t="shared" si="11"/>
        <v>20</v>
      </c>
      <c r="E28" s="253">
        <v>231100</v>
      </c>
      <c r="F28" s="253">
        <v>10</v>
      </c>
      <c r="G28" s="253">
        <v>1</v>
      </c>
      <c r="H28" s="283">
        <f t="shared" si="12"/>
        <v>11</v>
      </c>
      <c r="I28" s="253">
        <v>580681</v>
      </c>
      <c r="J28" s="283">
        <f t="shared" si="13"/>
        <v>20</v>
      </c>
      <c r="K28" s="283">
        <f t="shared" si="14"/>
        <v>11</v>
      </c>
      <c r="L28" s="283">
        <f t="shared" si="15"/>
        <v>31</v>
      </c>
      <c r="M28" s="283">
        <f t="shared" si="16"/>
        <v>811781</v>
      </c>
      <c r="N28" s="253">
        <v>12</v>
      </c>
      <c r="O28" s="253">
        <v>8</v>
      </c>
      <c r="P28" s="283">
        <f t="shared" si="17"/>
        <v>20</v>
      </c>
      <c r="Q28" s="253">
        <v>275600</v>
      </c>
      <c r="R28" s="253">
        <v>18</v>
      </c>
      <c r="S28" s="253">
        <v>0</v>
      </c>
      <c r="T28" s="283">
        <f t="shared" si="18"/>
        <v>18</v>
      </c>
      <c r="U28" s="253">
        <v>866371</v>
      </c>
      <c r="V28" s="283">
        <f t="shared" si="19"/>
        <v>30</v>
      </c>
      <c r="W28" s="283">
        <f t="shared" si="20"/>
        <v>8</v>
      </c>
      <c r="X28" s="283">
        <f t="shared" si="21"/>
        <v>38</v>
      </c>
      <c r="Y28" s="322">
        <f t="shared" si="22"/>
        <v>1141971</v>
      </c>
      <c r="Z28" s="325">
        <v>11</v>
      </c>
      <c r="AA28" s="328">
        <v>7</v>
      </c>
      <c r="AB28" s="267">
        <f t="shared" si="23"/>
        <v>18</v>
      </c>
      <c r="AC28" s="328">
        <v>241700</v>
      </c>
      <c r="AD28" s="328">
        <v>18</v>
      </c>
      <c r="AE28" s="328">
        <v>2</v>
      </c>
      <c r="AF28" s="267">
        <f t="shared" si="2"/>
        <v>20</v>
      </c>
      <c r="AG28" s="328">
        <v>541771</v>
      </c>
      <c r="AH28" s="328">
        <f t="shared" si="3"/>
        <v>29</v>
      </c>
      <c r="AI28" s="328">
        <f t="shared" si="4"/>
        <v>9</v>
      </c>
      <c r="AJ28" s="267">
        <f t="shared" si="5"/>
        <v>38</v>
      </c>
      <c r="AK28" s="329">
        <f t="shared" si="24"/>
        <v>783471</v>
      </c>
      <c r="AL28" s="330">
        <v>10</v>
      </c>
      <c r="AM28" s="328">
        <v>8</v>
      </c>
      <c r="AN28" s="267">
        <f t="shared" si="6"/>
        <v>18</v>
      </c>
      <c r="AO28" s="328">
        <v>241700</v>
      </c>
      <c r="AP28" s="328">
        <v>18</v>
      </c>
      <c r="AQ28" s="328">
        <v>0</v>
      </c>
      <c r="AR28" s="328">
        <f t="shared" si="7"/>
        <v>18</v>
      </c>
      <c r="AS28" s="328">
        <v>798070</v>
      </c>
      <c r="AT28" s="328">
        <f t="shared" si="8"/>
        <v>28</v>
      </c>
      <c r="AU28" s="328">
        <f t="shared" si="9"/>
        <v>8</v>
      </c>
      <c r="AV28" s="328">
        <f t="shared" si="10"/>
        <v>36</v>
      </c>
      <c r="AW28" s="328">
        <f t="shared" si="25"/>
        <v>1039770</v>
      </c>
      <c r="AX28" s="253"/>
      <c r="AY28" s="253"/>
      <c r="AZ28" s="253"/>
      <c r="BA28" s="253"/>
      <c r="BB28" s="253"/>
      <c r="BC28" s="253"/>
      <c r="BD28" s="253"/>
      <c r="BE28" s="253"/>
      <c r="BF28" s="253"/>
      <c r="BG28" s="253"/>
      <c r="BH28" s="253"/>
      <c r="BI28" s="253"/>
      <c r="BJ28" s="253"/>
      <c r="BK28" s="328"/>
      <c r="BL28" s="267"/>
      <c r="BM28" s="328"/>
      <c r="BN28" s="328"/>
      <c r="BO28" s="328"/>
      <c r="BP28" s="267"/>
      <c r="BQ28" s="328"/>
      <c r="BR28" s="328"/>
      <c r="BS28" s="328"/>
      <c r="BT28" s="267"/>
      <c r="BU28" s="267"/>
      <c r="BV28" s="253"/>
      <c r="BW28" s="328"/>
      <c r="BX28" s="267"/>
      <c r="BY28" s="328"/>
      <c r="BZ28" s="328"/>
      <c r="CA28" s="328"/>
      <c r="CB28" s="267"/>
      <c r="CC28" s="328"/>
      <c r="CD28" s="328"/>
      <c r="CE28" s="328"/>
      <c r="CF28" s="267"/>
      <c r="CG28" s="267"/>
      <c r="CH28" s="253"/>
      <c r="CI28" s="328"/>
      <c r="CJ28" s="267"/>
      <c r="CK28" s="328"/>
      <c r="CL28" s="328"/>
      <c r="CM28" s="328"/>
      <c r="CN28" s="267"/>
      <c r="CO28" s="328"/>
      <c r="CP28" s="328"/>
      <c r="CQ28" s="328"/>
      <c r="CR28" s="267"/>
      <c r="CS28" s="267"/>
      <c r="CT28" s="253"/>
      <c r="CU28" s="328"/>
      <c r="CV28" s="267"/>
      <c r="CW28" s="328"/>
      <c r="CX28" s="328"/>
      <c r="CY28" s="328"/>
      <c r="CZ28" s="267"/>
      <c r="DA28" s="328"/>
      <c r="DB28" s="328"/>
      <c r="DC28" s="328"/>
      <c r="DD28" s="267"/>
      <c r="DE28" s="267"/>
      <c r="DF28" s="328"/>
      <c r="DG28" s="328"/>
      <c r="DH28" s="267"/>
      <c r="DI28" s="328"/>
      <c r="DJ28" s="328"/>
      <c r="DK28" s="328"/>
      <c r="DL28" s="267"/>
      <c r="DM28" s="328"/>
      <c r="DN28" s="328"/>
      <c r="DO28" s="328"/>
      <c r="DP28" s="267"/>
      <c r="DQ28" s="267"/>
      <c r="DR28" s="328"/>
      <c r="DS28" s="328"/>
      <c r="DT28" s="267"/>
      <c r="DU28" s="328"/>
      <c r="DV28" s="328"/>
      <c r="DW28" s="328"/>
      <c r="DX28" s="267"/>
      <c r="DY28" s="328"/>
      <c r="DZ28" s="267"/>
      <c r="EA28" s="267"/>
      <c r="EB28" s="267"/>
      <c r="EC28" s="267"/>
      <c r="ED28" s="267"/>
      <c r="EE28" s="267"/>
      <c r="EF28" s="267"/>
      <c r="EG28" s="267"/>
      <c r="EH28" s="267"/>
      <c r="EI28" s="267"/>
      <c r="EJ28" s="267"/>
      <c r="EK28" s="267"/>
      <c r="EL28" s="267"/>
      <c r="EM28" s="267"/>
      <c r="EN28" s="267"/>
      <c r="EO28" s="267"/>
    </row>
    <row r="29" spans="1:145" x14ac:dyDescent="0.25">
      <c r="A29" s="287" t="s">
        <v>132</v>
      </c>
      <c r="B29" s="253">
        <v>4</v>
      </c>
      <c r="C29" s="253">
        <v>2</v>
      </c>
      <c r="D29" s="283">
        <f t="shared" si="11"/>
        <v>6</v>
      </c>
      <c r="E29" s="253">
        <v>97500</v>
      </c>
      <c r="F29" s="253">
        <v>7</v>
      </c>
      <c r="G29" s="253">
        <v>0</v>
      </c>
      <c r="H29" s="283">
        <f t="shared" si="12"/>
        <v>7</v>
      </c>
      <c r="I29" s="253">
        <v>382800</v>
      </c>
      <c r="J29" s="283">
        <f t="shared" si="13"/>
        <v>11</v>
      </c>
      <c r="K29" s="283">
        <f t="shared" si="14"/>
        <v>2</v>
      </c>
      <c r="L29" s="283">
        <f t="shared" si="15"/>
        <v>13</v>
      </c>
      <c r="M29" s="283">
        <f t="shared" si="16"/>
        <v>480300</v>
      </c>
      <c r="N29" s="253">
        <v>4</v>
      </c>
      <c r="O29" s="253">
        <v>4</v>
      </c>
      <c r="P29" s="283">
        <f t="shared" si="17"/>
        <v>8</v>
      </c>
      <c r="Q29" s="253">
        <v>164650</v>
      </c>
      <c r="R29" s="253">
        <v>6</v>
      </c>
      <c r="S29" s="253">
        <v>0</v>
      </c>
      <c r="T29" s="283">
        <f t="shared" si="18"/>
        <v>6</v>
      </c>
      <c r="U29" s="253">
        <v>335550</v>
      </c>
      <c r="V29" s="283">
        <f t="shared" si="19"/>
        <v>10</v>
      </c>
      <c r="W29" s="283">
        <f t="shared" si="20"/>
        <v>4</v>
      </c>
      <c r="X29" s="283">
        <f t="shared" si="21"/>
        <v>14</v>
      </c>
      <c r="Y29" s="322">
        <f t="shared" si="22"/>
        <v>500200</v>
      </c>
      <c r="Z29" s="325">
        <v>3</v>
      </c>
      <c r="AA29" s="328">
        <v>0</v>
      </c>
      <c r="AB29" s="267">
        <f t="shared" si="23"/>
        <v>3</v>
      </c>
      <c r="AC29" s="328">
        <v>80250</v>
      </c>
      <c r="AD29" s="328">
        <v>9</v>
      </c>
      <c r="AE29" s="328">
        <v>0</v>
      </c>
      <c r="AF29" s="267">
        <f t="shared" si="2"/>
        <v>9</v>
      </c>
      <c r="AG29" s="328">
        <v>326499</v>
      </c>
      <c r="AH29" s="328">
        <f t="shared" si="3"/>
        <v>12</v>
      </c>
      <c r="AI29" s="328">
        <f t="shared" si="4"/>
        <v>0</v>
      </c>
      <c r="AJ29" s="267">
        <f t="shared" si="5"/>
        <v>12</v>
      </c>
      <c r="AK29" s="329">
        <f t="shared" si="24"/>
        <v>406749</v>
      </c>
      <c r="AL29" s="330">
        <v>3</v>
      </c>
      <c r="AM29" s="328">
        <v>3</v>
      </c>
      <c r="AN29" s="267">
        <f t="shared" si="6"/>
        <v>6</v>
      </c>
      <c r="AO29" s="328">
        <v>66000</v>
      </c>
      <c r="AP29" s="328">
        <v>9</v>
      </c>
      <c r="AQ29" s="328">
        <v>0</v>
      </c>
      <c r="AR29" s="328">
        <f t="shared" si="7"/>
        <v>9</v>
      </c>
      <c r="AS29" s="328">
        <v>803698</v>
      </c>
      <c r="AT29" s="328">
        <f t="shared" si="8"/>
        <v>12</v>
      </c>
      <c r="AU29" s="328">
        <f t="shared" si="9"/>
        <v>3</v>
      </c>
      <c r="AV29" s="328">
        <f t="shared" si="10"/>
        <v>15</v>
      </c>
      <c r="AW29" s="328">
        <f t="shared" si="25"/>
        <v>869698</v>
      </c>
      <c r="AX29" s="253"/>
      <c r="AY29" s="253"/>
      <c r="AZ29" s="253"/>
      <c r="BA29" s="253"/>
      <c r="BB29" s="253"/>
      <c r="BC29" s="253"/>
      <c r="BD29" s="253"/>
      <c r="BE29" s="253"/>
      <c r="BF29" s="253"/>
      <c r="BG29" s="253"/>
      <c r="BH29" s="253"/>
      <c r="BI29" s="253"/>
      <c r="BJ29" s="253"/>
      <c r="BK29" s="328"/>
      <c r="BL29" s="267"/>
      <c r="BM29" s="328"/>
      <c r="BN29" s="328"/>
      <c r="BO29" s="328"/>
      <c r="BP29" s="267"/>
      <c r="BQ29" s="328"/>
      <c r="BR29" s="328"/>
      <c r="BS29" s="328"/>
      <c r="BT29" s="267"/>
      <c r="BU29" s="267"/>
      <c r="BV29" s="253"/>
      <c r="BW29" s="328"/>
      <c r="BX29" s="267"/>
      <c r="BY29" s="328"/>
      <c r="BZ29" s="328"/>
      <c r="CA29" s="328"/>
      <c r="CB29" s="267"/>
      <c r="CC29" s="328"/>
      <c r="CD29" s="328"/>
      <c r="CE29" s="328"/>
      <c r="CF29" s="267"/>
      <c r="CG29" s="267"/>
      <c r="CH29" s="253"/>
      <c r="CI29" s="328"/>
      <c r="CJ29" s="267"/>
      <c r="CK29" s="328"/>
      <c r="CL29" s="328"/>
      <c r="CM29" s="328"/>
      <c r="CN29" s="267"/>
      <c r="CO29" s="328"/>
      <c r="CP29" s="328"/>
      <c r="CQ29" s="328"/>
      <c r="CR29" s="267"/>
      <c r="CS29" s="267"/>
      <c r="CT29" s="253"/>
      <c r="CU29" s="328"/>
      <c r="CV29" s="267"/>
      <c r="CW29" s="328"/>
      <c r="CX29" s="328"/>
      <c r="CY29" s="328"/>
      <c r="CZ29" s="267"/>
      <c r="DA29" s="328"/>
      <c r="DB29" s="328"/>
      <c r="DC29" s="328"/>
      <c r="DD29" s="267"/>
      <c r="DE29" s="267"/>
      <c r="DF29" s="328"/>
      <c r="DG29" s="328"/>
      <c r="DH29" s="267"/>
      <c r="DI29" s="328"/>
      <c r="DJ29" s="328"/>
      <c r="DK29" s="328"/>
      <c r="DL29" s="267"/>
      <c r="DM29" s="328"/>
      <c r="DN29" s="328"/>
      <c r="DO29" s="328"/>
      <c r="DP29" s="267"/>
      <c r="DQ29" s="267"/>
      <c r="DR29" s="328"/>
      <c r="DS29" s="328"/>
      <c r="DT29" s="267"/>
      <c r="DU29" s="328"/>
      <c r="DV29" s="328"/>
      <c r="DW29" s="328"/>
      <c r="DX29" s="267"/>
      <c r="DY29" s="328"/>
      <c r="DZ29" s="267"/>
      <c r="EA29" s="267"/>
      <c r="EB29" s="267"/>
      <c r="EC29" s="267"/>
      <c r="ED29" s="267"/>
      <c r="EE29" s="267"/>
      <c r="EF29" s="267"/>
      <c r="EG29" s="267"/>
      <c r="EH29" s="267"/>
      <c r="EI29" s="267"/>
      <c r="EJ29" s="267"/>
      <c r="EK29" s="267"/>
      <c r="EL29" s="267"/>
      <c r="EM29" s="267"/>
      <c r="EN29" s="267"/>
      <c r="EO29" s="267"/>
    </row>
    <row r="30" spans="1:145" x14ac:dyDescent="0.25">
      <c r="A30" s="287" t="s">
        <v>114</v>
      </c>
      <c r="B30" s="253">
        <v>8</v>
      </c>
      <c r="C30" s="253">
        <v>6</v>
      </c>
      <c r="D30" s="283">
        <f t="shared" si="11"/>
        <v>14</v>
      </c>
      <c r="E30" s="253">
        <v>285950</v>
      </c>
      <c r="F30" s="253">
        <v>14</v>
      </c>
      <c r="G30" s="253">
        <v>0</v>
      </c>
      <c r="H30" s="283">
        <f t="shared" si="12"/>
        <v>14</v>
      </c>
      <c r="I30" s="253">
        <v>1002350</v>
      </c>
      <c r="J30" s="283">
        <f t="shared" si="13"/>
        <v>22</v>
      </c>
      <c r="K30" s="283">
        <f t="shared" si="14"/>
        <v>6</v>
      </c>
      <c r="L30" s="283">
        <f t="shared" si="15"/>
        <v>28</v>
      </c>
      <c r="M30" s="283">
        <f t="shared" si="16"/>
        <v>1288300</v>
      </c>
      <c r="N30" s="253">
        <v>15</v>
      </c>
      <c r="O30" s="253">
        <v>6</v>
      </c>
      <c r="P30" s="283">
        <f t="shared" si="17"/>
        <v>21</v>
      </c>
      <c r="Q30" s="253">
        <v>399800</v>
      </c>
      <c r="R30" s="253">
        <v>17</v>
      </c>
      <c r="S30" s="253">
        <v>1</v>
      </c>
      <c r="T30" s="283">
        <f t="shared" si="18"/>
        <v>18</v>
      </c>
      <c r="U30" s="253">
        <v>1000430</v>
      </c>
      <c r="V30" s="283">
        <f t="shared" si="19"/>
        <v>32</v>
      </c>
      <c r="W30" s="283">
        <f t="shared" si="20"/>
        <v>7</v>
      </c>
      <c r="X30" s="283">
        <f t="shared" si="21"/>
        <v>39</v>
      </c>
      <c r="Y30" s="322">
        <f t="shared" si="22"/>
        <v>1400230</v>
      </c>
      <c r="Z30" s="325">
        <v>11</v>
      </c>
      <c r="AA30" s="328">
        <v>8</v>
      </c>
      <c r="AB30" s="267">
        <f t="shared" si="23"/>
        <v>19</v>
      </c>
      <c r="AC30" s="328">
        <v>311100</v>
      </c>
      <c r="AD30" s="328">
        <v>20</v>
      </c>
      <c r="AE30" s="328">
        <v>0</v>
      </c>
      <c r="AF30" s="267">
        <f t="shared" si="2"/>
        <v>20</v>
      </c>
      <c r="AG30" s="328">
        <v>931750</v>
      </c>
      <c r="AH30" s="328">
        <f t="shared" si="3"/>
        <v>31</v>
      </c>
      <c r="AI30" s="328">
        <f t="shared" si="4"/>
        <v>8</v>
      </c>
      <c r="AJ30" s="267">
        <f t="shared" si="5"/>
        <v>39</v>
      </c>
      <c r="AK30" s="329">
        <f t="shared" si="24"/>
        <v>1242850</v>
      </c>
      <c r="AL30" s="330">
        <v>19</v>
      </c>
      <c r="AM30" s="328">
        <v>6</v>
      </c>
      <c r="AN30" s="267">
        <f t="shared" si="6"/>
        <v>25</v>
      </c>
      <c r="AO30" s="328">
        <v>1235350</v>
      </c>
      <c r="AP30" s="328">
        <v>18</v>
      </c>
      <c r="AQ30" s="328">
        <v>0</v>
      </c>
      <c r="AR30" s="328">
        <f t="shared" si="7"/>
        <v>18</v>
      </c>
      <c r="AS30" s="328">
        <v>1000660</v>
      </c>
      <c r="AT30" s="328">
        <f t="shared" si="8"/>
        <v>37</v>
      </c>
      <c r="AU30" s="328">
        <f t="shared" si="9"/>
        <v>6</v>
      </c>
      <c r="AV30" s="328">
        <f t="shared" si="10"/>
        <v>43</v>
      </c>
      <c r="AW30" s="328">
        <f t="shared" si="25"/>
        <v>2236010</v>
      </c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3"/>
      <c r="BK30" s="328"/>
      <c r="BL30" s="267"/>
      <c r="BM30" s="328"/>
      <c r="BN30" s="328"/>
      <c r="BO30" s="328"/>
      <c r="BP30" s="267"/>
      <c r="BQ30" s="328"/>
      <c r="BR30" s="328"/>
      <c r="BS30" s="328"/>
      <c r="BT30" s="267"/>
      <c r="BU30" s="267"/>
      <c r="BV30" s="253"/>
      <c r="BW30" s="328"/>
      <c r="BX30" s="267"/>
      <c r="BY30" s="328"/>
      <c r="BZ30" s="328"/>
      <c r="CA30" s="328"/>
      <c r="CB30" s="267"/>
      <c r="CC30" s="328"/>
      <c r="CD30" s="328"/>
      <c r="CE30" s="328"/>
      <c r="CF30" s="267"/>
      <c r="CG30" s="267"/>
      <c r="CH30" s="253"/>
      <c r="CI30" s="328"/>
      <c r="CJ30" s="267"/>
      <c r="CK30" s="328"/>
      <c r="CL30" s="328"/>
      <c r="CM30" s="328"/>
      <c r="CN30" s="267"/>
      <c r="CO30" s="328"/>
      <c r="CP30" s="328"/>
      <c r="CQ30" s="328"/>
      <c r="CR30" s="267"/>
      <c r="CS30" s="267"/>
      <c r="CT30" s="253"/>
      <c r="CU30" s="328"/>
      <c r="CV30" s="267"/>
      <c r="CW30" s="328"/>
      <c r="CX30" s="328"/>
      <c r="CY30" s="328"/>
      <c r="CZ30" s="267"/>
      <c r="DA30" s="328"/>
      <c r="DB30" s="328"/>
      <c r="DC30" s="328"/>
      <c r="DD30" s="267"/>
      <c r="DE30" s="267"/>
      <c r="DF30" s="328"/>
      <c r="DG30" s="328"/>
      <c r="DH30" s="267"/>
      <c r="DI30" s="328"/>
      <c r="DJ30" s="328"/>
      <c r="DK30" s="328"/>
      <c r="DL30" s="267"/>
      <c r="DM30" s="328"/>
      <c r="DN30" s="328"/>
      <c r="DO30" s="328"/>
      <c r="DP30" s="267"/>
      <c r="DQ30" s="267"/>
      <c r="DR30" s="328"/>
      <c r="DS30" s="328"/>
      <c r="DT30" s="267"/>
      <c r="DU30" s="328"/>
      <c r="DV30" s="328"/>
      <c r="DW30" s="328"/>
      <c r="DX30" s="267"/>
      <c r="DY30" s="328"/>
      <c r="DZ30" s="267"/>
      <c r="EA30" s="267"/>
      <c r="EB30" s="267"/>
      <c r="EC30" s="267"/>
      <c r="ED30" s="267"/>
      <c r="EE30" s="267"/>
      <c r="EF30" s="267"/>
      <c r="EG30" s="267"/>
      <c r="EH30" s="267"/>
      <c r="EI30" s="267"/>
      <c r="EJ30" s="267"/>
      <c r="EK30" s="267"/>
      <c r="EL30" s="267"/>
      <c r="EM30" s="267"/>
      <c r="EN30" s="267"/>
      <c r="EO30" s="267"/>
    </row>
    <row r="31" spans="1:145" x14ac:dyDescent="0.25">
      <c r="A31" s="287" t="s">
        <v>121</v>
      </c>
      <c r="B31" s="253">
        <v>6</v>
      </c>
      <c r="C31" s="253">
        <v>6</v>
      </c>
      <c r="D31" s="283">
        <f t="shared" si="11"/>
        <v>12</v>
      </c>
      <c r="E31" s="253">
        <v>355600</v>
      </c>
      <c r="F31" s="253">
        <v>11</v>
      </c>
      <c r="G31" s="253">
        <v>0</v>
      </c>
      <c r="H31" s="283">
        <f t="shared" si="12"/>
        <v>11</v>
      </c>
      <c r="I31" s="253">
        <v>848850</v>
      </c>
      <c r="J31" s="283">
        <f t="shared" si="13"/>
        <v>17</v>
      </c>
      <c r="K31" s="283">
        <f t="shared" si="14"/>
        <v>6</v>
      </c>
      <c r="L31" s="283">
        <f t="shared" si="15"/>
        <v>23</v>
      </c>
      <c r="M31" s="283">
        <f t="shared" si="16"/>
        <v>1204450</v>
      </c>
      <c r="N31" s="253">
        <v>7</v>
      </c>
      <c r="O31" s="253">
        <v>1</v>
      </c>
      <c r="P31" s="283">
        <f t="shared" si="17"/>
        <v>8</v>
      </c>
      <c r="Q31" s="253">
        <v>372200</v>
      </c>
      <c r="R31" s="253">
        <v>10</v>
      </c>
      <c r="S31" s="253">
        <v>0</v>
      </c>
      <c r="T31" s="283">
        <f t="shared" si="18"/>
        <v>10</v>
      </c>
      <c r="U31" s="253">
        <v>429350</v>
      </c>
      <c r="V31" s="283">
        <f t="shared" si="19"/>
        <v>17</v>
      </c>
      <c r="W31" s="283">
        <f t="shared" si="20"/>
        <v>1</v>
      </c>
      <c r="X31" s="283">
        <f t="shared" si="21"/>
        <v>18</v>
      </c>
      <c r="Y31" s="322">
        <f t="shared" si="22"/>
        <v>801550</v>
      </c>
      <c r="Z31" s="325">
        <v>8</v>
      </c>
      <c r="AA31" s="328">
        <v>6</v>
      </c>
      <c r="AB31" s="267">
        <f t="shared" si="23"/>
        <v>14</v>
      </c>
      <c r="AC31" s="328">
        <v>720066</v>
      </c>
      <c r="AD31" s="328">
        <v>13</v>
      </c>
      <c r="AE31" s="328">
        <v>2</v>
      </c>
      <c r="AF31" s="267">
        <f t="shared" si="2"/>
        <v>15</v>
      </c>
      <c r="AG31" s="328">
        <v>1241840</v>
      </c>
      <c r="AH31" s="328">
        <f t="shared" si="3"/>
        <v>21</v>
      </c>
      <c r="AI31" s="328">
        <f t="shared" si="4"/>
        <v>8</v>
      </c>
      <c r="AJ31" s="267">
        <f t="shared" si="5"/>
        <v>29</v>
      </c>
      <c r="AK31" s="329">
        <f t="shared" si="24"/>
        <v>1961906</v>
      </c>
      <c r="AL31" s="330">
        <v>9</v>
      </c>
      <c r="AM31" s="328">
        <v>5</v>
      </c>
      <c r="AN31" s="267">
        <f t="shared" si="6"/>
        <v>14</v>
      </c>
      <c r="AO31" s="328">
        <v>341600</v>
      </c>
      <c r="AP31" s="328">
        <v>15</v>
      </c>
      <c r="AQ31" s="328">
        <v>0</v>
      </c>
      <c r="AR31" s="328">
        <f t="shared" si="7"/>
        <v>15</v>
      </c>
      <c r="AS31" s="328">
        <v>969850</v>
      </c>
      <c r="AT31" s="328">
        <f t="shared" si="8"/>
        <v>24</v>
      </c>
      <c r="AU31" s="328">
        <f t="shared" si="9"/>
        <v>5</v>
      </c>
      <c r="AV31" s="328">
        <f t="shared" si="10"/>
        <v>29</v>
      </c>
      <c r="AW31" s="328">
        <f t="shared" si="25"/>
        <v>1311450</v>
      </c>
      <c r="AX31" s="253"/>
      <c r="AY31" s="253"/>
      <c r="AZ31" s="253"/>
      <c r="BA31" s="253"/>
      <c r="BB31" s="253"/>
      <c r="BC31" s="253"/>
      <c r="BD31" s="253"/>
      <c r="BE31" s="253"/>
      <c r="BF31" s="253"/>
      <c r="BG31" s="253"/>
      <c r="BH31" s="253"/>
      <c r="BI31" s="253"/>
      <c r="BJ31" s="253"/>
      <c r="BK31" s="328"/>
      <c r="BL31" s="267"/>
      <c r="BM31" s="328"/>
      <c r="BN31" s="328"/>
      <c r="BO31" s="328"/>
      <c r="BP31" s="267"/>
      <c r="BQ31" s="328"/>
      <c r="BR31" s="328"/>
      <c r="BS31" s="328"/>
      <c r="BT31" s="267"/>
      <c r="BU31" s="267"/>
      <c r="BV31" s="253"/>
      <c r="BW31" s="328"/>
      <c r="BX31" s="267"/>
      <c r="BY31" s="328"/>
      <c r="BZ31" s="328"/>
      <c r="CA31" s="328"/>
      <c r="CB31" s="267"/>
      <c r="CC31" s="328"/>
      <c r="CD31" s="328"/>
      <c r="CE31" s="328"/>
      <c r="CF31" s="267"/>
      <c r="CG31" s="267"/>
      <c r="CH31" s="253"/>
      <c r="CI31" s="328"/>
      <c r="CJ31" s="267"/>
      <c r="CK31" s="328"/>
      <c r="CL31" s="328"/>
      <c r="CM31" s="328"/>
      <c r="CN31" s="267"/>
      <c r="CO31" s="328"/>
      <c r="CP31" s="328"/>
      <c r="CQ31" s="328"/>
      <c r="CR31" s="267"/>
      <c r="CS31" s="267"/>
      <c r="CT31" s="253"/>
      <c r="CU31" s="328"/>
      <c r="CV31" s="267"/>
      <c r="CW31" s="328"/>
      <c r="CX31" s="328"/>
      <c r="CY31" s="328"/>
      <c r="CZ31" s="267"/>
      <c r="DA31" s="328"/>
      <c r="DB31" s="328"/>
      <c r="DC31" s="328"/>
      <c r="DD31" s="267"/>
      <c r="DE31" s="267"/>
      <c r="DF31" s="328"/>
      <c r="DG31" s="328"/>
      <c r="DH31" s="267"/>
      <c r="DI31" s="328"/>
      <c r="DJ31" s="328"/>
      <c r="DK31" s="328"/>
      <c r="DL31" s="267"/>
      <c r="DM31" s="328"/>
      <c r="DN31" s="328"/>
      <c r="DO31" s="328"/>
      <c r="DP31" s="267"/>
      <c r="DQ31" s="267"/>
      <c r="DR31" s="328"/>
      <c r="DS31" s="328"/>
      <c r="DT31" s="267"/>
      <c r="DU31" s="328"/>
      <c r="DV31" s="328"/>
      <c r="DW31" s="328"/>
      <c r="DX31" s="267"/>
      <c r="DY31" s="328"/>
      <c r="DZ31" s="267"/>
      <c r="EA31" s="267"/>
      <c r="EB31" s="267"/>
      <c r="EC31" s="267"/>
      <c r="ED31" s="267"/>
      <c r="EE31" s="267"/>
      <c r="EF31" s="267"/>
      <c r="EG31" s="267"/>
      <c r="EH31" s="267"/>
      <c r="EI31" s="267"/>
      <c r="EJ31" s="267"/>
      <c r="EK31" s="267"/>
      <c r="EL31" s="267"/>
      <c r="EM31" s="267"/>
      <c r="EN31" s="267"/>
      <c r="EO31" s="267"/>
    </row>
    <row r="32" spans="1:145" x14ac:dyDescent="0.25">
      <c r="A32" s="287" t="s">
        <v>113</v>
      </c>
      <c r="B32" s="253">
        <v>17</v>
      </c>
      <c r="C32" s="253">
        <v>7</v>
      </c>
      <c r="D32" s="283">
        <f t="shared" si="11"/>
        <v>24</v>
      </c>
      <c r="E32" s="253">
        <v>479600</v>
      </c>
      <c r="F32" s="253">
        <v>19</v>
      </c>
      <c r="G32" s="253">
        <v>1</v>
      </c>
      <c r="H32" s="283">
        <f t="shared" si="12"/>
        <v>20</v>
      </c>
      <c r="I32" s="253">
        <v>817440</v>
      </c>
      <c r="J32" s="283">
        <f t="shared" si="13"/>
        <v>36</v>
      </c>
      <c r="K32" s="283">
        <f t="shared" si="14"/>
        <v>8</v>
      </c>
      <c r="L32" s="283">
        <f t="shared" si="15"/>
        <v>44</v>
      </c>
      <c r="M32" s="283">
        <f t="shared" si="16"/>
        <v>1297040</v>
      </c>
      <c r="N32" s="253">
        <v>17</v>
      </c>
      <c r="O32" s="253">
        <v>15</v>
      </c>
      <c r="P32" s="283">
        <f t="shared" si="17"/>
        <v>32</v>
      </c>
      <c r="Q32" s="253">
        <v>473400</v>
      </c>
      <c r="R32" s="253">
        <v>21</v>
      </c>
      <c r="S32" s="253">
        <v>0</v>
      </c>
      <c r="T32" s="283">
        <f t="shared" si="18"/>
        <v>21</v>
      </c>
      <c r="U32" s="253">
        <v>886090</v>
      </c>
      <c r="V32" s="283">
        <f t="shared" si="19"/>
        <v>38</v>
      </c>
      <c r="W32" s="283">
        <f t="shared" si="20"/>
        <v>15</v>
      </c>
      <c r="X32" s="283">
        <f t="shared" si="21"/>
        <v>53</v>
      </c>
      <c r="Y32" s="322">
        <f t="shared" si="22"/>
        <v>1359490</v>
      </c>
      <c r="Z32" s="325">
        <v>24</v>
      </c>
      <c r="AA32" s="328">
        <v>18</v>
      </c>
      <c r="AB32" s="267">
        <f t="shared" si="23"/>
        <v>42</v>
      </c>
      <c r="AC32" s="328">
        <v>671200</v>
      </c>
      <c r="AD32" s="328">
        <v>18</v>
      </c>
      <c r="AE32" s="328">
        <v>0</v>
      </c>
      <c r="AF32" s="267">
        <f t="shared" si="2"/>
        <v>18</v>
      </c>
      <c r="AG32" s="328">
        <v>694850</v>
      </c>
      <c r="AH32" s="328">
        <f t="shared" si="3"/>
        <v>42</v>
      </c>
      <c r="AI32" s="328">
        <f t="shared" si="4"/>
        <v>18</v>
      </c>
      <c r="AJ32" s="267">
        <f t="shared" si="5"/>
        <v>60</v>
      </c>
      <c r="AK32" s="329">
        <f t="shared" si="24"/>
        <v>1366050</v>
      </c>
      <c r="AL32" s="330">
        <v>18</v>
      </c>
      <c r="AM32" s="328">
        <v>15</v>
      </c>
      <c r="AN32" s="267">
        <f t="shared" si="6"/>
        <v>33</v>
      </c>
      <c r="AO32" s="328">
        <v>558717</v>
      </c>
      <c r="AP32" s="328">
        <v>24</v>
      </c>
      <c r="AQ32" s="328">
        <v>0</v>
      </c>
      <c r="AR32" s="328">
        <f t="shared" si="7"/>
        <v>24</v>
      </c>
      <c r="AS32" s="328">
        <v>967850</v>
      </c>
      <c r="AT32" s="328">
        <f t="shared" si="8"/>
        <v>42</v>
      </c>
      <c r="AU32" s="328">
        <f t="shared" si="9"/>
        <v>15</v>
      </c>
      <c r="AV32" s="328">
        <f t="shared" si="10"/>
        <v>57</v>
      </c>
      <c r="AW32" s="328">
        <f t="shared" si="25"/>
        <v>1526567</v>
      </c>
      <c r="AX32" s="253"/>
      <c r="AY32" s="253"/>
      <c r="AZ32" s="253"/>
      <c r="BA32" s="253"/>
      <c r="BB32" s="253"/>
      <c r="BC32" s="253"/>
      <c r="BD32" s="253"/>
      <c r="BE32" s="253"/>
      <c r="BF32" s="253"/>
      <c r="BG32" s="253"/>
      <c r="BH32" s="253"/>
      <c r="BI32" s="253"/>
      <c r="BJ32" s="253"/>
      <c r="BK32" s="328"/>
      <c r="BL32" s="267"/>
      <c r="BM32" s="328"/>
      <c r="BN32" s="328"/>
      <c r="BO32" s="328"/>
      <c r="BP32" s="267"/>
      <c r="BQ32" s="328"/>
      <c r="BR32" s="328"/>
      <c r="BS32" s="328"/>
      <c r="BT32" s="267"/>
      <c r="BU32" s="267"/>
      <c r="BV32" s="253"/>
      <c r="BW32" s="328"/>
      <c r="BX32" s="267"/>
      <c r="BY32" s="328"/>
      <c r="BZ32" s="328"/>
      <c r="CA32" s="328"/>
      <c r="CB32" s="267"/>
      <c r="CC32" s="328"/>
      <c r="CD32" s="328"/>
      <c r="CE32" s="328"/>
      <c r="CF32" s="267"/>
      <c r="CG32" s="267"/>
      <c r="CH32" s="253"/>
      <c r="CI32" s="328"/>
      <c r="CJ32" s="267"/>
      <c r="CK32" s="328"/>
      <c r="CL32" s="328"/>
      <c r="CM32" s="328"/>
      <c r="CN32" s="267"/>
      <c r="CO32" s="328"/>
      <c r="CP32" s="328"/>
      <c r="CQ32" s="328"/>
      <c r="CR32" s="267"/>
      <c r="CS32" s="267"/>
      <c r="CT32" s="253"/>
      <c r="CU32" s="328"/>
      <c r="CV32" s="267"/>
      <c r="CW32" s="328"/>
      <c r="CX32" s="328"/>
      <c r="CY32" s="328"/>
      <c r="CZ32" s="267"/>
      <c r="DA32" s="328"/>
      <c r="DB32" s="328"/>
      <c r="DC32" s="328"/>
      <c r="DD32" s="267"/>
      <c r="DE32" s="267"/>
      <c r="DF32" s="328"/>
      <c r="DG32" s="328"/>
      <c r="DH32" s="267"/>
      <c r="DI32" s="328"/>
      <c r="DJ32" s="328"/>
      <c r="DK32" s="328"/>
      <c r="DL32" s="267"/>
      <c r="DM32" s="328"/>
      <c r="DN32" s="328"/>
      <c r="DO32" s="328"/>
      <c r="DP32" s="267"/>
      <c r="DQ32" s="267"/>
      <c r="DR32" s="328"/>
      <c r="DS32" s="328"/>
      <c r="DT32" s="267"/>
      <c r="DU32" s="328"/>
      <c r="DV32" s="328"/>
      <c r="DW32" s="328"/>
      <c r="DX32" s="267"/>
      <c r="DY32" s="328"/>
      <c r="DZ32" s="267"/>
      <c r="EA32" s="267"/>
      <c r="EB32" s="267"/>
      <c r="EC32" s="267"/>
      <c r="ED32" s="267"/>
      <c r="EE32" s="267"/>
      <c r="EF32" s="267"/>
      <c r="EG32" s="267"/>
      <c r="EH32" s="267"/>
      <c r="EI32" s="267"/>
      <c r="EJ32" s="267"/>
      <c r="EK32" s="267"/>
      <c r="EL32" s="267"/>
      <c r="EM32" s="267"/>
      <c r="EN32" s="267"/>
      <c r="EO32" s="267"/>
    </row>
    <row r="33" spans="1:145" x14ac:dyDescent="0.25">
      <c r="A33" s="287" t="s">
        <v>103</v>
      </c>
      <c r="B33" s="253">
        <v>21</v>
      </c>
      <c r="C33" s="253">
        <v>31</v>
      </c>
      <c r="D33" s="283">
        <f t="shared" si="11"/>
        <v>52</v>
      </c>
      <c r="E33" s="253">
        <v>105665</v>
      </c>
      <c r="F33" s="253">
        <v>2</v>
      </c>
      <c r="G33" s="253">
        <v>0</v>
      </c>
      <c r="H33" s="283">
        <f t="shared" si="12"/>
        <v>2</v>
      </c>
      <c r="I33" s="253">
        <v>7700</v>
      </c>
      <c r="J33" s="283">
        <f t="shared" si="13"/>
        <v>23</v>
      </c>
      <c r="K33" s="283">
        <f t="shared" si="14"/>
        <v>31</v>
      </c>
      <c r="L33" s="283">
        <f t="shared" si="15"/>
        <v>54</v>
      </c>
      <c r="M33" s="283">
        <f t="shared" si="16"/>
        <v>113365</v>
      </c>
      <c r="N33" s="253">
        <v>25</v>
      </c>
      <c r="O33" s="253">
        <v>34</v>
      </c>
      <c r="P33" s="283">
        <f t="shared" si="17"/>
        <v>59</v>
      </c>
      <c r="Q33" s="253">
        <v>140200</v>
      </c>
      <c r="R33" s="253">
        <v>2</v>
      </c>
      <c r="S33" s="253">
        <v>0</v>
      </c>
      <c r="T33" s="283">
        <f t="shared" si="18"/>
        <v>2</v>
      </c>
      <c r="U33" s="253">
        <v>0</v>
      </c>
      <c r="V33" s="283">
        <f t="shared" si="19"/>
        <v>27</v>
      </c>
      <c r="W33" s="283">
        <f t="shared" si="20"/>
        <v>34</v>
      </c>
      <c r="X33" s="283">
        <f t="shared" si="21"/>
        <v>61</v>
      </c>
      <c r="Y33" s="322">
        <f t="shared" si="22"/>
        <v>140200</v>
      </c>
      <c r="Z33" s="325">
        <v>23</v>
      </c>
      <c r="AA33" s="328">
        <v>23</v>
      </c>
      <c r="AB33" s="267">
        <f t="shared" si="23"/>
        <v>46</v>
      </c>
      <c r="AC33" s="328">
        <v>86500</v>
      </c>
      <c r="AD33" s="328">
        <v>2</v>
      </c>
      <c r="AE33" s="328">
        <v>0</v>
      </c>
      <c r="AF33" s="267">
        <f t="shared" si="2"/>
        <v>2</v>
      </c>
      <c r="AG33" s="328">
        <v>0</v>
      </c>
      <c r="AH33" s="328">
        <f t="shared" si="3"/>
        <v>25</v>
      </c>
      <c r="AI33" s="328">
        <f t="shared" si="4"/>
        <v>23</v>
      </c>
      <c r="AJ33" s="267">
        <f t="shared" si="5"/>
        <v>48</v>
      </c>
      <c r="AK33" s="329">
        <f t="shared" si="24"/>
        <v>86500</v>
      </c>
      <c r="AL33" s="330">
        <v>19</v>
      </c>
      <c r="AM33" s="328">
        <v>35</v>
      </c>
      <c r="AN33" s="267">
        <f t="shared" si="6"/>
        <v>54</v>
      </c>
      <c r="AO33" s="328">
        <v>130900</v>
      </c>
      <c r="AP33" s="328">
        <v>0</v>
      </c>
      <c r="AQ33" s="328">
        <v>0</v>
      </c>
      <c r="AR33" s="328">
        <f t="shared" si="7"/>
        <v>0</v>
      </c>
      <c r="AS33" s="328">
        <v>0</v>
      </c>
      <c r="AT33" s="328">
        <f t="shared" si="8"/>
        <v>19</v>
      </c>
      <c r="AU33" s="328">
        <f t="shared" si="9"/>
        <v>35</v>
      </c>
      <c r="AV33" s="328">
        <f t="shared" si="10"/>
        <v>54</v>
      </c>
      <c r="AW33" s="328">
        <f t="shared" si="25"/>
        <v>130900</v>
      </c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3"/>
      <c r="BK33" s="328"/>
      <c r="BL33" s="267"/>
      <c r="BM33" s="328"/>
      <c r="BN33" s="328"/>
      <c r="BO33" s="328"/>
      <c r="BP33" s="267"/>
      <c r="BQ33" s="328"/>
      <c r="BR33" s="328"/>
      <c r="BS33" s="328"/>
      <c r="BT33" s="267"/>
      <c r="BU33" s="267"/>
      <c r="BV33" s="253"/>
      <c r="BW33" s="328"/>
      <c r="BX33" s="267"/>
      <c r="BY33" s="328"/>
      <c r="BZ33" s="328"/>
      <c r="CA33" s="328"/>
      <c r="CB33" s="267"/>
      <c r="CC33" s="328"/>
      <c r="CD33" s="328"/>
      <c r="CE33" s="328"/>
      <c r="CF33" s="267"/>
      <c r="CG33" s="267"/>
      <c r="CH33" s="253"/>
      <c r="CI33" s="328"/>
      <c r="CJ33" s="267"/>
      <c r="CK33" s="328"/>
      <c r="CL33" s="328"/>
      <c r="CM33" s="328"/>
      <c r="CN33" s="267"/>
      <c r="CO33" s="328"/>
      <c r="CP33" s="328"/>
      <c r="CQ33" s="328"/>
      <c r="CR33" s="267"/>
      <c r="CS33" s="267"/>
      <c r="CT33" s="253"/>
      <c r="CU33" s="328"/>
      <c r="CV33" s="267"/>
      <c r="CW33" s="328"/>
      <c r="CX33" s="328"/>
      <c r="CY33" s="328"/>
      <c r="CZ33" s="267"/>
      <c r="DA33" s="328"/>
      <c r="DB33" s="328"/>
      <c r="DC33" s="328"/>
      <c r="DD33" s="267"/>
      <c r="DE33" s="267"/>
      <c r="DF33" s="328"/>
      <c r="DG33" s="328"/>
      <c r="DH33" s="267"/>
      <c r="DI33" s="328"/>
      <c r="DJ33" s="328"/>
      <c r="DK33" s="328"/>
      <c r="DL33" s="267"/>
      <c r="DM33" s="328"/>
      <c r="DN33" s="328"/>
      <c r="DO33" s="328"/>
      <c r="DP33" s="267"/>
      <c r="DQ33" s="267"/>
      <c r="DR33" s="328"/>
      <c r="DS33" s="328"/>
      <c r="DT33" s="267"/>
      <c r="DU33" s="328"/>
      <c r="DV33" s="328"/>
      <c r="DW33" s="328"/>
      <c r="DX33" s="267"/>
      <c r="DY33" s="328"/>
      <c r="DZ33" s="267"/>
      <c r="EA33" s="267"/>
      <c r="EB33" s="267"/>
      <c r="EC33" s="267"/>
      <c r="ED33" s="267"/>
      <c r="EE33" s="267"/>
      <c r="EF33" s="267"/>
      <c r="EG33" s="267"/>
      <c r="EH33" s="267"/>
      <c r="EI33" s="267"/>
      <c r="EJ33" s="267"/>
      <c r="EK33" s="267"/>
      <c r="EL33" s="267"/>
      <c r="EM33" s="267"/>
      <c r="EN33" s="267"/>
      <c r="EO33" s="267"/>
    </row>
    <row r="34" spans="1:145" x14ac:dyDescent="0.25">
      <c r="A34" s="331" t="s">
        <v>144</v>
      </c>
      <c r="B34" s="253">
        <v>0</v>
      </c>
      <c r="C34" s="253">
        <v>0</v>
      </c>
      <c r="D34" s="283">
        <v>0</v>
      </c>
      <c r="E34" s="253">
        <v>0</v>
      </c>
      <c r="F34" s="253">
        <v>0</v>
      </c>
      <c r="G34" s="253">
        <v>0</v>
      </c>
      <c r="H34" s="283">
        <v>0</v>
      </c>
      <c r="I34" s="253">
        <v>0</v>
      </c>
      <c r="J34" s="283">
        <v>0</v>
      </c>
      <c r="K34" s="283">
        <v>0</v>
      </c>
      <c r="L34" s="283">
        <v>0</v>
      </c>
      <c r="M34" s="283">
        <v>0</v>
      </c>
      <c r="N34" s="253">
        <v>0</v>
      </c>
      <c r="O34" s="253">
        <v>0</v>
      </c>
      <c r="P34" s="283">
        <v>0</v>
      </c>
      <c r="Q34" s="253">
        <v>0</v>
      </c>
      <c r="R34" s="253">
        <v>0</v>
      </c>
      <c r="S34" s="253">
        <v>0</v>
      </c>
      <c r="T34" s="283">
        <v>0</v>
      </c>
      <c r="U34" s="253">
        <v>0</v>
      </c>
      <c r="V34" s="283">
        <v>0</v>
      </c>
      <c r="W34" s="283">
        <v>0</v>
      </c>
      <c r="X34" s="283">
        <v>0</v>
      </c>
      <c r="Y34" s="322">
        <v>0</v>
      </c>
      <c r="Z34" s="325">
        <v>19</v>
      </c>
      <c r="AA34" s="328">
        <v>10</v>
      </c>
      <c r="AB34" s="267">
        <f t="shared" si="23"/>
        <v>29</v>
      </c>
      <c r="AC34" s="328">
        <v>925150</v>
      </c>
      <c r="AD34" s="328">
        <v>4</v>
      </c>
      <c r="AE34" s="328">
        <v>0</v>
      </c>
      <c r="AF34" s="267">
        <f t="shared" si="2"/>
        <v>4</v>
      </c>
      <c r="AG34" s="328">
        <v>127600</v>
      </c>
      <c r="AH34" s="328">
        <f t="shared" si="3"/>
        <v>23</v>
      </c>
      <c r="AI34" s="328">
        <f t="shared" si="4"/>
        <v>10</v>
      </c>
      <c r="AJ34" s="267">
        <f t="shared" si="5"/>
        <v>33</v>
      </c>
      <c r="AK34" s="329">
        <f t="shared" si="24"/>
        <v>1052750</v>
      </c>
      <c r="AL34" s="330">
        <v>12</v>
      </c>
      <c r="AM34" s="328">
        <v>13</v>
      </c>
      <c r="AN34" s="267">
        <f t="shared" si="6"/>
        <v>25</v>
      </c>
      <c r="AO34" s="328">
        <v>752300</v>
      </c>
      <c r="AP34" s="328">
        <v>15</v>
      </c>
      <c r="AQ34" s="328">
        <v>4</v>
      </c>
      <c r="AR34" s="328">
        <f t="shared" si="7"/>
        <v>19</v>
      </c>
      <c r="AS34" s="328">
        <v>1258101</v>
      </c>
      <c r="AT34" s="328">
        <f t="shared" si="8"/>
        <v>27</v>
      </c>
      <c r="AU34" s="328">
        <f t="shared" si="9"/>
        <v>17</v>
      </c>
      <c r="AV34" s="328">
        <f t="shared" si="10"/>
        <v>44</v>
      </c>
      <c r="AW34" s="328">
        <f t="shared" si="25"/>
        <v>2010401</v>
      </c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3"/>
      <c r="BK34" s="328"/>
      <c r="BL34" s="267"/>
      <c r="BM34" s="328"/>
      <c r="BN34" s="328"/>
      <c r="BO34" s="328"/>
      <c r="BP34" s="267"/>
      <c r="BQ34" s="328"/>
      <c r="BR34" s="328"/>
      <c r="BS34" s="328"/>
      <c r="BT34" s="267"/>
      <c r="BU34" s="267"/>
      <c r="BV34" s="253"/>
      <c r="BW34" s="328"/>
      <c r="BX34" s="267"/>
      <c r="BY34" s="328"/>
      <c r="BZ34" s="328"/>
      <c r="CA34" s="328"/>
      <c r="CB34" s="267"/>
      <c r="CC34" s="328"/>
      <c r="CD34" s="328"/>
      <c r="CE34" s="328"/>
      <c r="CF34" s="267"/>
      <c r="CG34" s="267"/>
      <c r="CH34" s="253"/>
      <c r="CI34" s="328"/>
      <c r="CJ34" s="267"/>
      <c r="CK34" s="328"/>
      <c r="CL34" s="328"/>
      <c r="CM34" s="328"/>
      <c r="CN34" s="267"/>
      <c r="CO34" s="328"/>
      <c r="CP34" s="328"/>
      <c r="CQ34" s="328"/>
      <c r="CR34" s="267"/>
      <c r="CS34" s="267"/>
      <c r="CT34" s="253"/>
      <c r="CU34" s="328"/>
      <c r="CV34" s="267"/>
      <c r="CW34" s="328"/>
      <c r="CX34" s="328"/>
      <c r="CY34" s="328"/>
      <c r="CZ34" s="267"/>
      <c r="DA34" s="328"/>
      <c r="DB34" s="328"/>
      <c r="DC34" s="328"/>
      <c r="DD34" s="267"/>
      <c r="DE34" s="267"/>
      <c r="DF34" s="328"/>
      <c r="DG34" s="328"/>
      <c r="DH34" s="267"/>
      <c r="DI34" s="328"/>
      <c r="DJ34" s="328"/>
      <c r="DK34" s="328"/>
      <c r="DL34" s="267"/>
      <c r="DM34" s="328"/>
      <c r="DN34" s="328"/>
      <c r="DO34" s="328"/>
      <c r="DP34" s="267"/>
      <c r="DQ34" s="267"/>
      <c r="DR34" s="328"/>
      <c r="DS34" s="328"/>
      <c r="DT34" s="267"/>
      <c r="DU34" s="328"/>
      <c r="DV34" s="328"/>
      <c r="DW34" s="328"/>
      <c r="DX34" s="267"/>
      <c r="DY34" s="328"/>
      <c r="DZ34" s="267"/>
      <c r="EA34" s="267"/>
      <c r="EB34" s="267"/>
      <c r="EC34" s="267"/>
      <c r="ED34" s="267"/>
      <c r="EE34" s="267"/>
      <c r="EF34" s="267"/>
      <c r="EG34" s="267"/>
      <c r="EH34" s="267"/>
      <c r="EI34" s="267"/>
      <c r="EJ34" s="267"/>
      <c r="EK34" s="267"/>
      <c r="EL34" s="267"/>
      <c r="EM34" s="267"/>
      <c r="EN34" s="267"/>
      <c r="EO34" s="267"/>
    </row>
    <row r="35" spans="1:145" x14ac:dyDescent="0.25">
      <c r="A35" s="331" t="s">
        <v>145</v>
      </c>
      <c r="B35" s="253">
        <v>0</v>
      </c>
      <c r="C35" s="253">
        <v>0</v>
      </c>
      <c r="D35" s="283">
        <v>0</v>
      </c>
      <c r="E35" s="253">
        <v>0</v>
      </c>
      <c r="F35" s="253">
        <v>0</v>
      </c>
      <c r="G35" s="253">
        <v>0</v>
      </c>
      <c r="H35" s="283">
        <v>0</v>
      </c>
      <c r="I35" s="253">
        <v>0</v>
      </c>
      <c r="J35" s="283">
        <v>0</v>
      </c>
      <c r="K35" s="283">
        <v>0</v>
      </c>
      <c r="L35" s="283">
        <v>0</v>
      </c>
      <c r="M35" s="283">
        <v>0</v>
      </c>
      <c r="N35" s="253">
        <v>0</v>
      </c>
      <c r="O35" s="253">
        <v>0</v>
      </c>
      <c r="P35" s="283">
        <v>0</v>
      </c>
      <c r="Q35" s="253">
        <v>0</v>
      </c>
      <c r="R35" s="253">
        <v>0</v>
      </c>
      <c r="S35" s="253">
        <v>0</v>
      </c>
      <c r="T35" s="283">
        <v>0</v>
      </c>
      <c r="U35" s="253">
        <v>0</v>
      </c>
      <c r="V35" s="283">
        <v>0</v>
      </c>
      <c r="W35" s="283">
        <v>0</v>
      </c>
      <c r="X35" s="283">
        <v>0</v>
      </c>
      <c r="Y35" s="322">
        <v>0</v>
      </c>
      <c r="Z35" s="325">
        <v>0</v>
      </c>
      <c r="AA35" s="328">
        <v>3</v>
      </c>
      <c r="AB35" s="267">
        <f t="shared" si="23"/>
        <v>3</v>
      </c>
      <c r="AC35" s="328">
        <v>3600</v>
      </c>
      <c r="AD35" s="328">
        <v>0</v>
      </c>
      <c r="AE35" s="328">
        <v>0</v>
      </c>
      <c r="AF35" s="267">
        <f t="shared" si="2"/>
        <v>0</v>
      </c>
      <c r="AG35" s="328">
        <v>0</v>
      </c>
      <c r="AH35" s="328">
        <f t="shared" si="3"/>
        <v>0</v>
      </c>
      <c r="AI35" s="328">
        <f t="shared" si="4"/>
        <v>3</v>
      </c>
      <c r="AJ35" s="267">
        <f t="shared" si="5"/>
        <v>3</v>
      </c>
      <c r="AK35" s="329">
        <f t="shared" si="24"/>
        <v>3600</v>
      </c>
      <c r="AL35" s="330">
        <v>4</v>
      </c>
      <c r="AM35" s="328">
        <v>2</v>
      </c>
      <c r="AN35" s="267">
        <f t="shared" si="6"/>
        <v>6</v>
      </c>
      <c r="AO35" s="328">
        <v>82800</v>
      </c>
      <c r="AP35" s="328">
        <v>0</v>
      </c>
      <c r="AQ35" s="328">
        <v>0</v>
      </c>
      <c r="AR35" s="328">
        <f t="shared" si="7"/>
        <v>0</v>
      </c>
      <c r="AS35" s="328">
        <v>0</v>
      </c>
      <c r="AT35" s="328">
        <f t="shared" si="8"/>
        <v>4</v>
      </c>
      <c r="AU35" s="328">
        <f t="shared" si="9"/>
        <v>2</v>
      </c>
      <c r="AV35" s="328">
        <f t="shared" si="10"/>
        <v>6</v>
      </c>
      <c r="AW35" s="328">
        <f t="shared" si="25"/>
        <v>82800</v>
      </c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3"/>
      <c r="BK35" s="328"/>
      <c r="BL35" s="267"/>
      <c r="BM35" s="328"/>
      <c r="BN35" s="328"/>
      <c r="BO35" s="328"/>
      <c r="BP35" s="267"/>
      <c r="BQ35" s="328"/>
      <c r="BR35" s="328"/>
      <c r="BS35" s="328"/>
      <c r="BT35" s="267"/>
      <c r="BU35" s="267"/>
      <c r="BV35" s="253"/>
      <c r="BW35" s="328"/>
      <c r="BX35" s="267"/>
      <c r="BY35" s="328"/>
      <c r="BZ35" s="328"/>
      <c r="CA35" s="328"/>
      <c r="CB35" s="267"/>
      <c r="CC35" s="328"/>
      <c r="CD35" s="328"/>
      <c r="CE35" s="328"/>
      <c r="CF35" s="267"/>
      <c r="CG35" s="267"/>
      <c r="CH35" s="253"/>
      <c r="CI35" s="328"/>
      <c r="CJ35" s="267"/>
      <c r="CK35" s="328"/>
      <c r="CL35" s="328"/>
      <c r="CM35" s="328"/>
      <c r="CN35" s="267"/>
      <c r="CO35" s="328"/>
      <c r="CP35" s="328"/>
      <c r="CQ35" s="328"/>
      <c r="CR35" s="267"/>
      <c r="CS35" s="267"/>
      <c r="CT35" s="253"/>
      <c r="CU35" s="328"/>
      <c r="CV35" s="267"/>
      <c r="CW35" s="328"/>
      <c r="CX35" s="328"/>
      <c r="CY35" s="328"/>
      <c r="CZ35" s="267"/>
      <c r="DA35" s="328"/>
      <c r="DB35" s="328"/>
      <c r="DC35" s="328"/>
      <c r="DD35" s="267"/>
      <c r="DE35" s="267"/>
      <c r="DF35" s="328"/>
      <c r="DG35" s="328"/>
      <c r="DH35" s="267"/>
      <c r="DI35" s="328"/>
      <c r="DJ35" s="328"/>
      <c r="DK35" s="328"/>
      <c r="DL35" s="267"/>
      <c r="DM35" s="328"/>
      <c r="DN35" s="328"/>
      <c r="DO35" s="328"/>
      <c r="DP35" s="267"/>
      <c r="DQ35" s="267"/>
      <c r="DR35" s="328"/>
      <c r="DS35" s="328"/>
      <c r="DT35" s="267"/>
      <c r="DU35" s="328"/>
      <c r="DV35" s="328"/>
      <c r="DW35" s="328"/>
      <c r="DX35" s="267"/>
      <c r="DY35" s="328"/>
      <c r="DZ35" s="267"/>
      <c r="EA35" s="267"/>
      <c r="EB35" s="267"/>
      <c r="EC35" s="267"/>
      <c r="ED35" s="267"/>
      <c r="EE35" s="267"/>
      <c r="EF35" s="267"/>
      <c r="EG35" s="267"/>
      <c r="EH35" s="267"/>
      <c r="EI35" s="267"/>
      <c r="EJ35" s="267"/>
      <c r="EK35" s="267"/>
      <c r="EL35" s="267"/>
      <c r="EM35" s="267"/>
      <c r="EN35" s="267"/>
      <c r="EO35" s="267"/>
    </row>
    <row r="36" spans="1:145" x14ac:dyDescent="0.25">
      <c r="A36" s="279" t="s">
        <v>14</v>
      </c>
      <c r="B36" s="277">
        <f>SUM(B4:B35)</f>
        <v>448</v>
      </c>
      <c r="C36" s="277">
        <f t="shared" ref="C36:AK36" si="26">SUM(C4:C35)</f>
        <v>411</v>
      </c>
      <c r="D36" s="277">
        <f t="shared" si="26"/>
        <v>859</v>
      </c>
      <c r="E36" s="277">
        <f t="shared" si="26"/>
        <v>21474468</v>
      </c>
      <c r="F36" s="277">
        <f t="shared" si="26"/>
        <v>651</v>
      </c>
      <c r="G36" s="277">
        <f t="shared" si="26"/>
        <v>20</v>
      </c>
      <c r="H36" s="277">
        <f t="shared" si="26"/>
        <v>671</v>
      </c>
      <c r="I36" s="277">
        <f t="shared" si="26"/>
        <v>50866103</v>
      </c>
      <c r="J36" s="277">
        <f t="shared" si="26"/>
        <v>1099</v>
      </c>
      <c r="K36" s="277">
        <f t="shared" si="26"/>
        <v>431</v>
      </c>
      <c r="L36" s="277">
        <f t="shared" si="26"/>
        <v>1530</v>
      </c>
      <c r="M36" s="277">
        <f t="shared" si="26"/>
        <v>72340571</v>
      </c>
      <c r="N36" s="277">
        <f t="shared" si="26"/>
        <v>464</v>
      </c>
      <c r="O36" s="277">
        <f t="shared" si="26"/>
        <v>426</v>
      </c>
      <c r="P36" s="277">
        <f t="shared" si="26"/>
        <v>890</v>
      </c>
      <c r="Q36" s="277">
        <f t="shared" si="26"/>
        <v>18556103</v>
      </c>
      <c r="R36" s="277">
        <f t="shared" si="26"/>
        <v>696</v>
      </c>
      <c r="S36" s="277">
        <f t="shared" si="26"/>
        <v>32</v>
      </c>
      <c r="T36" s="277">
        <f t="shared" si="26"/>
        <v>728</v>
      </c>
      <c r="U36" s="277">
        <f t="shared" si="26"/>
        <v>50359767</v>
      </c>
      <c r="V36" s="277">
        <f t="shared" si="26"/>
        <v>1160</v>
      </c>
      <c r="W36" s="277">
        <f t="shared" si="26"/>
        <v>458</v>
      </c>
      <c r="X36" s="277">
        <f t="shared" si="26"/>
        <v>1618</v>
      </c>
      <c r="Y36" s="277">
        <f t="shared" si="26"/>
        <v>68915870</v>
      </c>
      <c r="Z36" s="277">
        <f t="shared" si="26"/>
        <v>573</v>
      </c>
      <c r="AA36" s="277">
        <f t="shared" si="26"/>
        <v>380</v>
      </c>
      <c r="AB36" s="277">
        <f t="shared" si="26"/>
        <v>953</v>
      </c>
      <c r="AC36" s="277">
        <f t="shared" si="26"/>
        <v>24027038</v>
      </c>
      <c r="AD36" s="277">
        <f t="shared" si="26"/>
        <v>765</v>
      </c>
      <c r="AE36" s="277">
        <f t="shared" si="26"/>
        <v>22</v>
      </c>
      <c r="AF36" s="277">
        <f t="shared" si="26"/>
        <v>787</v>
      </c>
      <c r="AG36" s="277">
        <f t="shared" si="26"/>
        <v>56617284</v>
      </c>
      <c r="AH36" s="277">
        <f t="shared" si="26"/>
        <v>1338</v>
      </c>
      <c r="AI36" s="277">
        <f t="shared" si="26"/>
        <v>402</v>
      </c>
      <c r="AJ36" s="277">
        <f t="shared" si="26"/>
        <v>1740</v>
      </c>
      <c r="AK36" s="277">
        <f t="shared" si="26"/>
        <v>80644322</v>
      </c>
      <c r="AL36" s="288">
        <f t="shared" ref="AL36:BN36" si="27">SUM(AL4:AL35)</f>
        <v>565</v>
      </c>
      <c r="AM36" s="277">
        <f t="shared" si="27"/>
        <v>400</v>
      </c>
      <c r="AN36" s="277">
        <f t="shared" si="27"/>
        <v>965</v>
      </c>
      <c r="AO36" s="277">
        <f t="shared" si="27"/>
        <v>27852750</v>
      </c>
      <c r="AP36" s="277">
        <f t="shared" si="27"/>
        <v>813</v>
      </c>
      <c r="AQ36" s="277">
        <f t="shared" si="27"/>
        <v>22</v>
      </c>
      <c r="AR36" s="277">
        <f t="shared" si="27"/>
        <v>835</v>
      </c>
      <c r="AS36" s="277">
        <f t="shared" si="27"/>
        <v>54402468</v>
      </c>
      <c r="AT36" s="277">
        <f t="shared" si="27"/>
        <v>1378</v>
      </c>
      <c r="AU36" s="277">
        <f t="shared" si="27"/>
        <v>422</v>
      </c>
      <c r="AV36" s="277">
        <f t="shared" si="27"/>
        <v>1800</v>
      </c>
      <c r="AW36" s="277">
        <f t="shared" si="27"/>
        <v>82255218</v>
      </c>
      <c r="AX36" s="277">
        <f t="shared" si="27"/>
        <v>0</v>
      </c>
      <c r="AY36" s="277">
        <f t="shared" si="27"/>
        <v>0</v>
      </c>
      <c r="AZ36" s="277">
        <f t="shared" si="27"/>
        <v>0</v>
      </c>
      <c r="BA36" s="277">
        <f t="shared" si="27"/>
        <v>0</v>
      </c>
      <c r="BB36" s="277">
        <f t="shared" si="27"/>
        <v>0</v>
      </c>
      <c r="BC36" s="277">
        <f t="shared" si="27"/>
        <v>0</v>
      </c>
      <c r="BD36" s="277">
        <f t="shared" si="27"/>
        <v>0</v>
      </c>
      <c r="BE36" s="277">
        <f t="shared" si="27"/>
        <v>0</v>
      </c>
      <c r="BF36" s="277">
        <f t="shared" si="27"/>
        <v>0</v>
      </c>
      <c r="BG36" s="277">
        <f t="shared" si="27"/>
        <v>0</v>
      </c>
      <c r="BH36" s="277">
        <f t="shared" si="27"/>
        <v>0</v>
      </c>
      <c r="BI36" s="277">
        <f t="shared" si="27"/>
        <v>0</v>
      </c>
      <c r="BJ36" s="277">
        <f t="shared" si="27"/>
        <v>0</v>
      </c>
      <c r="BK36" s="277">
        <f t="shared" si="27"/>
        <v>0</v>
      </c>
      <c r="BL36" s="277">
        <f t="shared" si="27"/>
        <v>0</v>
      </c>
      <c r="BM36" s="277">
        <f t="shared" si="27"/>
        <v>0</v>
      </c>
      <c r="BN36" s="277">
        <f t="shared" si="27"/>
        <v>0</v>
      </c>
      <c r="BO36" s="277">
        <f t="shared" ref="BO36:DZ36" si="28">SUM(BO4:BO35)</f>
        <v>0</v>
      </c>
      <c r="BP36" s="277">
        <f t="shared" si="28"/>
        <v>0</v>
      </c>
      <c r="BQ36" s="277">
        <f t="shared" si="28"/>
        <v>0</v>
      </c>
      <c r="BR36" s="277">
        <f t="shared" si="28"/>
        <v>0</v>
      </c>
      <c r="BS36" s="277">
        <f t="shared" si="28"/>
        <v>0</v>
      </c>
      <c r="BT36" s="277">
        <f t="shared" si="28"/>
        <v>0</v>
      </c>
      <c r="BU36" s="277">
        <f t="shared" si="28"/>
        <v>0</v>
      </c>
      <c r="BV36" s="277">
        <f t="shared" si="28"/>
        <v>0</v>
      </c>
      <c r="BW36" s="277">
        <f t="shared" si="28"/>
        <v>0</v>
      </c>
      <c r="BX36" s="277">
        <f t="shared" si="28"/>
        <v>0</v>
      </c>
      <c r="BY36" s="277">
        <f t="shared" si="28"/>
        <v>0</v>
      </c>
      <c r="BZ36" s="277">
        <f t="shared" si="28"/>
        <v>0</v>
      </c>
      <c r="CA36" s="277">
        <f t="shared" si="28"/>
        <v>0</v>
      </c>
      <c r="CB36" s="277">
        <f t="shared" si="28"/>
        <v>0</v>
      </c>
      <c r="CC36" s="277">
        <f t="shared" si="28"/>
        <v>0</v>
      </c>
      <c r="CD36" s="277">
        <f t="shared" si="28"/>
        <v>0</v>
      </c>
      <c r="CE36" s="277">
        <f t="shared" si="28"/>
        <v>0</v>
      </c>
      <c r="CF36" s="277">
        <f t="shared" si="28"/>
        <v>0</v>
      </c>
      <c r="CG36" s="277">
        <f t="shared" si="28"/>
        <v>0</v>
      </c>
      <c r="CH36" s="277">
        <f t="shared" si="28"/>
        <v>0</v>
      </c>
      <c r="CI36" s="277">
        <f t="shared" si="28"/>
        <v>0</v>
      </c>
      <c r="CJ36" s="277">
        <f t="shared" si="28"/>
        <v>0</v>
      </c>
      <c r="CK36" s="277">
        <f t="shared" si="28"/>
        <v>0</v>
      </c>
      <c r="CL36" s="277">
        <f t="shared" si="28"/>
        <v>0</v>
      </c>
      <c r="CM36" s="277">
        <f t="shared" si="28"/>
        <v>0</v>
      </c>
      <c r="CN36" s="277">
        <f t="shared" si="28"/>
        <v>0</v>
      </c>
      <c r="CO36" s="277">
        <f t="shared" si="28"/>
        <v>0</v>
      </c>
      <c r="CP36" s="277">
        <f t="shared" si="28"/>
        <v>0</v>
      </c>
      <c r="CQ36" s="277">
        <f t="shared" si="28"/>
        <v>0</v>
      </c>
      <c r="CR36" s="277">
        <f t="shared" si="28"/>
        <v>0</v>
      </c>
      <c r="CS36" s="277">
        <f t="shared" si="28"/>
        <v>0</v>
      </c>
      <c r="CT36" s="277">
        <f t="shared" si="28"/>
        <v>0</v>
      </c>
      <c r="CU36" s="277">
        <f t="shared" si="28"/>
        <v>0</v>
      </c>
      <c r="CV36" s="277">
        <f t="shared" si="28"/>
        <v>0</v>
      </c>
      <c r="CW36" s="277">
        <f t="shared" si="28"/>
        <v>0</v>
      </c>
      <c r="CX36" s="277">
        <f t="shared" si="28"/>
        <v>0</v>
      </c>
      <c r="CY36" s="277">
        <f t="shared" si="28"/>
        <v>0</v>
      </c>
      <c r="CZ36" s="277">
        <f t="shared" si="28"/>
        <v>0</v>
      </c>
      <c r="DA36" s="277">
        <f t="shared" si="28"/>
        <v>0</v>
      </c>
      <c r="DB36" s="277">
        <f t="shared" si="28"/>
        <v>0</v>
      </c>
      <c r="DC36" s="277">
        <f t="shared" si="28"/>
        <v>0</v>
      </c>
      <c r="DD36" s="277">
        <f t="shared" si="28"/>
        <v>0</v>
      </c>
      <c r="DE36" s="277">
        <f t="shared" si="28"/>
        <v>0</v>
      </c>
      <c r="DF36" s="277">
        <f t="shared" si="28"/>
        <v>0</v>
      </c>
      <c r="DG36" s="277">
        <f t="shared" si="28"/>
        <v>0</v>
      </c>
      <c r="DH36" s="277">
        <f t="shared" si="28"/>
        <v>0</v>
      </c>
      <c r="DI36" s="277">
        <f t="shared" si="28"/>
        <v>0</v>
      </c>
      <c r="DJ36" s="277">
        <f t="shared" si="28"/>
        <v>0</v>
      </c>
      <c r="DK36" s="277">
        <f t="shared" si="28"/>
        <v>0</v>
      </c>
      <c r="DL36" s="277">
        <f t="shared" si="28"/>
        <v>0</v>
      </c>
      <c r="DM36" s="277">
        <f t="shared" si="28"/>
        <v>0</v>
      </c>
      <c r="DN36" s="277">
        <f t="shared" si="28"/>
        <v>0</v>
      </c>
      <c r="DO36" s="277">
        <f t="shared" si="28"/>
        <v>0</v>
      </c>
      <c r="DP36" s="277">
        <f t="shared" si="28"/>
        <v>0</v>
      </c>
      <c r="DQ36" s="277">
        <f t="shared" si="28"/>
        <v>0</v>
      </c>
      <c r="DR36" s="277">
        <f t="shared" si="28"/>
        <v>0</v>
      </c>
      <c r="DS36" s="277">
        <f t="shared" si="28"/>
        <v>0</v>
      </c>
      <c r="DT36" s="277">
        <f t="shared" si="28"/>
        <v>0</v>
      </c>
      <c r="DU36" s="277">
        <f t="shared" si="28"/>
        <v>0</v>
      </c>
      <c r="DV36" s="277">
        <f t="shared" si="28"/>
        <v>0</v>
      </c>
      <c r="DW36" s="277">
        <f t="shared" si="28"/>
        <v>0</v>
      </c>
      <c r="DX36" s="277">
        <f t="shared" si="28"/>
        <v>0</v>
      </c>
      <c r="DY36" s="277">
        <f t="shared" si="28"/>
        <v>0</v>
      </c>
      <c r="DZ36" s="277">
        <f t="shared" si="28"/>
        <v>0</v>
      </c>
      <c r="EA36" s="277">
        <f t="shared" ref="EA36:EO36" si="29">SUM(EA4:EA35)</f>
        <v>0</v>
      </c>
      <c r="EB36" s="277">
        <f t="shared" si="29"/>
        <v>0</v>
      </c>
      <c r="EC36" s="277">
        <f t="shared" si="29"/>
        <v>0</v>
      </c>
      <c r="ED36" s="277">
        <f t="shared" si="29"/>
        <v>0</v>
      </c>
      <c r="EE36" s="277">
        <f t="shared" si="29"/>
        <v>0</v>
      </c>
      <c r="EF36" s="277">
        <f t="shared" si="29"/>
        <v>0</v>
      </c>
      <c r="EG36" s="277">
        <f t="shared" si="29"/>
        <v>0</v>
      </c>
      <c r="EH36" s="277">
        <f t="shared" si="29"/>
        <v>0</v>
      </c>
      <c r="EI36" s="277">
        <f t="shared" si="29"/>
        <v>0</v>
      </c>
      <c r="EJ36" s="277">
        <f t="shared" si="29"/>
        <v>0</v>
      </c>
      <c r="EK36" s="277">
        <f t="shared" si="29"/>
        <v>0</v>
      </c>
      <c r="EL36" s="277">
        <f t="shared" si="29"/>
        <v>0</v>
      </c>
      <c r="EM36" s="277">
        <f t="shared" si="29"/>
        <v>0</v>
      </c>
      <c r="EN36" s="277">
        <f t="shared" si="29"/>
        <v>0</v>
      </c>
      <c r="EO36" s="277">
        <f t="shared" si="29"/>
        <v>0</v>
      </c>
    </row>
    <row r="37" spans="1:145" x14ac:dyDescent="0.25">
      <c r="M37" s="252">
        <f>M36-M5</f>
        <v>72294071</v>
      </c>
      <c r="Y37" s="252">
        <f>Y36-Y5</f>
        <v>68852870</v>
      </c>
      <c r="AK37" s="252">
        <f>AK36-AK5</f>
        <v>80258822</v>
      </c>
    </row>
  </sheetData>
  <mergeCells count="48">
    <mergeCell ref="ED1:EO1"/>
    <mergeCell ref="B1:M1"/>
    <mergeCell ref="N1:Y1"/>
    <mergeCell ref="Z1:AK1"/>
    <mergeCell ref="AL1:AW1"/>
    <mergeCell ref="AX1:BI1"/>
    <mergeCell ref="BJ1:BU1"/>
    <mergeCell ref="BV1:CG1"/>
    <mergeCell ref="CH1:CS1"/>
    <mergeCell ref="CT1:DE1"/>
    <mergeCell ref="DF1:DQ1"/>
    <mergeCell ref="DR1:EC1"/>
    <mergeCell ref="AT2:AW2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CP2:CS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EL2:EO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ED2:EG2"/>
    <mergeCell ref="EH2:EK2"/>
  </mergeCells>
  <conditionalFormatting sqref="A4:A35">
    <cfRule type="duplicateValues" dxfId="20" priority="1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EB67-8894-4F61-82F2-2BF571A27C0C}">
  <dimension ref="A1:CA92"/>
  <sheetViews>
    <sheetView topLeftCell="AH1" zoomScale="88" zoomScaleNormal="88" workbookViewId="0">
      <selection activeCell="AV1" sqref="AV1:AX1"/>
    </sheetView>
  </sheetViews>
  <sheetFormatPr defaultColWidth="8.88671875" defaultRowHeight="13.8" x14ac:dyDescent="0.3"/>
  <cols>
    <col min="1" max="1" width="17.6640625" style="259" bestFit="1" customWidth="1"/>
    <col min="2" max="2" width="10" style="259" bestFit="1" customWidth="1"/>
    <col min="3" max="3" width="12.44140625" style="259" bestFit="1" customWidth="1"/>
    <col min="4" max="4" width="7" style="259" bestFit="1" customWidth="1"/>
    <col min="5" max="5" width="10" style="259" bestFit="1" customWidth="1"/>
    <col min="6" max="6" width="12.44140625" style="259" bestFit="1" customWidth="1"/>
    <col min="7" max="7" width="7" style="259" bestFit="1" customWidth="1"/>
    <col min="8" max="8" width="10" style="259" bestFit="1" customWidth="1"/>
    <col min="9" max="9" width="12.44140625" style="259" bestFit="1" customWidth="1"/>
    <col min="10" max="10" width="5.6640625" style="259" bestFit="1" customWidth="1"/>
    <col min="11" max="11" width="10" style="259" customWidth="1"/>
    <col min="12" max="12" width="12.44140625" style="259" bestFit="1" customWidth="1"/>
    <col min="13" max="13" width="7" style="259" bestFit="1" customWidth="1"/>
    <col min="14" max="14" width="10" style="259" customWidth="1"/>
    <col min="15" max="15" width="12.44140625" style="259" bestFit="1" customWidth="1"/>
    <col min="16" max="16" width="5.6640625" style="259" bestFit="1" customWidth="1"/>
    <col min="17" max="17" width="10" style="259" customWidth="1"/>
    <col min="18" max="18" width="12.44140625" style="259" bestFit="1" customWidth="1"/>
    <col min="19" max="19" width="7" style="259" bestFit="1" customWidth="1"/>
    <col min="20" max="20" width="10" style="259" customWidth="1"/>
    <col min="21" max="21" width="12.44140625" style="259" bestFit="1" customWidth="1"/>
    <col min="22" max="22" width="7.21875" style="259" bestFit="1" customWidth="1"/>
    <col min="23" max="23" width="10" style="259" customWidth="1"/>
    <col min="24" max="24" width="12.44140625" style="259" bestFit="1" customWidth="1"/>
    <col min="25" max="25" width="7" style="259" bestFit="1" customWidth="1"/>
    <col min="26" max="26" width="10" style="259" bestFit="1" customWidth="1"/>
    <col min="27" max="27" width="12.44140625" style="259" bestFit="1" customWidth="1"/>
    <col min="28" max="28" width="7" style="259" bestFit="1" customWidth="1"/>
    <col min="29" max="29" width="10" style="259" bestFit="1" customWidth="1"/>
    <col min="30" max="30" width="12.44140625" style="259" bestFit="1" customWidth="1"/>
    <col min="31" max="31" width="5.6640625" style="259" bestFit="1" customWidth="1"/>
    <col min="32" max="32" width="10" style="259" bestFit="1" customWidth="1"/>
    <col min="33" max="33" width="12.44140625" style="259" bestFit="1" customWidth="1"/>
    <col min="34" max="34" width="7.21875" style="259" bestFit="1" customWidth="1"/>
    <col min="35" max="35" width="9" style="259" bestFit="1" customWidth="1"/>
    <col min="36" max="36" width="12.44140625" style="259" bestFit="1" customWidth="1"/>
    <col min="37" max="37" width="5.6640625" style="259" bestFit="1" customWidth="1"/>
    <col min="38" max="38" width="11" style="259" bestFit="1" customWidth="1"/>
    <col min="39" max="39" width="12.44140625" style="259" bestFit="1" customWidth="1"/>
    <col min="40" max="40" width="4.6640625" style="258" customWidth="1"/>
    <col min="41" max="41" width="17.6640625" style="259" bestFit="1" customWidth="1"/>
    <col min="42" max="42" width="8" style="259" bestFit="1" customWidth="1"/>
    <col min="43" max="43" width="12.44140625" style="259" bestFit="1" customWidth="1"/>
    <col min="44" max="44" width="7" style="259" bestFit="1" customWidth="1"/>
    <col min="45" max="45" width="8" style="259" bestFit="1" customWidth="1"/>
    <col min="46" max="46" width="12.44140625" style="259" bestFit="1" customWidth="1"/>
    <col min="47" max="47" width="7" style="259" bestFit="1" customWidth="1"/>
    <col min="48" max="48" width="8" style="259" bestFit="1" customWidth="1"/>
    <col min="49" max="49" width="12.44140625" style="259" bestFit="1" customWidth="1"/>
    <col min="50" max="50" width="7" style="259" bestFit="1" customWidth="1"/>
    <col min="51" max="51" width="8" style="259" bestFit="1" customWidth="1"/>
    <col min="52" max="52" width="12.44140625" style="259" bestFit="1" customWidth="1"/>
    <col min="53" max="53" width="7" style="259" bestFit="1" customWidth="1"/>
    <col min="54" max="54" width="8" style="259" bestFit="1" customWidth="1"/>
    <col min="55" max="55" width="12.44140625" style="259" bestFit="1" customWidth="1"/>
    <col min="56" max="56" width="7" style="259" bestFit="1" customWidth="1"/>
    <col min="57" max="57" width="8" style="259" bestFit="1" customWidth="1"/>
    <col min="58" max="58" width="12.44140625" style="259" bestFit="1" customWidth="1"/>
    <col min="59" max="59" width="7" style="259" bestFit="1" customWidth="1"/>
    <col min="60" max="60" width="8" style="259" bestFit="1" customWidth="1"/>
    <col min="61" max="61" width="12.44140625" style="259" bestFit="1" customWidth="1"/>
    <col min="62" max="62" width="7.6640625" style="259" bestFit="1" customWidth="1"/>
    <col min="63" max="63" width="8" style="259" bestFit="1" customWidth="1"/>
    <col min="64" max="64" width="12.44140625" style="259" bestFit="1" customWidth="1"/>
    <col min="65" max="65" width="7" style="259" bestFit="1" customWidth="1"/>
    <col min="66" max="66" width="8" style="259" bestFit="1" customWidth="1"/>
    <col min="67" max="67" width="12.44140625" style="259" bestFit="1" customWidth="1"/>
    <col min="68" max="68" width="7" style="259" bestFit="1" customWidth="1"/>
    <col min="69" max="69" width="8" style="259" bestFit="1" customWidth="1"/>
    <col min="70" max="70" width="12.44140625" style="259" bestFit="1" customWidth="1"/>
    <col min="71" max="71" width="7" style="259" bestFit="1" customWidth="1"/>
    <col min="72" max="72" width="8" style="259" bestFit="1" customWidth="1"/>
    <col min="73" max="73" width="12.44140625" style="259" bestFit="1" customWidth="1"/>
    <col min="74" max="74" width="7" style="259" bestFit="1" customWidth="1"/>
    <col min="75" max="75" width="8" style="259" bestFit="1" customWidth="1"/>
    <col min="76" max="76" width="12.44140625" style="259" bestFit="1" customWidth="1"/>
    <col min="77" max="77" width="7" style="259" bestFit="1" customWidth="1"/>
    <col min="78" max="78" width="9" style="259" bestFit="1" customWidth="1"/>
    <col min="79" max="79" width="12.44140625" style="259" bestFit="1" customWidth="1"/>
    <col min="80" max="16384" width="8.88671875" style="259"/>
  </cols>
  <sheetData>
    <row r="1" spans="1:53" x14ac:dyDescent="0.3">
      <c r="A1" s="254" t="s">
        <v>142</v>
      </c>
      <c r="B1" s="366">
        <v>46113</v>
      </c>
      <c r="C1" s="366"/>
      <c r="D1" s="366"/>
      <c r="E1" s="366">
        <v>46143</v>
      </c>
      <c r="F1" s="366"/>
      <c r="G1" s="366"/>
      <c r="H1" s="366">
        <v>46174</v>
      </c>
      <c r="I1" s="366"/>
      <c r="J1" s="366"/>
      <c r="K1" s="366">
        <v>46204</v>
      </c>
      <c r="L1" s="366"/>
      <c r="M1" s="366"/>
      <c r="AO1" s="254" t="s">
        <v>143</v>
      </c>
      <c r="AP1" s="367">
        <v>46113</v>
      </c>
      <c r="AQ1" s="368"/>
      <c r="AR1" s="256"/>
      <c r="AS1" s="367">
        <v>46143</v>
      </c>
      <c r="AT1" s="368"/>
      <c r="AU1" s="256"/>
      <c r="AV1" s="366">
        <v>46174</v>
      </c>
      <c r="AW1" s="366"/>
      <c r="AX1" s="366"/>
      <c r="AY1" s="366">
        <v>46204</v>
      </c>
      <c r="AZ1" s="366"/>
      <c r="BA1" s="366"/>
    </row>
    <row r="2" spans="1:53" ht="14.4" x14ac:dyDescent="0.3">
      <c r="A2" s="238" t="s">
        <v>89</v>
      </c>
      <c r="B2" s="239" t="s">
        <v>90</v>
      </c>
      <c r="C2" s="240" t="s">
        <v>91</v>
      </c>
      <c r="D2" s="240" t="s">
        <v>98</v>
      </c>
      <c r="E2" s="239" t="s">
        <v>90</v>
      </c>
      <c r="F2" s="240" t="s">
        <v>91</v>
      </c>
      <c r="G2" s="240" t="s">
        <v>98</v>
      </c>
      <c r="H2" s="239" t="s">
        <v>90</v>
      </c>
      <c r="I2" s="240" t="s">
        <v>91</v>
      </c>
      <c r="J2" s="240" t="s">
        <v>98</v>
      </c>
      <c r="K2" s="239" t="s">
        <v>90</v>
      </c>
      <c r="L2" s="240" t="s">
        <v>91</v>
      </c>
      <c r="M2" s="240" t="s">
        <v>98</v>
      </c>
      <c r="AO2" s="312" t="s">
        <v>102</v>
      </c>
      <c r="AP2" s="239" t="s">
        <v>90</v>
      </c>
      <c r="AQ2" s="240" t="s">
        <v>91</v>
      </c>
      <c r="AR2" s="240" t="s">
        <v>98</v>
      </c>
      <c r="AS2" s="239" t="s">
        <v>90</v>
      </c>
      <c r="AT2" s="240" t="s">
        <v>91</v>
      </c>
      <c r="AU2" s="249" t="s">
        <v>98</v>
      </c>
      <c r="AV2" s="239" t="s">
        <v>90</v>
      </c>
      <c r="AW2" s="240" t="s">
        <v>91</v>
      </c>
      <c r="AX2" s="240" t="s">
        <v>98</v>
      </c>
      <c r="AY2" s="239" t="s">
        <v>90</v>
      </c>
      <c r="AZ2" s="240" t="s">
        <v>91</v>
      </c>
      <c r="BA2" s="240" t="s">
        <v>98</v>
      </c>
    </row>
    <row r="3" spans="1:53" ht="14.4" x14ac:dyDescent="0.3">
      <c r="A3" s="318" t="s">
        <v>4</v>
      </c>
      <c r="B3" s="242">
        <v>12000000</v>
      </c>
      <c r="C3" s="242">
        <v>7581995</v>
      </c>
      <c r="D3" s="244">
        <f>C3/B3</f>
        <v>0.63183291666666663</v>
      </c>
      <c r="E3" s="242">
        <v>12000000</v>
      </c>
      <c r="F3" s="242">
        <v>6699525</v>
      </c>
      <c r="G3" s="244">
        <f>F3/E3</f>
        <v>0.55829375000000003</v>
      </c>
      <c r="H3" s="242">
        <v>12000000</v>
      </c>
      <c r="I3" s="242">
        <v>7224655</v>
      </c>
      <c r="J3" s="244">
        <f>I3/H3</f>
        <v>0.60205458333333328</v>
      </c>
      <c r="K3" s="259">
        <v>12000000</v>
      </c>
      <c r="L3" s="259">
        <v>9759321</v>
      </c>
      <c r="M3" s="316">
        <f>L3/K3</f>
        <v>0.81327674999999999</v>
      </c>
      <c r="AO3" s="311" t="s">
        <v>4</v>
      </c>
      <c r="AP3" s="242">
        <v>700000</v>
      </c>
      <c r="AQ3" s="242">
        <v>174110</v>
      </c>
      <c r="AR3" s="244">
        <f>AQ3/AP3</f>
        <v>0.24872857142857144</v>
      </c>
      <c r="AS3" s="242">
        <v>700000</v>
      </c>
      <c r="AT3" s="242">
        <v>341539</v>
      </c>
      <c r="AU3" s="244">
        <f>AT3/AS3</f>
        <v>0.48791285714285715</v>
      </c>
      <c r="AV3" s="259">
        <v>700000</v>
      </c>
      <c r="AW3" s="259">
        <v>444545</v>
      </c>
      <c r="AX3" s="316">
        <f>AW3/AV3</f>
        <v>0.63506428571428575</v>
      </c>
      <c r="AY3" s="259">
        <v>500000</v>
      </c>
      <c r="AZ3" s="259">
        <v>390245</v>
      </c>
      <c r="BA3" s="316">
        <f>AZ3/AY3</f>
        <v>0.78049000000000002</v>
      </c>
    </row>
    <row r="4" spans="1:53" ht="14.4" x14ac:dyDescent="0.3">
      <c r="A4" s="50" t="s">
        <v>134</v>
      </c>
      <c r="B4" s="242">
        <v>0</v>
      </c>
      <c r="C4" s="242">
        <v>46500</v>
      </c>
      <c r="D4" s="244" t="e">
        <f t="shared" ref="D4:D35" si="0">C4/B4</f>
        <v>#DIV/0!</v>
      </c>
      <c r="E4" s="242">
        <v>0</v>
      </c>
      <c r="F4" s="242">
        <v>63000</v>
      </c>
      <c r="G4" s="244" t="e">
        <f t="shared" ref="G4:G35" si="1">F4/E4</f>
        <v>#DIV/0!</v>
      </c>
      <c r="H4" s="242">
        <v>0</v>
      </c>
      <c r="I4" s="242">
        <v>385500</v>
      </c>
      <c r="J4" s="244" t="e">
        <f t="shared" ref="J4:J35" si="2">I4/H4</f>
        <v>#DIV/0!</v>
      </c>
      <c r="K4" s="259">
        <v>0</v>
      </c>
      <c r="L4" s="259">
        <v>514000</v>
      </c>
      <c r="M4" s="316" t="e">
        <f t="shared" ref="M4:M34" si="3">L4/K4</f>
        <v>#DIV/0!</v>
      </c>
      <c r="AO4" s="54" t="s">
        <v>134</v>
      </c>
      <c r="AP4" s="242">
        <v>0</v>
      </c>
      <c r="AQ4" s="242">
        <v>0</v>
      </c>
      <c r="AR4" s="244" t="e">
        <f t="shared" ref="AR4:AR35" si="4">AQ4/AP4</f>
        <v>#DIV/0!</v>
      </c>
      <c r="AS4" s="242">
        <v>0</v>
      </c>
      <c r="AT4" s="242">
        <v>0</v>
      </c>
      <c r="AU4" s="244" t="e">
        <f t="shared" ref="AU4:AU35" si="5">AT4/AS4</f>
        <v>#DIV/0!</v>
      </c>
      <c r="AV4" s="259">
        <v>0</v>
      </c>
      <c r="AW4" s="259">
        <v>0</v>
      </c>
      <c r="AX4" s="316" t="e">
        <f t="shared" ref="AX4:AX35" si="6">AW4/AV4</f>
        <v>#DIV/0!</v>
      </c>
      <c r="AY4" s="259">
        <v>0</v>
      </c>
      <c r="AZ4" s="259">
        <v>0</v>
      </c>
      <c r="BA4" s="316" t="e">
        <f t="shared" ref="BA4:BA34" si="7">AZ4/AY4</f>
        <v>#DIV/0!</v>
      </c>
    </row>
    <row r="5" spans="1:53" ht="14.4" x14ac:dyDescent="0.3">
      <c r="A5" s="318" t="s">
        <v>8</v>
      </c>
      <c r="B5" s="242">
        <v>3800000</v>
      </c>
      <c r="C5" s="242">
        <v>2518388</v>
      </c>
      <c r="D5" s="244">
        <f t="shared" si="0"/>
        <v>0.66273368421052636</v>
      </c>
      <c r="E5" s="242">
        <v>3800000</v>
      </c>
      <c r="F5" s="242">
        <v>2534591</v>
      </c>
      <c r="G5" s="244">
        <f t="shared" si="1"/>
        <v>0.66699763157894731</v>
      </c>
      <c r="H5" s="242">
        <v>3800000</v>
      </c>
      <c r="I5" s="242">
        <v>3848492</v>
      </c>
      <c r="J5" s="244">
        <f t="shared" si="2"/>
        <v>1.0127610526315789</v>
      </c>
      <c r="K5" s="259">
        <v>3800000</v>
      </c>
      <c r="L5" s="259">
        <v>3796980</v>
      </c>
      <c r="M5" s="316">
        <f t="shared" si="3"/>
        <v>0.99920526315789471</v>
      </c>
      <c r="AO5" s="311" t="s">
        <v>8</v>
      </c>
      <c r="AP5" s="242">
        <v>200000</v>
      </c>
      <c r="AQ5" s="242">
        <v>33848</v>
      </c>
      <c r="AR5" s="244">
        <f t="shared" si="4"/>
        <v>0.16924</v>
      </c>
      <c r="AS5" s="242">
        <v>200000</v>
      </c>
      <c r="AT5" s="242">
        <v>112810</v>
      </c>
      <c r="AU5" s="244">
        <f t="shared" si="5"/>
        <v>0.56405000000000005</v>
      </c>
      <c r="AV5" s="259">
        <v>200000</v>
      </c>
      <c r="AW5" s="259">
        <v>226061</v>
      </c>
      <c r="AX5" s="316">
        <f t="shared" si="6"/>
        <v>1.1303049999999999</v>
      </c>
      <c r="AY5" s="259">
        <v>200000</v>
      </c>
      <c r="AZ5" s="259">
        <v>142080</v>
      </c>
      <c r="BA5" s="316">
        <f t="shared" si="7"/>
        <v>0.71040000000000003</v>
      </c>
    </row>
    <row r="6" spans="1:53" ht="14.4" x14ac:dyDescent="0.3">
      <c r="A6" s="318" t="s">
        <v>135</v>
      </c>
      <c r="B6" s="242">
        <v>0</v>
      </c>
      <c r="C6" s="242">
        <v>1477200</v>
      </c>
      <c r="D6" s="244" t="e">
        <f t="shared" si="0"/>
        <v>#DIV/0!</v>
      </c>
      <c r="E6" s="242">
        <v>1500000</v>
      </c>
      <c r="F6" s="242">
        <v>1422750</v>
      </c>
      <c r="G6" s="244">
        <f t="shared" si="1"/>
        <v>0.94850000000000001</v>
      </c>
      <c r="H6" s="242">
        <v>1500000</v>
      </c>
      <c r="I6" s="242">
        <v>1786320</v>
      </c>
      <c r="J6" s="244">
        <f t="shared" si="2"/>
        <v>1.1908799999999999</v>
      </c>
      <c r="K6" s="259">
        <v>1500000</v>
      </c>
      <c r="L6" s="259">
        <v>2296650</v>
      </c>
      <c r="M6" s="316">
        <f t="shared" si="3"/>
        <v>1.5310999999999999</v>
      </c>
      <c r="AO6" s="311" t="s">
        <v>135</v>
      </c>
      <c r="AP6" s="242">
        <v>0</v>
      </c>
      <c r="AQ6" s="242">
        <v>77310</v>
      </c>
      <c r="AR6" s="244" t="e">
        <f t="shared" si="4"/>
        <v>#DIV/0!</v>
      </c>
      <c r="AS6" s="242">
        <v>0</v>
      </c>
      <c r="AT6" s="242">
        <v>109045</v>
      </c>
      <c r="AU6" s="244" t="e">
        <f t="shared" si="5"/>
        <v>#DIV/0!</v>
      </c>
      <c r="AV6" s="259">
        <v>90000</v>
      </c>
      <c r="AW6" s="259">
        <v>135960</v>
      </c>
      <c r="AX6" s="316">
        <f t="shared" si="6"/>
        <v>1.5106666666666666</v>
      </c>
      <c r="AY6" s="259">
        <v>125000</v>
      </c>
      <c r="AZ6" s="259">
        <v>239310</v>
      </c>
      <c r="BA6" s="316">
        <f t="shared" si="7"/>
        <v>1.91448</v>
      </c>
    </row>
    <row r="7" spans="1:53" ht="14.4" x14ac:dyDescent="0.3">
      <c r="A7" s="318" t="s">
        <v>7</v>
      </c>
      <c r="B7" s="242">
        <v>4000000</v>
      </c>
      <c r="C7" s="242">
        <v>2435437</v>
      </c>
      <c r="D7" s="244">
        <f t="shared" si="0"/>
        <v>0.60885924999999996</v>
      </c>
      <c r="E7" s="242">
        <v>4000000</v>
      </c>
      <c r="F7" s="242">
        <v>2422954</v>
      </c>
      <c r="G7" s="244">
        <f t="shared" si="1"/>
        <v>0.60573849999999996</v>
      </c>
      <c r="H7" s="242">
        <v>4000000</v>
      </c>
      <c r="I7" s="242">
        <v>3048353</v>
      </c>
      <c r="J7" s="244">
        <f t="shared" si="2"/>
        <v>0.76208825000000002</v>
      </c>
      <c r="K7" s="259">
        <v>4000000</v>
      </c>
      <c r="L7" s="259">
        <v>2765790</v>
      </c>
      <c r="M7" s="316">
        <f t="shared" si="3"/>
        <v>0.69144749999999999</v>
      </c>
      <c r="AO7" s="311" t="s">
        <v>7</v>
      </c>
      <c r="AP7" s="242">
        <v>310000</v>
      </c>
      <c r="AQ7" s="242">
        <v>199108</v>
      </c>
      <c r="AR7" s="244">
        <f t="shared" si="4"/>
        <v>0.64228387096774198</v>
      </c>
      <c r="AS7" s="242">
        <v>310000</v>
      </c>
      <c r="AT7" s="242">
        <v>191828</v>
      </c>
      <c r="AU7" s="244">
        <f t="shared" si="5"/>
        <v>0.61880000000000002</v>
      </c>
      <c r="AV7" s="259">
        <v>310000</v>
      </c>
      <c r="AW7" s="259">
        <v>322979</v>
      </c>
      <c r="AX7" s="316">
        <f t="shared" si="6"/>
        <v>1.0418677419354838</v>
      </c>
      <c r="AY7" s="259">
        <v>310000</v>
      </c>
      <c r="AZ7" s="259">
        <v>231855</v>
      </c>
      <c r="BA7" s="316">
        <f t="shared" si="7"/>
        <v>0.74791935483870964</v>
      </c>
    </row>
    <row r="8" spans="1:53" ht="14.4" x14ac:dyDescent="0.3">
      <c r="A8" s="318" t="s">
        <v>13</v>
      </c>
      <c r="B8" s="242">
        <v>2500000</v>
      </c>
      <c r="C8" s="242">
        <v>1374661</v>
      </c>
      <c r="D8" s="244">
        <f t="shared" si="0"/>
        <v>0.54986440000000003</v>
      </c>
      <c r="E8" s="242">
        <v>2500000</v>
      </c>
      <c r="F8" s="242">
        <v>1034130</v>
      </c>
      <c r="G8" s="244">
        <f t="shared" si="1"/>
        <v>0.41365200000000002</v>
      </c>
      <c r="H8" s="242">
        <v>2500000</v>
      </c>
      <c r="I8" s="242">
        <v>1452840</v>
      </c>
      <c r="J8" s="244">
        <f t="shared" si="2"/>
        <v>0.58113599999999999</v>
      </c>
      <c r="K8" s="259">
        <v>2000000</v>
      </c>
      <c r="L8" s="259">
        <v>1600213</v>
      </c>
      <c r="M8" s="316">
        <f t="shared" si="3"/>
        <v>0.80010650000000005</v>
      </c>
      <c r="AO8" s="311" t="s">
        <v>13</v>
      </c>
      <c r="AP8" s="242">
        <v>100000</v>
      </c>
      <c r="AQ8" s="242">
        <v>43440</v>
      </c>
      <c r="AR8" s="244">
        <f t="shared" si="4"/>
        <v>0.43440000000000001</v>
      </c>
      <c r="AS8" s="242">
        <v>100000</v>
      </c>
      <c r="AT8" s="242">
        <v>52002</v>
      </c>
      <c r="AU8" s="244">
        <f t="shared" si="5"/>
        <v>0.52002000000000004</v>
      </c>
      <c r="AV8" s="259">
        <v>100000</v>
      </c>
      <c r="AW8" s="259">
        <v>51100</v>
      </c>
      <c r="AX8" s="316">
        <f t="shared" si="6"/>
        <v>0.51100000000000001</v>
      </c>
      <c r="AY8" s="259">
        <v>75000</v>
      </c>
      <c r="AZ8" s="259">
        <v>33024</v>
      </c>
      <c r="BA8" s="316">
        <f t="shared" si="7"/>
        <v>0.44031999999999999</v>
      </c>
    </row>
    <row r="9" spans="1:53" ht="14.4" x14ac:dyDescent="0.3">
      <c r="A9" s="318" t="s">
        <v>95</v>
      </c>
      <c r="B9" s="242">
        <v>2800000</v>
      </c>
      <c r="C9" s="242">
        <v>2436506</v>
      </c>
      <c r="D9" s="244">
        <f t="shared" si="0"/>
        <v>0.87018071428571431</v>
      </c>
      <c r="E9" s="242">
        <v>2800000</v>
      </c>
      <c r="F9" s="242">
        <v>2245588</v>
      </c>
      <c r="G9" s="244">
        <f t="shared" si="1"/>
        <v>0.80199571428571426</v>
      </c>
      <c r="H9" s="242">
        <v>2800000</v>
      </c>
      <c r="I9" s="242">
        <v>2113350</v>
      </c>
      <c r="J9" s="244">
        <f t="shared" si="2"/>
        <v>0.7547678571428571</v>
      </c>
      <c r="K9" s="259">
        <v>2800000</v>
      </c>
      <c r="L9" s="259">
        <v>2084125</v>
      </c>
      <c r="M9" s="316">
        <f t="shared" si="3"/>
        <v>0.74433035714285711</v>
      </c>
      <c r="AO9" s="311" t="s">
        <v>95</v>
      </c>
      <c r="AP9" s="242">
        <v>130000</v>
      </c>
      <c r="AQ9" s="242">
        <v>91647</v>
      </c>
      <c r="AR9" s="244">
        <f t="shared" si="4"/>
        <v>0.70497692307692306</v>
      </c>
      <c r="AS9" s="242">
        <v>130000</v>
      </c>
      <c r="AT9" s="242">
        <v>133680</v>
      </c>
      <c r="AU9" s="244">
        <f t="shared" si="5"/>
        <v>1.0283076923076924</v>
      </c>
      <c r="AV9" s="259">
        <v>130000</v>
      </c>
      <c r="AW9" s="259">
        <v>162268</v>
      </c>
      <c r="AX9" s="316">
        <f t="shared" si="6"/>
        <v>1.2482153846153845</v>
      </c>
      <c r="AY9" s="259">
        <v>150000</v>
      </c>
      <c r="AZ9" s="259">
        <v>151093</v>
      </c>
      <c r="BA9" s="316">
        <f t="shared" si="7"/>
        <v>1.0072866666666667</v>
      </c>
    </row>
    <row r="10" spans="1:53" ht="14.4" x14ac:dyDescent="0.3">
      <c r="A10" s="318" t="s">
        <v>126</v>
      </c>
      <c r="B10" s="242">
        <v>0</v>
      </c>
      <c r="C10" s="242">
        <v>0</v>
      </c>
      <c r="D10" s="244" t="e">
        <f t="shared" si="0"/>
        <v>#DIV/0!</v>
      </c>
      <c r="E10" s="242">
        <v>0</v>
      </c>
      <c r="F10" s="242">
        <v>0</v>
      </c>
      <c r="G10" s="244" t="e">
        <f t="shared" si="1"/>
        <v>#DIV/0!</v>
      </c>
      <c r="H10" s="242">
        <v>0</v>
      </c>
      <c r="I10" s="242">
        <v>0</v>
      </c>
      <c r="J10" s="244" t="e">
        <f t="shared" si="2"/>
        <v>#DIV/0!</v>
      </c>
      <c r="K10" s="259">
        <v>0</v>
      </c>
      <c r="L10" s="259">
        <v>108800</v>
      </c>
      <c r="M10" s="316" t="e">
        <f t="shared" si="3"/>
        <v>#DIV/0!</v>
      </c>
      <c r="AO10" s="311" t="s">
        <v>126</v>
      </c>
      <c r="AP10" s="242">
        <v>50000</v>
      </c>
      <c r="AQ10" s="242">
        <v>0</v>
      </c>
      <c r="AR10" s="244">
        <f t="shared" si="4"/>
        <v>0</v>
      </c>
      <c r="AS10" s="242">
        <v>50000</v>
      </c>
      <c r="AT10" s="242">
        <v>0</v>
      </c>
      <c r="AU10" s="244">
        <f t="shared" si="5"/>
        <v>0</v>
      </c>
      <c r="AV10" s="259">
        <v>50000</v>
      </c>
      <c r="AW10" s="259">
        <v>0</v>
      </c>
      <c r="AX10" s="316">
        <f t="shared" si="6"/>
        <v>0</v>
      </c>
      <c r="AY10" s="259">
        <v>50000</v>
      </c>
      <c r="AZ10" s="259">
        <v>10900</v>
      </c>
      <c r="BA10" s="316">
        <f t="shared" si="7"/>
        <v>0.218</v>
      </c>
    </row>
    <row r="11" spans="1:53" ht="14.4" x14ac:dyDescent="0.3">
      <c r="A11" s="318" t="s">
        <v>127</v>
      </c>
      <c r="B11" s="242">
        <v>5450000</v>
      </c>
      <c r="C11" s="242">
        <v>3079421</v>
      </c>
      <c r="D11" s="244">
        <f t="shared" si="0"/>
        <v>0.565031376146789</v>
      </c>
      <c r="E11" s="242">
        <v>5450000</v>
      </c>
      <c r="F11" s="242">
        <v>3505910</v>
      </c>
      <c r="G11" s="244">
        <f t="shared" si="1"/>
        <v>0.64328623853211009</v>
      </c>
      <c r="H11" s="242">
        <v>5450000</v>
      </c>
      <c r="I11" s="242">
        <v>4286701</v>
      </c>
      <c r="J11" s="244">
        <f t="shared" si="2"/>
        <v>0.7865506422018349</v>
      </c>
      <c r="K11" s="259">
        <v>5450000</v>
      </c>
      <c r="L11" s="259">
        <v>5533440</v>
      </c>
      <c r="M11" s="316">
        <f t="shared" si="3"/>
        <v>1.0153100917431193</v>
      </c>
      <c r="AO11" s="311" t="s">
        <v>127</v>
      </c>
      <c r="AP11" s="242">
        <v>330000</v>
      </c>
      <c r="AQ11" s="242">
        <v>189251</v>
      </c>
      <c r="AR11" s="244">
        <f t="shared" si="4"/>
        <v>0.57348787878787877</v>
      </c>
      <c r="AS11" s="242">
        <v>330000</v>
      </c>
      <c r="AT11" s="242">
        <v>204623</v>
      </c>
      <c r="AU11" s="244">
        <f t="shared" si="5"/>
        <v>0.62006969696969694</v>
      </c>
      <c r="AV11" s="259">
        <v>330000</v>
      </c>
      <c r="AW11" s="259">
        <v>330410</v>
      </c>
      <c r="AX11" s="316">
        <f t="shared" si="6"/>
        <v>1.0012424242424243</v>
      </c>
      <c r="AY11" s="259">
        <v>330000</v>
      </c>
      <c r="AZ11" s="259">
        <v>392533</v>
      </c>
      <c r="BA11" s="316">
        <f t="shared" si="7"/>
        <v>1.1894939393939394</v>
      </c>
    </row>
    <row r="12" spans="1:53" ht="14.4" x14ac:dyDescent="0.3">
      <c r="A12" s="318" t="s">
        <v>3</v>
      </c>
      <c r="B12" s="242">
        <v>6200000</v>
      </c>
      <c r="C12" s="242">
        <v>4731307</v>
      </c>
      <c r="D12" s="244">
        <f t="shared" si="0"/>
        <v>0.76311403225806451</v>
      </c>
      <c r="E12" s="242">
        <v>6200000</v>
      </c>
      <c r="F12" s="242">
        <v>3868551</v>
      </c>
      <c r="G12" s="244">
        <f t="shared" si="1"/>
        <v>0.62395983870967742</v>
      </c>
      <c r="H12" s="242">
        <v>6200000</v>
      </c>
      <c r="I12" s="242">
        <v>6243375</v>
      </c>
      <c r="J12" s="244">
        <f t="shared" si="2"/>
        <v>1.0069959677419356</v>
      </c>
      <c r="K12" s="259">
        <v>6200000</v>
      </c>
      <c r="L12" s="259">
        <v>3692413</v>
      </c>
      <c r="M12" s="316">
        <f t="shared" si="3"/>
        <v>0.59555048387096776</v>
      </c>
      <c r="AO12" s="311" t="s">
        <v>3</v>
      </c>
      <c r="AP12" s="242">
        <v>370000</v>
      </c>
      <c r="AQ12" s="242">
        <v>150070</v>
      </c>
      <c r="AR12" s="244">
        <f t="shared" si="4"/>
        <v>0.40559459459459457</v>
      </c>
      <c r="AS12" s="242">
        <v>370000</v>
      </c>
      <c r="AT12" s="242">
        <v>193914</v>
      </c>
      <c r="AU12" s="244">
        <f t="shared" si="5"/>
        <v>0.52409189189189187</v>
      </c>
      <c r="AV12" s="259">
        <v>370000</v>
      </c>
      <c r="AW12" s="259">
        <v>383035</v>
      </c>
      <c r="AX12" s="316">
        <f t="shared" si="6"/>
        <v>1.0352297297297297</v>
      </c>
      <c r="AY12" s="259">
        <v>370000</v>
      </c>
      <c r="AZ12" s="259">
        <v>232695</v>
      </c>
      <c r="BA12" s="316">
        <f t="shared" si="7"/>
        <v>0.6289054054054054</v>
      </c>
    </row>
    <row r="13" spans="1:53" ht="14.4" x14ac:dyDescent="0.3">
      <c r="A13" s="318" t="s">
        <v>128</v>
      </c>
      <c r="B13" s="242">
        <v>7900000</v>
      </c>
      <c r="C13" s="242">
        <v>4702363</v>
      </c>
      <c r="D13" s="244">
        <f t="shared" si="0"/>
        <v>0.59523582278481013</v>
      </c>
      <c r="E13" s="242">
        <v>7900000</v>
      </c>
      <c r="F13" s="242">
        <v>5745151</v>
      </c>
      <c r="G13" s="244">
        <f t="shared" si="1"/>
        <v>0.72723430379746834</v>
      </c>
      <c r="H13" s="242">
        <v>7900000</v>
      </c>
      <c r="I13" s="242">
        <v>5743311</v>
      </c>
      <c r="J13" s="244">
        <f t="shared" si="2"/>
        <v>0.72700139240506334</v>
      </c>
      <c r="K13" s="259">
        <v>7900000</v>
      </c>
      <c r="L13" s="259">
        <v>6927685</v>
      </c>
      <c r="M13" s="316">
        <f t="shared" si="3"/>
        <v>0.87692215189873413</v>
      </c>
      <c r="AO13" s="311" t="s">
        <v>128</v>
      </c>
      <c r="AP13" s="242">
        <v>490000</v>
      </c>
      <c r="AQ13" s="242">
        <v>286608</v>
      </c>
      <c r="AR13" s="244">
        <f t="shared" si="4"/>
        <v>0.58491428571428572</v>
      </c>
      <c r="AS13" s="242">
        <v>490000</v>
      </c>
      <c r="AT13" s="242">
        <v>738162</v>
      </c>
      <c r="AU13" s="244">
        <f t="shared" si="5"/>
        <v>1.5064530612244897</v>
      </c>
      <c r="AV13" s="259">
        <v>490000</v>
      </c>
      <c r="AW13" s="259">
        <v>540374</v>
      </c>
      <c r="AX13" s="316">
        <f t="shared" si="6"/>
        <v>1.102804081632653</v>
      </c>
      <c r="AY13" s="259">
        <v>490000</v>
      </c>
      <c r="AZ13" s="259">
        <v>702768</v>
      </c>
      <c r="BA13" s="316">
        <f t="shared" si="7"/>
        <v>1.4342204081632652</v>
      </c>
    </row>
    <row r="14" spans="1:53" ht="14.4" x14ac:dyDescent="0.3">
      <c r="A14" s="318" t="s">
        <v>118</v>
      </c>
      <c r="B14" s="242">
        <v>1500000</v>
      </c>
      <c r="C14" s="242">
        <v>654299</v>
      </c>
      <c r="D14" s="244">
        <f t="shared" si="0"/>
        <v>0.43619933333333333</v>
      </c>
      <c r="E14" s="242">
        <v>1500000</v>
      </c>
      <c r="F14" s="242">
        <v>784150</v>
      </c>
      <c r="G14" s="244">
        <f t="shared" si="1"/>
        <v>0.52276666666666671</v>
      </c>
      <c r="H14" s="242">
        <v>1500000</v>
      </c>
      <c r="I14" s="242">
        <v>1245495</v>
      </c>
      <c r="J14" s="244">
        <f t="shared" si="2"/>
        <v>0.83033000000000001</v>
      </c>
      <c r="K14" s="259">
        <v>1500000</v>
      </c>
      <c r="L14" s="259">
        <v>734610</v>
      </c>
      <c r="M14" s="316">
        <f t="shared" si="3"/>
        <v>0.48974000000000001</v>
      </c>
      <c r="AO14" s="311" t="s">
        <v>118</v>
      </c>
      <c r="AP14" s="242">
        <v>50000</v>
      </c>
      <c r="AQ14" s="242">
        <v>52305</v>
      </c>
      <c r="AR14" s="244">
        <f t="shared" si="4"/>
        <v>1.0461</v>
      </c>
      <c r="AS14" s="242">
        <v>50000</v>
      </c>
      <c r="AT14" s="242">
        <v>56034</v>
      </c>
      <c r="AU14" s="244">
        <f t="shared" si="5"/>
        <v>1.1206799999999999</v>
      </c>
      <c r="AV14" s="259">
        <v>50000</v>
      </c>
      <c r="AW14" s="259">
        <v>31545</v>
      </c>
      <c r="AX14" s="316">
        <f t="shared" si="6"/>
        <v>0.63090000000000002</v>
      </c>
      <c r="AY14" s="259">
        <v>50000</v>
      </c>
      <c r="AZ14" s="259">
        <v>13525</v>
      </c>
      <c r="BA14" s="316">
        <f t="shared" si="7"/>
        <v>0.27050000000000002</v>
      </c>
    </row>
    <row r="15" spans="1:53" ht="14.4" x14ac:dyDescent="0.3">
      <c r="A15" s="318" t="s">
        <v>10</v>
      </c>
      <c r="B15" s="242">
        <v>3800000</v>
      </c>
      <c r="C15" s="242">
        <v>3910795</v>
      </c>
      <c r="D15" s="244">
        <f t="shared" si="0"/>
        <v>1.0291565789473685</v>
      </c>
      <c r="E15" s="242">
        <v>3800000</v>
      </c>
      <c r="F15" s="242">
        <v>2950991</v>
      </c>
      <c r="G15" s="244">
        <f t="shared" si="1"/>
        <v>0.77657657894736842</v>
      </c>
      <c r="H15" s="242">
        <v>3800000</v>
      </c>
      <c r="I15" s="242">
        <v>3882811</v>
      </c>
      <c r="J15" s="244">
        <f t="shared" si="2"/>
        <v>1.0217923684210526</v>
      </c>
      <c r="K15" s="259">
        <v>3800000</v>
      </c>
      <c r="L15" s="259">
        <v>5012932</v>
      </c>
      <c r="M15" s="316">
        <f t="shared" si="3"/>
        <v>1.3191926315789473</v>
      </c>
      <c r="AO15" s="311" t="s">
        <v>10</v>
      </c>
      <c r="AP15" s="242">
        <v>200000</v>
      </c>
      <c r="AQ15" s="242">
        <v>124016</v>
      </c>
      <c r="AR15" s="244">
        <f t="shared" si="4"/>
        <v>0.62007999999999996</v>
      </c>
      <c r="AS15" s="242">
        <v>200000</v>
      </c>
      <c r="AT15" s="242">
        <v>136231</v>
      </c>
      <c r="AU15" s="244">
        <f t="shared" si="5"/>
        <v>0.68115499999999995</v>
      </c>
      <c r="AV15" s="259">
        <v>200000</v>
      </c>
      <c r="AW15" s="259">
        <v>200516</v>
      </c>
      <c r="AX15" s="316">
        <f t="shared" si="6"/>
        <v>1.00258</v>
      </c>
      <c r="AY15" s="259">
        <v>200000</v>
      </c>
      <c r="AZ15" s="259">
        <v>208469</v>
      </c>
      <c r="BA15" s="316">
        <f t="shared" si="7"/>
        <v>1.0423450000000001</v>
      </c>
    </row>
    <row r="16" spans="1:53" ht="14.4" x14ac:dyDescent="0.3">
      <c r="A16" s="318" t="s">
        <v>11</v>
      </c>
      <c r="B16" s="242">
        <v>4100000</v>
      </c>
      <c r="C16" s="242">
        <v>2684870</v>
      </c>
      <c r="D16" s="244">
        <f t="shared" si="0"/>
        <v>0.65484634146341458</v>
      </c>
      <c r="E16" s="242">
        <v>4100000</v>
      </c>
      <c r="F16" s="242">
        <v>2992580</v>
      </c>
      <c r="G16" s="244">
        <f t="shared" si="1"/>
        <v>0.72989756097560976</v>
      </c>
      <c r="H16" s="242">
        <v>4100000</v>
      </c>
      <c r="I16" s="242">
        <v>2915025</v>
      </c>
      <c r="J16" s="244">
        <f t="shared" si="2"/>
        <v>0.71098170731707322</v>
      </c>
      <c r="K16" s="259">
        <v>4100000</v>
      </c>
      <c r="L16" s="259">
        <v>2781630</v>
      </c>
      <c r="M16" s="316">
        <f t="shared" si="3"/>
        <v>0.67844634146341465</v>
      </c>
      <c r="AO16" s="311" t="s">
        <v>11</v>
      </c>
      <c r="AP16" s="242">
        <v>270000</v>
      </c>
      <c r="AQ16" s="242">
        <v>125700</v>
      </c>
      <c r="AR16" s="244">
        <f t="shared" si="4"/>
        <v>0.46555555555555556</v>
      </c>
      <c r="AS16" s="242">
        <v>270000</v>
      </c>
      <c r="AT16" s="242">
        <v>231600</v>
      </c>
      <c r="AU16" s="244">
        <f t="shared" si="5"/>
        <v>0.85777777777777775</v>
      </c>
      <c r="AV16" s="259">
        <v>270000</v>
      </c>
      <c r="AW16" s="259">
        <v>341123</v>
      </c>
      <c r="AX16" s="316">
        <f t="shared" si="6"/>
        <v>1.2634185185185185</v>
      </c>
      <c r="AY16" s="259">
        <v>285000</v>
      </c>
      <c r="AZ16" s="259">
        <v>308544</v>
      </c>
      <c r="BA16" s="316">
        <f t="shared" si="7"/>
        <v>1.0826105263157895</v>
      </c>
    </row>
    <row r="17" spans="1:53" ht="14.4" x14ac:dyDescent="0.3">
      <c r="A17" s="318" t="s">
        <v>86</v>
      </c>
      <c r="B17" s="242">
        <v>4000000</v>
      </c>
      <c r="C17" s="242">
        <v>2568445</v>
      </c>
      <c r="D17" s="244">
        <f t="shared" si="0"/>
        <v>0.64211125000000002</v>
      </c>
      <c r="E17" s="242">
        <v>4000000</v>
      </c>
      <c r="F17" s="242">
        <v>2364990</v>
      </c>
      <c r="G17" s="244">
        <f t="shared" si="1"/>
        <v>0.59124750000000004</v>
      </c>
      <c r="H17" s="242">
        <v>4000000</v>
      </c>
      <c r="I17" s="242">
        <v>2682850</v>
      </c>
      <c r="J17" s="244">
        <f t="shared" si="2"/>
        <v>0.67071250000000004</v>
      </c>
      <c r="K17" s="259">
        <v>4000000</v>
      </c>
      <c r="L17" s="259">
        <v>3431600</v>
      </c>
      <c r="M17" s="316">
        <f t="shared" si="3"/>
        <v>0.8579</v>
      </c>
      <c r="AO17" s="311" t="s">
        <v>86</v>
      </c>
      <c r="AP17" s="242">
        <v>180000</v>
      </c>
      <c r="AQ17" s="242">
        <v>158082</v>
      </c>
      <c r="AR17" s="244">
        <f t="shared" si="4"/>
        <v>0.87823333333333331</v>
      </c>
      <c r="AS17" s="242">
        <v>180000</v>
      </c>
      <c r="AT17" s="242">
        <v>210296</v>
      </c>
      <c r="AU17" s="244">
        <f t="shared" si="5"/>
        <v>1.1683111111111111</v>
      </c>
      <c r="AV17" s="259">
        <v>180000</v>
      </c>
      <c r="AW17" s="259">
        <v>215570</v>
      </c>
      <c r="AX17" s="316">
        <f t="shared" si="6"/>
        <v>1.1976111111111112</v>
      </c>
      <c r="AY17" s="259">
        <v>200000</v>
      </c>
      <c r="AZ17" s="259">
        <v>201583</v>
      </c>
      <c r="BA17" s="316">
        <f t="shared" si="7"/>
        <v>1.0079149999999999</v>
      </c>
    </row>
    <row r="18" spans="1:53" ht="14.4" x14ac:dyDescent="0.3">
      <c r="A18" s="318" t="s">
        <v>5</v>
      </c>
      <c r="B18" s="242">
        <v>6600000</v>
      </c>
      <c r="C18" s="242">
        <v>4780582</v>
      </c>
      <c r="D18" s="244">
        <f t="shared" si="0"/>
        <v>0.72433060606060606</v>
      </c>
      <c r="E18" s="242">
        <v>6600000</v>
      </c>
      <c r="F18" s="242">
        <v>4662166</v>
      </c>
      <c r="G18" s="244">
        <f t="shared" si="1"/>
        <v>0.70638878787878789</v>
      </c>
      <c r="H18" s="242">
        <v>6600000</v>
      </c>
      <c r="I18" s="242">
        <v>3604081</v>
      </c>
      <c r="J18" s="244">
        <f t="shared" si="2"/>
        <v>0.5460728787878788</v>
      </c>
      <c r="K18" s="259">
        <v>6600000</v>
      </c>
      <c r="L18" s="259">
        <v>3778333</v>
      </c>
      <c r="M18" s="316">
        <f t="shared" si="3"/>
        <v>0.57247469696969699</v>
      </c>
      <c r="AO18" s="311" t="s">
        <v>5</v>
      </c>
      <c r="AP18" s="242">
        <v>350000</v>
      </c>
      <c r="AQ18" s="242">
        <v>173796</v>
      </c>
      <c r="AR18" s="244">
        <f t="shared" si="4"/>
        <v>0.49656</v>
      </c>
      <c r="AS18" s="242">
        <v>350000</v>
      </c>
      <c r="AT18" s="242">
        <v>226506</v>
      </c>
      <c r="AU18" s="244">
        <f t="shared" si="5"/>
        <v>0.64715999999999996</v>
      </c>
      <c r="AV18" s="259">
        <v>350000</v>
      </c>
      <c r="AW18" s="259">
        <v>169153</v>
      </c>
      <c r="AX18" s="316">
        <f t="shared" si="6"/>
        <v>0.48329428571428573</v>
      </c>
      <c r="AY18" s="259">
        <v>300000</v>
      </c>
      <c r="AZ18" s="259">
        <v>140126</v>
      </c>
      <c r="BA18" s="316">
        <f t="shared" si="7"/>
        <v>0.46708666666666665</v>
      </c>
    </row>
    <row r="19" spans="1:53" ht="14.4" x14ac:dyDescent="0.3">
      <c r="A19" s="318" t="s">
        <v>23</v>
      </c>
      <c r="B19" s="242">
        <v>6500000</v>
      </c>
      <c r="C19" s="242">
        <v>4570445</v>
      </c>
      <c r="D19" s="244">
        <f t="shared" si="0"/>
        <v>0.70314538461538456</v>
      </c>
      <c r="E19" s="242">
        <v>6500000</v>
      </c>
      <c r="F19" s="242">
        <v>5308236</v>
      </c>
      <c r="G19" s="244">
        <f t="shared" si="1"/>
        <v>0.8166516923076923</v>
      </c>
      <c r="H19" s="242">
        <v>6500000</v>
      </c>
      <c r="I19" s="242">
        <v>4427621</v>
      </c>
      <c r="J19" s="244">
        <f t="shared" si="2"/>
        <v>0.68117246153846156</v>
      </c>
      <c r="K19" s="259">
        <v>6500000</v>
      </c>
      <c r="L19" s="259">
        <v>3886871</v>
      </c>
      <c r="M19" s="316">
        <f t="shared" si="3"/>
        <v>0.59798015384615388</v>
      </c>
      <c r="AO19" s="311" t="s">
        <v>23</v>
      </c>
      <c r="AP19" s="242">
        <v>350000</v>
      </c>
      <c r="AQ19" s="242">
        <v>200470</v>
      </c>
      <c r="AR19" s="244">
        <f t="shared" si="4"/>
        <v>0.5727714285714286</v>
      </c>
      <c r="AS19" s="242">
        <v>350000</v>
      </c>
      <c r="AT19" s="242">
        <v>356259</v>
      </c>
      <c r="AU19" s="244">
        <f t="shared" si="5"/>
        <v>1.0178828571428571</v>
      </c>
      <c r="AV19" s="259">
        <v>350000</v>
      </c>
      <c r="AW19" s="259">
        <v>235655</v>
      </c>
      <c r="AX19" s="316">
        <f t="shared" si="6"/>
        <v>0.67330000000000001</v>
      </c>
      <c r="AY19" s="259">
        <v>350000</v>
      </c>
      <c r="AZ19" s="259">
        <v>244356</v>
      </c>
      <c r="BA19" s="316">
        <f t="shared" si="7"/>
        <v>0.69816</v>
      </c>
    </row>
    <row r="20" spans="1:53" ht="14.4" x14ac:dyDescent="0.3">
      <c r="A20" s="318" t="s">
        <v>87</v>
      </c>
      <c r="B20" s="242">
        <v>2500000</v>
      </c>
      <c r="C20" s="242">
        <v>2523370</v>
      </c>
      <c r="D20" s="244">
        <f t="shared" si="0"/>
        <v>1.0093479999999999</v>
      </c>
      <c r="E20" s="242">
        <v>2500000</v>
      </c>
      <c r="F20" s="242">
        <v>2047395</v>
      </c>
      <c r="G20" s="244">
        <f t="shared" si="1"/>
        <v>0.81895799999999996</v>
      </c>
      <c r="H20" s="242">
        <v>2500000</v>
      </c>
      <c r="I20" s="242">
        <v>1887110</v>
      </c>
      <c r="J20" s="244">
        <f t="shared" si="2"/>
        <v>0.75484399999999996</v>
      </c>
      <c r="K20" s="259">
        <v>2500000</v>
      </c>
      <c r="L20" s="259">
        <v>963600</v>
      </c>
      <c r="M20" s="316">
        <f t="shared" si="3"/>
        <v>0.38544</v>
      </c>
      <c r="AO20" s="311" t="s">
        <v>87</v>
      </c>
      <c r="AP20" s="242">
        <v>300000</v>
      </c>
      <c r="AQ20" s="242">
        <v>84960</v>
      </c>
      <c r="AR20" s="244">
        <f t="shared" si="4"/>
        <v>0.28320000000000001</v>
      </c>
      <c r="AS20" s="242">
        <v>300000</v>
      </c>
      <c r="AT20" s="242">
        <v>224018</v>
      </c>
      <c r="AU20" s="244">
        <f t="shared" si="5"/>
        <v>0.74672666666666665</v>
      </c>
      <c r="AV20" s="259">
        <v>300000</v>
      </c>
      <c r="AW20" s="259">
        <v>68855</v>
      </c>
      <c r="AX20" s="316">
        <f t="shared" si="6"/>
        <v>0.22951666666666667</v>
      </c>
      <c r="AY20" s="259">
        <v>225000</v>
      </c>
      <c r="AZ20" s="259">
        <v>42700</v>
      </c>
      <c r="BA20" s="316">
        <f t="shared" si="7"/>
        <v>0.18977777777777777</v>
      </c>
    </row>
    <row r="21" spans="1:53" ht="14.4" x14ac:dyDescent="0.3">
      <c r="A21" s="318" t="s">
        <v>129</v>
      </c>
      <c r="B21" s="242">
        <v>6000000</v>
      </c>
      <c r="C21" s="242">
        <v>5921751</v>
      </c>
      <c r="D21" s="244">
        <f t="shared" si="0"/>
        <v>0.98695849999999996</v>
      </c>
      <c r="E21" s="242">
        <v>6000000</v>
      </c>
      <c r="F21" s="242">
        <v>2084979</v>
      </c>
      <c r="G21" s="244">
        <f t="shared" si="1"/>
        <v>0.34749649999999999</v>
      </c>
      <c r="H21" s="242">
        <v>6000000</v>
      </c>
      <c r="I21" s="242">
        <v>5486011</v>
      </c>
      <c r="J21" s="244">
        <f t="shared" si="2"/>
        <v>0.9143351666666667</v>
      </c>
      <c r="K21" s="259">
        <v>6000000</v>
      </c>
      <c r="L21" s="259">
        <v>2968945</v>
      </c>
      <c r="M21" s="316">
        <f t="shared" si="3"/>
        <v>0.49482416666666668</v>
      </c>
      <c r="AO21" s="311" t="s">
        <v>129</v>
      </c>
      <c r="AP21" s="242">
        <v>350000</v>
      </c>
      <c r="AQ21" s="242">
        <v>211710</v>
      </c>
      <c r="AR21" s="244">
        <f t="shared" si="4"/>
        <v>0.60488571428571425</v>
      </c>
      <c r="AS21" s="242">
        <v>350000</v>
      </c>
      <c r="AT21" s="242">
        <v>131120</v>
      </c>
      <c r="AU21" s="244">
        <f t="shared" si="5"/>
        <v>0.37462857142857142</v>
      </c>
      <c r="AV21" s="259">
        <v>350000</v>
      </c>
      <c r="AW21" s="259">
        <v>202983</v>
      </c>
      <c r="AX21" s="316">
        <f t="shared" si="6"/>
        <v>0.57995142857142856</v>
      </c>
      <c r="AY21" s="259">
        <v>300000</v>
      </c>
      <c r="AZ21" s="259">
        <v>172610</v>
      </c>
      <c r="BA21" s="316">
        <f t="shared" si="7"/>
        <v>0.57536666666666669</v>
      </c>
    </row>
    <row r="22" spans="1:53" ht="14.4" x14ac:dyDescent="0.3">
      <c r="A22" s="318" t="s">
        <v>130</v>
      </c>
      <c r="B22" s="242">
        <v>6300000</v>
      </c>
      <c r="C22" s="242">
        <v>4574171</v>
      </c>
      <c r="D22" s="244">
        <f t="shared" si="0"/>
        <v>0.72605888888888892</v>
      </c>
      <c r="E22" s="242">
        <v>6300000</v>
      </c>
      <c r="F22" s="242">
        <v>4947335</v>
      </c>
      <c r="G22" s="244">
        <f t="shared" si="1"/>
        <v>0.78529126984126985</v>
      </c>
      <c r="H22" s="242">
        <v>6300000</v>
      </c>
      <c r="I22" s="242">
        <v>5268745</v>
      </c>
      <c r="J22" s="244">
        <f t="shared" si="2"/>
        <v>0.8363087301587302</v>
      </c>
      <c r="K22" s="259">
        <v>6300000</v>
      </c>
      <c r="L22" s="259">
        <v>3705440</v>
      </c>
      <c r="M22" s="316">
        <f t="shared" si="3"/>
        <v>0.58816507936507934</v>
      </c>
      <c r="AO22" s="311" t="s">
        <v>130</v>
      </c>
      <c r="AP22" s="242">
        <v>370000</v>
      </c>
      <c r="AQ22" s="242">
        <v>219057</v>
      </c>
      <c r="AR22" s="244">
        <f t="shared" si="4"/>
        <v>0.59204594594594595</v>
      </c>
      <c r="AS22" s="242">
        <v>370000</v>
      </c>
      <c r="AT22" s="242">
        <v>244408</v>
      </c>
      <c r="AU22" s="244">
        <f t="shared" si="5"/>
        <v>0.66056216216216213</v>
      </c>
      <c r="AV22" s="259">
        <v>370000</v>
      </c>
      <c r="AW22" s="259">
        <v>215876</v>
      </c>
      <c r="AX22" s="316">
        <f t="shared" si="6"/>
        <v>0.58344864864864865</v>
      </c>
      <c r="AY22" s="259">
        <v>325000</v>
      </c>
      <c r="AZ22" s="259">
        <v>151210</v>
      </c>
      <c r="BA22" s="316">
        <f t="shared" si="7"/>
        <v>0.46526153846153845</v>
      </c>
    </row>
    <row r="23" spans="1:53" ht="14.4" x14ac:dyDescent="0.3">
      <c r="A23" s="318" t="s">
        <v>131</v>
      </c>
      <c r="B23" s="242">
        <v>2500000</v>
      </c>
      <c r="C23" s="242">
        <v>1408750</v>
      </c>
      <c r="D23" s="244">
        <f t="shared" si="0"/>
        <v>0.5635</v>
      </c>
      <c r="E23" s="242">
        <v>2500000</v>
      </c>
      <c r="F23" s="242">
        <v>2392410</v>
      </c>
      <c r="G23" s="244">
        <f t="shared" si="1"/>
        <v>0.95696400000000004</v>
      </c>
      <c r="H23" s="242">
        <v>2500000</v>
      </c>
      <c r="I23" s="242">
        <v>1056650</v>
      </c>
      <c r="J23" s="244">
        <f t="shared" si="2"/>
        <v>0.42265999999999998</v>
      </c>
      <c r="K23" s="259">
        <v>2500000</v>
      </c>
      <c r="L23" s="259">
        <v>1855675</v>
      </c>
      <c r="M23" s="316">
        <f t="shared" si="3"/>
        <v>0.74226999999999999</v>
      </c>
      <c r="AO23" s="311" t="s">
        <v>131</v>
      </c>
      <c r="AP23" s="242">
        <v>100000</v>
      </c>
      <c r="AQ23" s="242">
        <v>64479</v>
      </c>
      <c r="AR23" s="244">
        <f t="shared" si="4"/>
        <v>0.64478999999999997</v>
      </c>
      <c r="AS23" s="242">
        <v>100000</v>
      </c>
      <c r="AT23" s="242">
        <v>111310</v>
      </c>
      <c r="AU23" s="244">
        <f t="shared" si="5"/>
        <v>1.1131</v>
      </c>
      <c r="AV23" s="259">
        <v>100000</v>
      </c>
      <c r="AW23" s="259">
        <v>84530</v>
      </c>
      <c r="AX23" s="316">
        <f t="shared" si="6"/>
        <v>0.84530000000000005</v>
      </c>
      <c r="AY23" s="259">
        <v>100000</v>
      </c>
      <c r="AZ23" s="259">
        <v>118990</v>
      </c>
      <c r="BA23" s="316">
        <f t="shared" si="7"/>
        <v>1.1899</v>
      </c>
    </row>
    <row r="24" spans="1:53" ht="14.4" x14ac:dyDescent="0.3">
      <c r="A24" s="318" t="s">
        <v>125</v>
      </c>
      <c r="B24" s="242">
        <v>0</v>
      </c>
      <c r="C24" s="242">
        <v>253700</v>
      </c>
      <c r="D24" s="244" t="e">
        <f t="shared" si="0"/>
        <v>#DIV/0!</v>
      </c>
      <c r="E24" s="242">
        <v>1000000</v>
      </c>
      <c r="F24" s="242">
        <v>671400</v>
      </c>
      <c r="G24" s="244">
        <f t="shared" si="1"/>
        <v>0.6714</v>
      </c>
      <c r="H24" s="242">
        <v>1000000</v>
      </c>
      <c r="I24" s="242">
        <v>1188580</v>
      </c>
      <c r="J24" s="244">
        <f t="shared" si="2"/>
        <v>1.18858</v>
      </c>
      <c r="K24" s="259">
        <v>1000000</v>
      </c>
      <c r="L24" s="259">
        <v>1012950</v>
      </c>
      <c r="M24" s="316">
        <f t="shared" si="3"/>
        <v>1.01295</v>
      </c>
      <c r="AO24" s="311" t="s">
        <v>125</v>
      </c>
      <c r="AP24" s="242">
        <v>0</v>
      </c>
      <c r="AQ24" s="242">
        <v>15900</v>
      </c>
      <c r="AR24" s="244" t="e">
        <f t="shared" si="4"/>
        <v>#DIV/0!</v>
      </c>
      <c r="AS24" s="242">
        <v>0</v>
      </c>
      <c r="AT24" s="242">
        <v>86790</v>
      </c>
      <c r="AU24" s="244" t="e">
        <f t="shared" si="5"/>
        <v>#DIV/0!</v>
      </c>
      <c r="AV24" s="259">
        <v>90000</v>
      </c>
      <c r="AW24" s="259">
        <v>101474</v>
      </c>
      <c r="AX24" s="316">
        <f t="shared" si="6"/>
        <v>1.127488888888889</v>
      </c>
      <c r="AY24" s="259">
        <v>95000</v>
      </c>
      <c r="AZ24" s="259">
        <v>72219</v>
      </c>
      <c r="BA24" s="316">
        <f t="shared" si="7"/>
        <v>0.76019999999999999</v>
      </c>
    </row>
    <row r="25" spans="1:53" ht="14.4" x14ac:dyDescent="0.3">
      <c r="A25" s="318" t="s">
        <v>9</v>
      </c>
      <c r="B25" s="242">
        <v>2500000</v>
      </c>
      <c r="C25" s="242">
        <v>1518485</v>
      </c>
      <c r="D25" s="244">
        <f t="shared" si="0"/>
        <v>0.60739399999999999</v>
      </c>
      <c r="E25" s="242">
        <v>2500000</v>
      </c>
      <c r="F25" s="242">
        <v>1924296</v>
      </c>
      <c r="G25" s="244">
        <f t="shared" si="1"/>
        <v>0.76971840000000002</v>
      </c>
      <c r="H25" s="242">
        <v>2500000</v>
      </c>
      <c r="I25" s="242">
        <v>2522441</v>
      </c>
      <c r="J25" s="244">
        <f t="shared" si="2"/>
        <v>1.0089764000000001</v>
      </c>
      <c r="K25" s="259">
        <v>2500000</v>
      </c>
      <c r="L25" s="259">
        <v>2027240</v>
      </c>
      <c r="M25" s="316">
        <f t="shared" si="3"/>
        <v>0.81089599999999995</v>
      </c>
      <c r="AO25" s="311" t="s">
        <v>9</v>
      </c>
      <c r="AP25" s="242">
        <v>130000</v>
      </c>
      <c r="AQ25" s="242">
        <v>111727</v>
      </c>
      <c r="AR25" s="244">
        <f t="shared" si="4"/>
        <v>0.85943846153846148</v>
      </c>
      <c r="AS25" s="242">
        <v>130000</v>
      </c>
      <c r="AT25" s="242">
        <v>158616</v>
      </c>
      <c r="AU25" s="244">
        <f t="shared" si="5"/>
        <v>1.2201230769230769</v>
      </c>
      <c r="AV25" s="259">
        <v>130000</v>
      </c>
      <c r="AW25" s="259">
        <v>156310</v>
      </c>
      <c r="AX25" s="316">
        <f t="shared" si="6"/>
        <v>1.2023846153846154</v>
      </c>
      <c r="AY25" s="259">
        <v>150000</v>
      </c>
      <c r="AZ25" s="259">
        <v>169681</v>
      </c>
      <c r="BA25" s="316">
        <f t="shared" si="7"/>
        <v>1.1312066666666667</v>
      </c>
    </row>
    <row r="26" spans="1:53" ht="14.4" x14ac:dyDescent="0.3">
      <c r="A26" s="318" t="s">
        <v>12</v>
      </c>
      <c r="B26" s="242">
        <v>2600000</v>
      </c>
      <c r="C26" s="242">
        <v>1391895</v>
      </c>
      <c r="D26" s="244">
        <f t="shared" si="0"/>
        <v>0.53534423076923077</v>
      </c>
      <c r="E26" s="242">
        <v>2600000</v>
      </c>
      <c r="F26" s="242">
        <v>899150</v>
      </c>
      <c r="G26" s="244">
        <f t="shared" si="1"/>
        <v>0.34582692307692309</v>
      </c>
      <c r="H26" s="242">
        <v>2600000</v>
      </c>
      <c r="I26" s="242">
        <v>1440129</v>
      </c>
      <c r="J26" s="244">
        <f t="shared" si="2"/>
        <v>0.55389576923076922</v>
      </c>
      <c r="K26" s="259">
        <v>2600000</v>
      </c>
      <c r="L26" s="259">
        <v>1808380</v>
      </c>
      <c r="M26" s="316">
        <f t="shared" si="3"/>
        <v>0.69553076923076929</v>
      </c>
      <c r="AO26" s="311" t="s">
        <v>12</v>
      </c>
      <c r="AP26" s="242">
        <v>170000</v>
      </c>
      <c r="AQ26" s="242">
        <v>93631</v>
      </c>
      <c r="AR26" s="244">
        <f t="shared" si="4"/>
        <v>0.55077058823529412</v>
      </c>
      <c r="AS26" s="242">
        <v>170000</v>
      </c>
      <c r="AT26" s="242">
        <v>67826</v>
      </c>
      <c r="AU26" s="244">
        <f t="shared" si="5"/>
        <v>0.39897647058823532</v>
      </c>
      <c r="AV26" s="259">
        <v>170000</v>
      </c>
      <c r="AW26" s="259">
        <v>176788</v>
      </c>
      <c r="AX26" s="316">
        <f t="shared" si="6"/>
        <v>1.039929411764706</v>
      </c>
      <c r="AY26" s="259">
        <v>170000</v>
      </c>
      <c r="AZ26" s="259">
        <v>173835</v>
      </c>
      <c r="BA26" s="316">
        <f t="shared" si="7"/>
        <v>1.0225588235294119</v>
      </c>
    </row>
    <row r="27" spans="1:53" ht="14.4" x14ac:dyDescent="0.3">
      <c r="A27" s="318" t="s">
        <v>117</v>
      </c>
      <c r="B27" s="242">
        <v>2200000</v>
      </c>
      <c r="C27" s="242">
        <v>811781</v>
      </c>
      <c r="D27" s="244">
        <f t="shared" si="0"/>
        <v>0.36899136363636365</v>
      </c>
      <c r="E27" s="242">
        <v>2200000</v>
      </c>
      <c r="F27" s="242">
        <v>1141971</v>
      </c>
      <c r="G27" s="244">
        <f t="shared" si="1"/>
        <v>0.51907772727272727</v>
      </c>
      <c r="H27" s="242">
        <v>2200000</v>
      </c>
      <c r="I27" s="242">
        <v>783471</v>
      </c>
      <c r="J27" s="244">
        <f t="shared" si="2"/>
        <v>0.35612318181818181</v>
      </c>
      <c r="K27" s="259">
        <v>2200000</v>
      </c>
      <c r="L27" s="259">
        <v>1039770</v>
      </c>
      <c r="M27" s="316">
        <f t="shared" si="3"/>
        <v>0.47262272727272725</v>
      </c>
      <c r="AO27" s="311" t="s">
        <v>117</v>
      </c>
      <c r="AP27" s="242">
        <v>150000</v>
      </c>
      <c r="AQ27" s="242">
        <v>14950</v>
      </c>
      <c r="AR27" s="244">
        <f t="shared" si="4"/>
        <v>9.9666666666666667E-2</v>
      </c>
      <c r="AS27" s="242">
        <v>150000</v>
      </c>
      <c r="AT27" s="242">
        <v>52503</v>
      </c>
      <c r="AU27" s="244">
        <f t="shared" si="5"/>
        <v>0.35002</v>
      </c>
      <c r="AV27" s="259">
        <v>150000</v>
      </c>
      <c r="AW27" s="259">
        <v>49533</v>
      </c>
      <c r="AX27" s="316">
        <f t="shared" si="6"/>
        <v>0.33022000000000001</v>
      </c>
      <c r="AY27" s="259">
        <v>65000</v>
      </c>
      <c r="AZ27" s="259">
        <v>25100</v>
      </c>
      <c r="BA27" s="316">
        <f t="shared" si="7"/>
        <v>0.38615384615384618</v>
      </c>
    </row>
    <row r="28" spans="1:53" ht="14.4" x14ac:dyDescent="0.3">
      <c r="A28" s="318" t="s">
        <v>132</v>
      </c>
      <c r="B28" s="242">
        <v>0</v>
      </c>
      <c r="C28" s="242">
        <v>480300</v>
      </c>
      <c r="D28" s="244" t="e">
        <f t="shared" si="0"/>
        <v>#DIV/0!</v>
      </c>
      <c r="E28" s="242">
        <v>0</v>
      </c>
      <c r="F28" s="242">
        <v>500200</v>
      </c>
      <c r="G28" s="244" t="e">
        <f t="shared" si="1"/>
        <v>#DIV/0!</v>
      </c>
      <c r="H28" s="242">
        <v>0</v>
      </c>
      <c r="I28" s="242">
        <v>406749</v>
      </c>
      <c r="J28" s="244" t="e">
        <f t="shared" si="2"/>
        <v>#DIV/0!</v>
      </c>
      <c r="K28" s="259">
        <v>0</v>
      </c>
      <c r="L28" s="259">
        <v>869698</v>
      </c>
      <c r="M28" s="316" t="e">
        <f t="shared" si="3"/>
        <v>#DIV/0!</v>
      </c>
      <c r="AO28" s="311" t="s">
        <v>132</v>
      </c>
      <c r="AP28" s="242">
        <v>0</v>
      </c>
      <c r="AQ28" s="242">
        <v>0</v>
      </c>
      <c r="AR28" s="244" t="e">
        <f t="shared" si="4"/>
        <v>#DIV/0!</v>
      </c>
      <c r="AS28" s="242">
        <v>0</v>
      </c>
      <c r="AT28" s="242">
        <v>0</v>
      </c>
      <c r="AU28" s="244" t="e">
        <f t="shared" si="5"/>
        <v>#DIV/0!</v>
      </c>
      <c r="AV28" s="259">
        <v>0</v>
      </c>
      <c r="AW28" s="259">
        <v>0</v>
      </c>
      <c r="AX28" s="316" t="e">
        <f t="shared" si="6"/>
        <v>#DIV/0!</v>
      </c>
      <c r="AY28" s="259">
        <v>0</v>
      </c>
      <c r="AZ28" s="259">
        <v>0</v>
      </c>
      <c r="BA28" s="316" t="e">
        <f t="shared" si="7"/>
        <v>#DIV/0!</v>
      </c>
    </row>
    <row r="29" spans="1:53" ht="14.4" x14ac:dyDescent="0.3">
      <c r="A29" s="318" t="s">
        <v>114</v>
      </c>
      <c r="B29" s="242">
        <v>2200000</v>
      </c>
      <c r="C29" s="242">
        <v>1288300</v>
      </c>
      <c r="D29" s="244">
        <f t="shared" si="0"/>
        <v>0.58559090909090905</v>
      </c>
      <c r="E29" s="242">
        <v>2200000</v>
      </c>
      <c r="F29" s="242">
        <v>1400230</v>
      </c>
      <c r="G29" s="244">
        <f t="shared" si="1"/>
        <v>0.63646818181818177</v>
      </c>
      <c r="H29" s="242">
        <v>2200000</v>
      </c>
      <c r="I29" s="242">
        <v>1242850</v>
      </c>
      <c r="J29" s="244">
        <f t="shared" si="2"/>
        <v>0.56493181818181815</v>
      </c>
      <c r="K29" s="259">
        <v>2200000</v>
      </c>
      <c r="L29" s="259">
        <v>2236010</v>
      </c>
      <c r="M29" s="316">
        <f t="shared" si="3"/>
        <v>1.0163681818181818</v>
      </c>
      <c r="AO29" s="311" t="s">
        <v>114</v>
      </c>
      <c r="AP29" s="242">
        <v>150000</v>
      </c>
      <c r="AQ29" s="242">
        <v>133378</v>
      </c>
      <c r="AR29" s="244">
        <f t="shared" si="4"/>
        <v>0.88918666666666668</v>
      </c>
      <c r="AS29" s="242">
        <v>150000</v>
      </c>
      <c r="AT29" s="242">
        <v>236977</v>
      </c>
      <c r="AU29" s="244">
        <f t="shared" si="5"/>
        <v>1.5798466666666666</v>
      </c>
      <c r="AV29" s="259">
        <v>150000</v>
      </c>
      <c r="AW29" s="259">
        <v>158060</v>
      </c>
      <c r="AX29" s="316">
        <f t="shared" si="6"/>
        <v>1.0537333333333334</v>
      </c>
      <c r="AY29" s="259">
        <v>160000</v>
      </c>
      <c r="AZ29" s="259">
        <v>248703</v>
      </c>
      <c r="BA29" s="316">
        <f t="shared" si="7"/>
        <v>1.55439375</v>
      </c>
    </row>
    <row r="30" spans="1:53" ht="14.4" x14ac:dyDescent="0.3">
      <c r="A30" s="318" t="s">
        <v>121</v>
      </c>
      <c r="B30" s="242">
        <v>2100000</v>
      </c>
      <c r="C30" s="242">
        <v>1204450</v>
      </c>
      <c r="D30" s="244">
        <f t="shared" si="0"/>
        <v>0.57354761904761908</v>
      </c>
      <c r="E30" s="242">
        <v>2100000</v>
      </c>
      <c r="F30" s="242">
        <v>801550</v>
      </c>
      <c r="G30" s="244">
        <f t="shared" si="1"/>
        <v>0.38169047619047619</v>
      </c>
      <c r="H30" s="242">
        <v>2100000</v>
      </c>
      <c r="I30" s="242">
        <v>1961906</v>
      </c>
      <c r="J30" s="244">
        <f t="shared" si="2"/>
        <v>0.93424095238095239</v>
      </c>
      <c r="K30" s="259">
        <v>2100000</v>
      </c>
      <c r="L30" s="259">
        <v>1311450</v>
      </c>
      <c r="M30" s="316">
        <f t="shared" si="3"/>
        <v>0.62450000000000006</v>
      </c>
      <c r="AO30" s="311" t="s">
        <v>121</v>
      </c>
      <c r="AP30" s="242">
        <v>50000</v>
      </c>
      <c r="AQ30" s="242">
        <v>38400</v>
      </c>
      <c r="AR30" s="244">
        <f t="shared" si="4"/>
        <v>0.76800000000000002</v>
      </c>
      <c r="AS30" s="242">
        <v>50000</v>
      </c>
      <c r="AT30" s="242">
        <v>86750</v>
      </c>
      <c r="AU30" s="244">
        <f t="shared" si="5"/>
        <v>1.7350000000000001</v>
      </c>
      <c r="AV30" s="259">
        <v>50000</v>
      </c>
      <c r="AW30" s="259">
        <v>54655</v>
      </c>
      <c r="AX30" s="316">
        <f t="shared" si="6"/>
        <v>1.0931</v>
      </c>
      <c r="AY30" s="259">
        <v>65000</v>
      </c>
      <c r="AZ30" s="259">
        <v>47094</v>
      </c>
      <c r="BA30" s="316">
        <f t="shared" si="7"/>
        <v>0.72452307692307694</v>
      </c>
    </row>
    <row r="31" spans="1:53" ht="14.4" x14ac:dyDescent="0.3">
      <c r="A31" s="318" t="s">
        <v>113</v>
      </c>
      <c r="B31" s="242">
        <v>2200000</v>
      </c>
      <c r="C31" s="242">
        <v>1297040</v>
      </c>
      <c r="D31" s="244">
        <f t="shared" si="0"/>
        <v>0.5895636363636364</v>
      </c>
      <c r="E31" s="242">
        <v>2200000</v>
      </c>
      <c r="F31" s="242">
        <v>1359490</v>
      </c>
      <c r="G31" s="244">
        <f t="shared" si="1"/>
        <v>0.61795</v>
      </c>
      <c r="H31" s="242">
        <v>2200000</v>
      </c>
      <c r="I31" s="242">
        <v>1366050</v>
      </c>
      <c r="J31" s="244">
        <f t="shared" si="2"/>
        <v>0.6209318181818182</v>
      </c>
      <c r="K31" s="259">
        <v>2200000</v>
      </c>
      <c r="L31" s="259">
        <v>1526567</v>
      </c>
      <c r="M31" s="316">
        <f t="shared" si="3"/>
        <v>0.69389409090909093</v>
      </c>
      <c r="AO31" s="311" t="s">
        <v>113</v>
      </c>
      <c r="AP31" s="242">
        <v>150000</v>
      </c>
      <c r="AQ31" s="242">
        <v>161156</v>
      </c>
      <c r="AR31" s="244">
        <f t="shared" si="4"/>
        <v>1.0743733333333334</v>
      </c>
      <c r="AS31" s="242">
        <v>150000</v>
      </c>
      <c r="AT31" s="242">
        <v>139429</v>
      </c>
      <c r="AU31" s="244">
        <f t="shared" si="5"/>
        <v>0.92952666666666661</v>
      </c>
      <c r="AV31" s="259">
        <v>150000</v>
      </c>
      <c r="AW31" s="259">
        <v>133287</v>
      </c>
      <c r="AX31" s="316">
        <f t="shared" si="6"/>
        <v>0.88858000000000004</v>
      </c>
      <c r="AY31" s="259">
        <v>150000</v>
      </c>
      <c r="AZ31" s="259">
        <v>129887</v>
      </c>
      <c r="BA31" s="316">
        <f t="shared" si="7"/>
        <v>0.86591333333333331</v>
      </c>
    </row>
    <row r="32" spans="1:53" ht="14.4" x14ac:dyDescent="0.3">
      <c r="A32" s="318" t="s">
        <v>103</v>
      </c>
      <c r="B32" s="242">
        <v>0</v>
      </c>
      <c r="C32" s="242">
        <v>113365</v>
      </c>
      <c r="D32" s="244" t="e">
        <f t="shared" si="0"/>
        <v>#DIV/0!</v>
      </c>
      <c r="E32" s="242">
        <v>0</v>
      </c>
      <c r="F32" s="242">
        <v>140200</v>
      </c>
      <c r="G32" s="244" t="e">
        <f t="shared" si="1"/>
        <v>#DIV/0!</v>
      </c>
      <c r="H32" s="242">
        <v>0</v>
      </c>
      <c r="I32" s="242">
        <v>86500</v>
      </c>
      <c r="J32" s="244" t="e">
        <f t="shared" si="2"/>
        <v>#DIV/0!</v>
      </c>
      <c r="K32" s="259">
        <v>0</v>
      </c>
      <c r="L32" s="259">
        <v>130900</v>
      </c>
      <c r="M32" s="316" t="e">
        <f t="shared" si="3"/>
        <v>#DIV/0!</v>
      </c>
      <c r="AO32" s="311" t="s">
        <v>103</v>
      </c>
      <c r="AP32" s="242">
        <v>65000</v>
      </c>
      <c r="AQ32" s="242">
        <v>0</v>
      </c>
      <c r="AR32" s="244">
        <f t="shared" si="4"/>
        <v>0</v>
      </c>
      <c r="AS32" s="242">
        <v>65000</v>
      </c>
      <c r="AT32" s="242">
        <v>0</v>
      </c>
      <c r="AU32" s="244">
        <f t="shared" si="5"/>
        <v>0</v>
      </c>
      <c r="AV32" s="259">
        <v>0</v>
      </c>
      <c r="AW32" s="259">
        <v>0</v>
      </c>
      <c r="AX32" s="316" t="e">
        <f t="shared" si="6"/>
        <v>#DIV/0!</v>
      </c>
      <c r="AY32" s="259">
        <v>0</v>
      </c>
      <c r="AZ32" s="259">
        <v>0</v>
      </c>
      <c r="BA32" s="316" t="e">
        <f t="shared" si="7"/>
        <v>#DIV/0!</v>
      </c>
    </row>
    <row r="33" spans="1:79" ht="14.4" x14ac:dyDescent="0.3">
      <c r="A33" s="317" t="s">
        <v>144</v>
      </c>
      <c r="B33" s="242"/>
      <c r="C33" s="242"/>
      <c r="D33" s="244"/>
      <c r="E33" s="242"/>
      <c r="F33" s="242"/>
      <c r="G33" s="244"/>
      <c r="H33" s="242">
        <v>0</v>
      </c>
      <c r="I33" s="242">
        <v>1052750</v>
      </c>
      <c r="J33" s="244" t="e">
        <f t="shared" ref="J33:J34" si="8">I33/H33</f>
        <v>#DIV/0!</v>
      </c>
      <c r="K33" s="259">
        <v>1500000</v>
      </c>
      <c r="L33" s="259">
        <v>2010401</v>
      </c>
      <c r="M33" s="316">
        <f t="shared" si="3"/>
        <v>1.3402673333333333</v>
      </c>
      <c r="AO33" s="311" t="s">
        <v>144</v>
      </c>
      <c r="AP33" s="242"/>
      <c r="AQ33" s="242"/>
      <c r="AR33" s="244"/>
      <c r="AS33" s="242"/>
      <c r="AT33" s="242"/>
      <c r="AU33" s="244"/>
      <c r="AV33" s="259">
        <v>0</v>
      </c>
      <c r="AW33" s="259">
        <v>92703</v>
      </c>
      <c r="AX33" s="316" t="e">
        <f t="shared" si="6"/>
        <v>#DIV/0!</v>
      </c>
      <c r="AY33" s="259">
        <v>90000</v>
      </c>
      <c r="AZ33" s="259">
        <v>137080</v>
      </c>
      <c r="BA33" s="316">
        <f t="shared" si="7"/>
        <v>1.5231111111111111</v>
      </c>
    </row>
    <row r="34" spans="1:79" ht="14.4" x14ac:dyDescent="0.3">
      <c r="A34" s="317" t="s">
        <v>145</v>
      </c>
      <c r="B34" s="242"/>
      <c r="C34" s="242"/>
      <c r="D34" s="244"/>
      <c r="E34" s="242"/>
      <c r="F34" s="242"/>
      <c r="G34" s="244"/>
      <c r="H34" s="242">
        <v>0</v>
      </c>
      <c r="I34" s="242">
        <v>3600</v>
      </c>
      <c r="J34" s="244" t="e">
        <f t="shared" si="8"/>
        <v>#DIV/0!</v>
      </c>
      <c r="K34" s="259">
        <v>0</v>
      </c>
      <c r="L34" s="259">
        <v>82800</v>
      </c>
      <c r="M34" s="316" t="e">
        <f t="shared" si="3"/>
        <v>#DIV/0!</v>
      </c>
      <c r="AO34" s="311" t="s">
        <v>145</v>
      </c>
      <c r="AP34" s="242"/>
      <c r="AQ34" s="242"/>
      <c r="AR34" s="244"/>
      <c r="AS34" s="242"/>
      <c r="AT34" s="242"/>
      <c r="AU34" s="244"/>
      <c r="AV34" s="259">
        <v>0</v>
      </c>
      <c r="AW34" s="259">
        <v>0</v>
      </c>
      <c r="AX34" s="316" t="e">
        <f t="shared" si="6"/>
        <v>#DIV/0!</v>
      </c>
      <c r="AY34" s="259">
        <v>30000</v>
      </c>
      <c r="AZ34" s="259">
        <v>14165</v>
      </c>
      <c r="BA34" s="316">
        <f t="shared" si="7"/>
        <v>0.47216666666666668</v>
      </c>
    </row>
    <row r="35" spans="1:79" x14ac:dyDescent="0.3">
      <c r="A35" s="238" t="s">
        <v>14</v>
      </c>
      <c r="B35" s="238">
        <f>SUM(B3:B32)</f>
        <v>102250000</v>
      </c>
      <c r="C35" s="238">
        <f>SUM(C3:C32)</f>
        <v>72340572</v>
      </c>
      <c r="D35" s="249">
        <f t="shared" si="0"/>
        <v>0.70748725672371637</v>
      </c>
      <c r="E35" s="238">
        <f>SUM(E3:E32)</f>
        <v>104750000</v>
      </c>
      <c r="F35" s="248">
        <f>SUM(F3:F32)</f>
        <v>68915869</v>
      </c>
      <c r="G35" s="249">
        <f t="shared" si="1"/>
        <v>0.65790805727923629</v>
      </c>
      <c r="H35" s="248">
        <f>SUM(H3:H34)</f>
        <v>104750000</v>
      </c>
      <c r="I35" s="248">
        <f>SUM(I3:I34)</f>
        <v>80644322</v>
      </c>
      <c r="J35" s="249">
        <f t="shared" si="2"/>
        <v>0.76987419570405724</v>
      </c>
      <c r="K35" s="248">
        <f>SUM(K3:K34)</f>
        <v>105750000</v>
      </c>
      <c r="L35" s="248">
        <f t="shared" ref="L35" si="9">SUM(L3:L34)</f>
        <v>82255219</v>
      </c>
      <c r="M35" s="249">
        <f>L35/K35</f>
        <v>0.77782713002364068</v>
      </c>
      <c r="AO35" s="243" t="s">
        <v>32</v>
      </c>
      <c r="AP35" s="243">
        <f>SUM(AP3:AP32)</f>
        <v>6065000</v>
      </c>
      <c r="AQ35" s="243">
        <f>SUM(AQ3:AQ32)</f>
        <v>3229109</v>
      </c>
      <c r="AR35" s="313">
        <f t="shared" si="4"/>
        <v>0.53241698268755155</v>
      </c>
      <c r="AS35" s="243">
        <f>SUM(AS3:AS32)</f>
        <v>6065000</v>
      </c>
      <c r="AT35" s="243">
        <f>SUM(AT3:AT32)</f>
        <v>4834276</v>
      </c>
      <c r="AU35" s="313">
        <f t="shared" si="5"/>
        <v>0.7970776586974444</v>
      </c>
      <c r="AV35" s="319">
        <f>SUM(AV3:AV34)</f>
        <v>6180000</v>
      </c>
      <c r="AW35" s="319">
        <f>SUM(AW3:AW34)</f>
        <v>5285348</v>
      </c>
      <c r="AX35" s="320">
        <f t="shared" si="6"/>
        <v>0.85523430420711977</v>
      </c>
      <c r="AY35" s="319">
        <f>SUM(AY3:AY34)</f>
        <v>5910000</v>
      </c>
      <c r="AZ35" s="319">
        <f>SUM(AZ3:AZ34)</f>
        <v>5146380</v>
      </c>
      <c r="BA35" s="320">
        <f t="shared" ref="BA35" si="10">AZ35/AY35</f>
        <v>0.87079187817258885</v>
      </c>
    </row>
    <row r="37" spans="1:79" x14ac:dyDescent="0.3">
      <c r="AM37" s="263"/>
    </row>
    <row r="38" spans="1:79" x14ac:dyDescent="0.3">
      <c r="A38" s="254" t="s">
        <v>119</v>
      </c>
      <c r="B38" s="366">
        <v>45748</v>
      </c>
      <c r="C38" s="366"/>
      <c r="D38" s="366"/>
      <c r="E38" s="366">
        <v>45778</v>
      </c>
      <c r="F38" s="366"/>
      <c r="G38" s="366"/>
      <c r="H38" s="366">
        <v>45809</v>
      </c>
      <c r="I38" s="366"/>
      <c r="J38" s="366"/>
      <c r="K38" s="366">
        <v>45839</v>
      </c>
      <c r="L38" s="366"/>
      <c r="M38" s="366"/>
      <c r="N38" s="366">
        <v>45870</v>
      </c>
      <c r="O38" s="366"/>
      <c r="P38" s="366"/>
      <c r="Q38" s="366">
        <v>45901</v>
      </c>
      <c r="R38" s="366"/>
      <c r="S38" s="366"/>
      <c r="T38" s="366">
        <v>45931</v>
      </c>
      <c r="U38" s="366"/>
      <c r="V38" s="366"/>
      <c r="W38" s="366">
        <v>45962</v>
      </c>
      <c r="X38" s="366"/>
      <c r="Y38" s="366"/>
      <c r="Z38" s="366">
        <v>45992</v>
      </c>
      <c r="AA38" s="366"/>
      <c r="AB38" s="366"/>
      <c r="AC38" s="366">
        <v>46023</v>
      </c>
      <c r="AD38" s="366"/>
      <c r="AE38" s="366"/>
      <c r="AF38" s="366">
        <v>46054</v>
      </c>
      <c r="AG38" s="366"/>
      <c r="AH38" s="366"/>
      <c r="AI38" s="366">
        <v>46082</v>
      </c>
      <c r="AJ38" s="366"/>
      <c r="AK38" s="366"/>
      <c r="AL38" s="366" t="s">
        <v>44</v>
      </c>
      <c r="AM38" s="366"/>
      <c r="AN38" s="264"/>
      <c r="AO38" s="254" t="s">
        <v>120</v>
      </c>
      <c r="AP38" s="366">
        <v>45748</v>
      </c>
      <c r="AQ38" s="366"/>
      <c r="AR38" s="366"/>
      <c r="AS38" s="366">
        <v>45778</v>
      </c>
      <c r="AT38" s="366"/>
      <c r="AU38" s="366"/>
      <c r="AV38" s="366">
        <v>45809</v>
      </c>
      <c r="AW38" s="366"/>
      <c r="AX38" s="366"/>
      <c r="AY38" s="366">
        <v>45839</v>
      </c>
      <c r="AZ38" s="366"/>
      <c r="BA38" s="366"/>
      <c r="BB38" s="366">
        <v>45870</v>
      </c>
      <c r="BC38" s="366"/>
      <c r="BD38" s="366"/>
      <c r="BE38" s="366">
        <v>45901</v>
      </c>
      <c r="BF38" s="366"/>
      <c r="BG38" s="366"/>
      <c r="BH38" s="366">
        <v>45931</v>
      </c>
      <c r="BI38" s="366"/>
      <c r="BJ38" s="366"/>
      <c r="BK38" s="366">
        <v>45962</v>
      </c>
      <c r="BL38" s="366"/>
      <c r="BM38" s="366"/>
      <c r="BN38" s="366">
        <v>45992</v>
      </c>
      <c r="BO38" s="366"/>
      <c r="BP38" s="366"/>
      <c r="BQ38" s="366">
        <v>46023</v>
      </c>
      <c r="BR38" s="366"/>
      <c r="BS38" s="366"/>
      <c r="BT38" s="366">
        <v>46054</v>
      </c>
      <c r="BU38" s="366"/>
      <c r="BV38" s="366"/>
      <c r="BW38" s="366">
        <v>46082</v>
      </c>
      <c r="BX38" s="366"/>
      <c r="BY38" s="366"/>
      <c r="BZ38" s="366" t="s">
        <v>44</v>
      </c>
      <c r="CA38" s="366"/>
    </row>
    <row r="39" spans="1:79" x14ac:dyDescent="0.3">
      <c r="A39" s="238" t="s">
        <v>89</v>
      </c>
      <c r="B39" s="239" t="s">
        <v>90</v>
      </c>
      <c r="C39" s="240" t="s">
        <v>91</v>
      </c>
      <c r="D39" s="240" t="s">
        <v>98</v>
      </c>
      <c r="E39" s="239" t="s">
        <v>90</v>
      </c>
      <c r="F39" s="240" t="s">
        <v>91</v>
      </c>
      <c r="G39" s="240" t="s">
        <v>98</v>
      </c>
      <c r="H39" s="239" t="s">
        <v>90</v>
      </c>
      <c r="I39" s="240" t="s">
        <v>91</v>
      </c>
      <c r="J39" s="240" t="s">
        <v>98</v>
      </c>
      <c r="K39" s="239" t="s">
        <v>90</v>
      </c>
      <c r="L39" s="240" t="s">
        <v>91</v>
      </c>
      <c r="M39" s="240" t="s">
        <v>98</v>
      </c>
      <c r="N39" s="239" t="s">
        <v>90</v>
      </c>
      <c r="O39" s="240" t="s">
        <v>91</v>
      </c>
      <c r="P39" s="240" t="s">
        <v>98</v>
      </c>
      <c r="Q39" s="239" t="s">
        <v>90</v>
      </c>
      <c r="R39" s="240" t="s">
        <v>91</v>
      </c>
      <c r="S39" s="240" t="s">
        <v>98</v>
      </c>
      <c r="T39" s="239" t="s">
        <v>90</v>
      </c>
      <c r="U39" s="240" t="s">
        <v>91</v>
      </c>
      <c r="V39" s="240" t="s">
        <v>98</v>
      </c>
      <c r="W39" s="239" t="s">
        <v>90</v>
      </c>
      <c r="X39" s="240" t="s">
        <v>91</v>
      </c>
      <c r="Y39" s="240" t="s">
        <v>98</v>
      </c>
      <c r="Z39" s="239" t="s">
        <v>90</v>
      </c>
      <c r="AA39" s="240" t="s">
        <v>91</v>
      </c>
      <c r="AB39" s="240" t="s">
        <v>98</v>
      </c>
      <c r="AC39" s="239" t="s">
        <v>90</v>
      </c>
      <c r="AD39" s="240" t="s">
        <v>91</v>
      </c>
      <c r="AE39" s="240" t="s">
        <v>98</v>
      </c>
      <c r="AF39" s="239" t="s">
        <v>90</v>
      </c>
      <c r="AG39" s="240" t="s">
        <v>91</v>
      </c>
      <c r="AH39" s="240" t="s">
        <v>98</v>
      </c>
      <c r="AI39" s="239" t="s">
        <v>90</v>
      </c>
      <c r="AJ39" s="240" t="s">
        <v>91</v>
      </c>
      <c r="AK39" s="240" t="s">
        <v>98</v>
      </c>
      <c r="AL39" s="239" t="s">
        <v>90</v>
      </c>
      <c r="AM39" s="240" t="s">
        <v>91</v>
      </c>
      <c r="AN39" s="264"/>
      <c r="AO39" s="238" t="str">
        <f>A39</f>
        <v>Center Name</v>
      </c>
      <c r="AP39" s="248" t="str">
        <f t="shared" ref="AP39:BG39" si="11">B39</f>
        <v>TARGET</v>
      </c>
      <c r="AQ39" s="248" t="str">
        <f t="shared" si="11"/>
        <v>ACHIEVEMENT</v>
      </c>
      <c r="AR39" s="248" t="str">
        <f t="shared" si="11"/>
        <v>ACH%</v>
      </c>
      <c r="AS39" s="248" t="str">
        <f t="shared" si="11"/>
        <v>TARGET</v>
      </c>
      <c r="AT39" s="248" t="str">
        <f t="shared" si="11"/>
        <v>ACHIEVEMENT</v>
      </c>
      <c r="AU39" s="248" t="str">
        <f t="shared" si="11"/>
        <v>ACH%</v>
      </c>
      <c r="AV39" s="248" t="str">
        <f t="shared" si="11"/>
        <v>TARGET</v>
      </c>
      <c r="AW39" s="248" t="str">
        <f t="shared" si="11"/>
        <v>ACHIEVEMENT</v>
      </c>
      <c r="AX39" s="248" t="str">
        <f t="shared" si="11"/>
        <v>ACH%</v>
      </c>
      <c r="AY39" s="248" t="str">
        <f t="shared" si="11"/>
        <v>TARGET</v>
      </c>
      <c r="AZ39" s="248" t="str">
        <f t="shared" si="11"/>
        <v>ACHIEVEMENT</v>
      </c>
      <c r="BA39" s="248" t="str">
        <f t="shared" si="11"/>
        <v>ACH%</v>
      </c>
      <c r="BB39" s="248" t="str">
        <f t="shared" si="11"/>
        <v>TARGET</v>
      </c>
      <c r="BC39" s="248" t="str">
        <f t="shared" si="11"/>
        <v>ACHIEVEMENT</v>
      </c>
      <c r="BD39" s="248" t="str">
        <f t="shared" si="11"/>
        <v>ACH%</v>
      </c>
      <c r="BE39" s="248" t="str">
        <f t="shared" si="11"/>
        <v>TARGET</v>
      </c>
      <c r="BF39" s="248" t="str">
        <f t="shared" si="11"/>
        <v>ACHIEVEMENT</v>
      </c>
      <c r="BG39" s="248" t="str">
        <f t="shared" si="11"/>
        <v>ACH%</v>
      </c>
      <c r="BH39" s="248" t="str">
        <f t="shared" ref="BH39" si="12">T39</f>
        <v>TARGET</v>
      </c>
      <c r="BI39" s="248" t="str">
        <f t="shared" ref="BI39" si="13">U39</f>
        <v>ACHIEVEMENT</v>
      </c>
      <c r="BJ39" s="248" t="str">
        <f t="shared" ref="BJ39" si="14">V39</f>
        <v>ACH%</v>
      </c>
      <c r="BK39" s="248" t="str">
        <f t="shared" ref="BK39" si="15">W39</f>
        <v>TARGET</v>
      </c>
      <c r="BL39" s="248" t="str">
        <f t="shared" ref="BL39" si="16">X39</f>
        <v>ACHIEVEMENT</v>
      </c>
      <c r="BM39" s="248" t="str">
        <f t="shared" ref="BM39" si="17">Y39</f>
        <v>ACH%</v>
      </c>
      <c r="BN39" s="248" t="str">
        <f t="shared" ref="BN39" si="18">Z39</f>
        <v>TARGET</v>
      </c>
      <c r="BO39" s="248" t="str">
        <f t="shared" ref="BO39" si="19">AA39</f>
        <v>ACHIEVEMENT</v>
      </c>
      <c r="BP39" s="248" t="str">
        <f t="shared" ref="BP39" si="20">AB39</f>
        <v>ACH%</v>
      </c>
      <c r="BQ39" s="248" t="str">
        <f t="shared" ref="BQ39" si="21">AC39</f>
        <v>TARGET</v>
      </c>
      <c r="BR39" s="248" t="str">
        <f t="shared" ref="BR39" si="22">AD39</f>
        <v>ACHIEVEMENT</v>
      </c>
      <c r="BS39" s="248" t="str">
        <f t="shared" ref="BS39" si="23">AE39</f>
        <v>ACH%</v>
      </c>
      <c r="BT39" s="248" t="str">
        <f t="shared" ref="BT39" si="24">AF39</f>
        <v>TARGET</v>
      </c>
      <c r="BU39" s="248" t="str">
        <f t="shared" ref="BU39" si="25">AG39</f>
        <v>ACHIEVEMENT</v>
      </c>
      <c r="BV39" s="248" t="str">
        <f t="shared" ref="BV39" si="26">AH39</f>
        <v>ACH%</v>
      </c>
      <c r="BW39" s="248" t="str">
        <f t="shared" ref="BW39" si="27">AI39</f>
        <v>TARGET</v>
      </c>
      <c r="BX39" s="248" t="str">
        <f t="shared" ref="BX39" si="28">AJ39</f>
        <v>ACHIEVEMENT</v>
      </c>
      <c r="BY39" s="248" t="str">
        <f t="shared" ref="BY39" si="29">AK39</f>
        <v>ACH%</v>
      </c>
      <c r="BZ39" s="248" t="str">
        <f t="shared" ref="BZ39" si="30">AL39</f>
        <v>TARGET</v>
      </c>
      <c r="CA39" s="248" t="str">
        <f t="shared" ref="CA39" si="31">AM39</f>
        <v>ACHIEVEMENT</v>
      </c>
    </row>
    <row r="40" spans="1:79" x14ac:dyDescent="0.3">
      <c r="A40" s="241" t="s">
        <v>4</v>
      </c>
      <c r="B40" s="242">
        <v>14000000</v>
      </c>
      <c r="C40" s="243">
        <v>14166460</v>
      </c>
      <c r="D40" s="244">
        <f>C40/B40</f>
        <v>1.01189</v>
      </c>
      <c r="E40" s="242">
        <v>14000000</v>
      </c>
      <c r="F40" s="243">
        <v>10515490</v>
      </c>
      <c r="G40" s="244">
        <f>F40/E40</f>
        <v>0.75110642857142862</v>
      </c>
      <c r="H40" s="242">
        <v>14000000</v>
      </c>
      <c r="I40" s="243">
        <v>11854134</v>
      </c>
      <c r="J40" s="244">
        <f>I40/H40</f>
        <v>0.84672385714285714</v>
      </c>
      <c r="K40" s="242">
        <v>14000000</v>
      </c>
      <c r="L40" s="242">
        <v>13019421</v>
      </c>
      <c r="M40" s="244">
        <f>L40/K40</f>
        <v>0.9299586428571428</v>
      </c>
      <c r="N40" s="242">
        <v>14000000</v>
      </c>
      <c r="O40" s="242">
        <v>9567060</v>
      </c>
      <c r="P40" s="244">
        <f>O40/N40</f>
        <v>0.68336142857142856</v>
      </c>
      <c r="Q40" s="269">
        <v>14000000</v>
      </c>
      <c r="R40" s="269">
        <v>12083984</v>
      </c>
      <c r="S40" s="270">
        <f>R40/Q40</f>
        <v>0.86314171428571429</v>
      </c>
      <c r="T40" s="269">
        <v>14000000</v>
      </c>
      <c r="U40" s="269">
        <v>14017540</v>
      </c>
      <c r="V40" s="270">
        <f>U40/T40</f>
        <v>1.0012528571428572</v>
      </c>
      <c r="W40" s="242">
        <v>14000000</v>
      </c>
      <c r="X40" s="242">
        <v>8093480</v>
      </c>
      <c r="Y40" s="244">
        <f>X40/W40</f>
        <v>0.57810571428571433</v>
      </c>
      <c r="Z40" s="242">
        <v>14000000</v>
      </c>
      <c r="AA40" s="242">
        <v>9288390</v>
      </c>
      <c r="AB40" s="244">
        <f>AA40/Z40</f>
        <v>0.66345642857142861</v>
      </c>
      <c r="AC40" s="242">
        <v>14000000</v>
      </c>
      <c r="AD40" s="242">
        <v>7802840</v>
      </c>
      <c r="AE40" s="244">
        <f>AD40/AC40</f>
        <v>0.55734571428571433</v>
      </c>
      <c r="AF40" s="242">
        <v>12000000</v>
      </c>
      <c r="AG40" s="242">
        <v>8857874</v>
      </c>
      <c r="AH40" s="244">
        <f>AG40/AF40</f>
        <v>0.73815616666666661</v>
      </c>
      <c r="AI40" s="242">
        <v>12000000</v>
      </c>
      <c r="AJ40" s="242">
        <v>9351850</v>
      </c>
      <c r="AK40" s="244">
        <f>AJ40/AI40</f>
        <v>0.77932083333333335</v>
      </c>
      <c r="AL40" s="242">
        <f>B40+E40+H40+K40+N40+Q40+T40+W40+Z40+AC40+AF40+AI40</f>
        <v>164000000</v>
      </c>
      <c r="AM40" s="242">
        <f>C40+F40+I40+L40+O40+R40+U40+X40+AA40+AD40+AG40+AJ40</f>
        <v>128618523</v>
      </c>
      <c r="AN40" s="264"/>
      <c r="AO40" s="245" t="str">
        <f t="shared" ref="AO40:AO68" si="32">A40</f>
        <v>AHMEDABAD</v>
      </c>
      <c r="AP40" s="242">
        <v>575000</v>
      </c>
      <c r="AQ40" s="242">
        <v>494974</v>
      </c>
      <c r="AR40" s="244">
        <f>AQ40/AP40</f>
        <v>0.86082434782608697</v>
      </c>
      <c r="AS40" s="242">
        <v>575000</v>
      </c>
      <c r="AT40" s="242">
        <v>446270</v>
      </c>
      <c r="AU40" s="244">
        <f>AT40/AS40</f>
        <v>0.77612173913043481</v>
      </c>
      <c r="AV40" s="242">
        <v>575000</v>
      </c>
      <c r="AW40" s="242">
        <v>432301</v>
      </c>
      <c r="AX40" s="244">
        <f>AW40/AV40</f>
        <v>0.75182782608695653</v>
      </c>
      <c r="AY40" s="242">
        <v>575000</v>
      </c>
      <c r="AZ40" s="242">
        <v>749199</v>
      </c>
      <c r="BA40" s="244">
        <f>AZ40/AY40</f>
        <v>1.3029547826086956</v>
      </c>
      <c r="BB40" s="242">
        <v>650000</v>
      </c>
      <c r="BC40" s="242">
        <v>458733</v>
      </c>
      <c r="BD40" s="244">
        <f>BC40/BB40</f>
        <v>0.70574307692307692</v>
      </c>
      <c r="BE40" s="242">
        <v>650000</v>
      </c>
      <c r="BF40" s="242">
        <v>655305</v>
      </c>
      <c r="BG40" s="244">
        <f>BF40/BE40</f>
        <v>1.0081615384615386</v>
      </c>
      <c r="BH40" s="242">
        <v>700000</v>
      </c>
      <c r="BI40" s="242">
        <v>779648</v>
      </c>
      <c r="BJ40" s="244">
        <f>BI40/BH40</f>
        <v>1.1137828571428572</v>
      </c>
      <c r="BK40" s="242">
        <v>700000</v>
      </c>
      <c r="BL40" s="242">
        <v>512824</v>
      </c>
      <c r="BM40" s="244">
        <f>BL40/BK40</f>
        <v>0.7326057142857143</v>
      </c>
      <c r="BN40" s="242">
        <v>700000</v>
      </c>
      <c r="BO40" s="242">
        <v>357040</v>
      </c>
      <c r="BP40" s="244">
        <f>BO40/BN40</f>
        <v>0.51005714285714288</v>
      </c>
      <c r="BQ40" s="242">
        <v>700000</v>
      </c>
      <c r="BR40" s="242">
        <v>193177</v>
      </c>
      <c r="BS40" s="244">
        <f>BR40/BQ40</f>
        <v>0.27596714285714286</v>
      </c>
      <c r="BT40" s="242">
        <v>700000</v>
      </c>
      <c r="BU40" s="242">
        <v>346308</v>
      </c>
      <c r="BV40" s="244">
        <f>BU40/BT40</f>
        <v>0.49472571428571427</v>
      </c>
      <c r="BW40" s="242">
        <v>700000</v>
      </c>
      <c r="BX40" s="242">
        <v>237154</v>
      </c>
      <c r="BY40" s="244">
        <f>BX40/BW40</f>
        <v>0.33879142857142858</v>
      </c>
      <c r="BZ40" s="242">
        <f>AP40+AS40+AV40+AY40+BB40+BE40+BH40+BK40+BN40+BQ40+BT40+BW40</f>
        <v>7800000</v>
      </c>
      <c r="CA40" s="242">
        <f>AQ40+AT40+AW40+AZ40+BC40+BF40+BI40+BL40+BO40+BR40+BU40+BX40</f>
        <v>5662933</v>
      </c>
    </row>
    <row r="41" spans="1:79" x14ac:dyDescent="0.3">
      <c r="A41" s="241" t="s">
        <v>8</v>
      </c>
      <c r="B41" s="242">
        <v>4300000</v>
      </c>
      <c r="C41" s="243">
        <v>2728920</v>
      </c>
      <c r="D41" s="244">
        <f t="shared" ref="D41:D68" si="33">C41/B41</f>
        <v>0.6346325581395349</v>
      </c>
      <c r="E41" s="242">
        <v>4300000</v>
      </c>
      <c r="F41" s="243">
        <v>3331961</v>
      </c>
      <c r="G41" s="244">
        <f t="shared" ref="G41:G58" si="34">F41/E41</f>
        <v>0.77487465116279075</v>
      </c>
      <c r="H41" s="242">
        <v>4300000</v>
      </c>
      <c r="I41" s="243">
        <v>1709980</v>
      </c>
      <c r="J41" s="244">
        <f t="shared" ref="J41:J58" si="35">I41/H41</f>
        <v>0.39766976744186044</v>
      </c>
      <c r="K41" s="242">
        <v>4300000</v>
      </c>
      <c r="L41" s="242">
        <v>2396331</v>
      </c>
      <c r="M41" s="244">
        <f t="shared" ref="M41:M61" si="36">L41/K41</f>
        <v>0.55728627906976747</v>
      </c>
      <c r="N41" s="242">
        <v>4300000</v>
      </c>
      <c r="O41" s="242">
        <v>2959810</v>
      </c>
      <c r="P41" s="244">
        <f t="shared" ref="P41:P61" si="37">O41/N41</f>
        <v>0.68832790697674417</v>
      </c>
      <c r="Q41" s="269">
        <v>4300000</v>
      </c>
      <c r="R41" s="269">
        <v>2877141</v>
      </c>
      <c r="S41" s="270">
        <f t="shared" ref="S41:S62" si="38">R41/Q41</f>
        <v>0.6691025581395349</v>
      </c>
      <c r="T41" s="269">
        <v>4300000</v>
      </c>
      <c r="U41" s="269">
        <v>3018140</v>
      </c>
      <c r="V41" s="270">
        <f t="shared" ref="V41:V64" si="39">U41/T41</f>
        <v>0.70189302325581393</v>
      </c>
      <c r="W41" s="242">
        <v>4300000</v>
      </c>
      <c r="X41" s="242">
        <v>3349531</v>
      </c>
      <c r="Y41" s="244">
        <f t="shared" ref="Y41:Y65" si="40">X41/W41</f>
        <v>0.77896069767441856</v>
      </c>
      <c r="Z41" s="242">
        <v>4300000</v>
      </c>
      <c r="AA41" s="242">
        <v>4353451</v>
      </c>
      <c r="AB41" s="244">
        <f t="shared" ref="AB41:AB65" si="41">AA41/Z41</f>
        <v>1.012430465116279</v>
      </c>
      <c r="AC41" s="242">
        <v>4300000</v>
      </c>
      <c r="AD41" s="242">
        <v>3268916</v>
      </c>
      <c r="AE41" s="244">
        <f t="shared" ref="AE41:AE66" si="42">AD41/AC41</f>
        <v>0.76021302325581397</v>
      </c>
      <c r="AF41" s="242">
        <v>3800000</v>
      </c>
      <c r="AG41" s="242">
        <v>3640851</v>
      </c>
      <c r="AH41" s="244">
        <f t="shared" ref="AH41:AH66" si="43">AG41/AF41</f>
        <v>0.95811868421052626</v>
      </c>
      <c r="AI41" s="242">
        <v>3800000</v>
      </c>
      <c r="AJ41" s="242">
        <v>2724318</v>
      </c>
      <c r="AK41" s="244">
        <f t="shared" ref="AK41:AK66" si="44">AJ41/AI41</f>
        <v>0.71692578947368424</v>
      </c>
      <c r="AL41" s="242">
        <f t="shared" ref="AL41:AL67" si="45">B41+E41+H41+K41+N41+Q41+T41+W41+Z41+AC41+AF41+AI41</f>
        <v>50600000</v>
      </c>
      <c r="AM41" s="242">
        <f t="shared" ref="AM41:AM67" si="46">C41+F41+I41+L41+O41+R41+U41+X41+AA41+AD41+AG41+AJ41</f>
        <v>36359350</v>
      </c>
      <c r="AN41" s="264"/>
      <c r="AO41" s="245" t="str">
        <f t="shared" si="32"/>
        <v>BANGALORE</v>
      </c>
      <c r="AP41" s="242">
        <v>140000</v>
      </c>
      <c r="AQ41" s="242">
        <v>93765</v>
      </c>
      <c r="AR41" s="244">
        <f t="shared" ref="AR41:AR68" si="47">AQ41/AP41</f>
        <v>0.66974999999999996</v>
      </c>
      <c r="AS41" s="242">
        <v>140000</v>
      </c>
      <c r="AT41" s="242">
        <v>153024</v>
      </c>
      <c r="AU41" s="244">
        <f t="shared" ref="AU41:AU68" si="48">AT41/AS41</f>
        <v>1.0930285714285715</v>
      </c>
      <c r="AV41" s="242">
        <v>160000</v>
      </c>
      <c r="AW41" s="242">
        <v>159695</v>
      </c>
      <c r="AX41" s="244">
        <f t="shared" ref="AX41:AX68" si="49">AW41/AV41</f>
        <v>0.99809375</v>
      </c>
      <c r="AY41" s="242">
        <v>160000</v>
      </c>
      <c r="AZ41" s="242">
        <v>185124</v>
      </c>
      <c r="BA41" s="244">
        <f t="shared" ref="BA41:BA68" si="50">AZ41/AY41</f>
        <v>1.157025</v>
      </c>
      <c r="BB41" s="242">
        <v>170000</v>
      </c>
      <c r="BC41" s="242">
        <v>192045</v>
      </c>
      <c r="BD41" s="244">
        <f t="shared" ref="BD41:BD68" si="51">BC41/BB41</f>
        <v>1.1296764705882354</v>
      </c>
      <c r="BE41" s="242">
        <v>170000</v>
      </c>
      <c r="BF41" s="242">
        <v>202350</v>
      </c>
      <c r="BG41" s="244">
        <f t="shared" ref="BG41:BG68" si="52">BF41/BE41</f>
        <v>1.1902941176470587</v>
      </c>
      <c r="BH41" s="242">
        <v>200000</v>
      </c>
      <c r="BI41" s="242">
        <v>163610</v>
      </c>
      <c r="BJ41" s="244">
        <f t="shared" ref="BJ41:BJ68" si="53">BI41/BH41</f>
        <v>0.81805000000000005</v>
      </c>
      <c r="BK41" s="242">
        <v>200000</v>
      </c>
      <c r="BL41" s="242">
        <v>183902</v>
      </c>
      <c r="BM41" s="244">
        <f t="shared" ref="BM41:BM65" si="54">BL41/BK41</f>
        <v>0.91951000000000005</v>
      </c>
      <c r="BN41" s="242">
        <v>200000</v>
      </c>
      <c r="BO41" s="242">
        <v>101323</v>
      </c>
      <c r="BP41" s="244">
        <f t="shared" ref="BP41:BP68" si="55">BO41/BN41</f>
        <v>0.50661500000000004</v>
      </c>
      <c r="BQ41" s="242">
        <v>200000</v>
      </c>
      <c r="BR41" s="242">
        <v>98729</v>
      </c>
      <c r="BS41" s="244">
        <f t="shared" ref="BS41:BS66" si="56">BR41/BQ41</f>
        <v>0.493645</v>
      </c>
      <c r="BT41" s="242">
        <v>200000</v>
      </c>
      <c r="BU41" s="242">
        <v>86730</v>
      </c>
      <c r="BV41" s="244">
        <f t="shared" ref="BV41:BV66" si="57">BU41/BT41</f>
        <v>0.43364999999999998</v>
      </c>
      <c r="BW41" s="242">
        <v>200000</v>
      </c>
      <c r="BX41" s="242">
        <v>58194</v>
      </c>
      <c r="BY41" s="244">
        <f t="shared" ref="BY41:BY68" si="58">BX41/BW41</f>
        <v>0.29097000000000001</v>
      </c>
      <c r="BZ41" s="242">
        <f t="shared" ref="BZ41:BZ67" si="59">AP41+AS41+AV41+AY41+BB41+BE41+BH41+BK41+BN41+BQ41+BT41+BW41</f>
        <v>2140000</v>
      </c>
      <c r="CA41" s="242">
        <f t="shared" ref="CA41:CA67" si="60">AQ41+AT41+AW41+AZ41+BC41+BF41+BI41+BL41+BO41+BR41+BU41+BX41</f>
        <v>1678491</v>
      </c>
    </row>
    <row r="42" spans="1:79" x14ac:dyDescent="0.3">
      <c r="A42" s="241" t="s">
        <v>7</v>
      </c>
      <c r="B42" s="242">
        <v>3800000</v>
      </c>
      <c r="C42" s="243">
        <v>2685300</v>
      </c>
      <c r="D42" s="244">
        <f t="shared" si="33"/>
        <v>0.70665789473684215</v>
      </c>
      <c r="E42" s="242">
        <v>3800000</v>
      </c>
      <c r="F42" s="243">
        <v>3870960</v>
      </c>
      <c r="G42" s="244">
        <f t="shared" si="34"/>
        <v>1.0186736842105264</v>
      </c>
      <c r="H42" s="242">
        <v>4000000</v>
      </c>
      <c r="I42" s="243">
        <v>3442332</v>
      </c>
      <c r="J42" s="244">
        <f t="shared" si="35"/>
        <v>0.86058299999999999</v>
      </c>
      <c r="K42" s="242">
        <v>4000000</v>
      </c>
      <c r="L42" s="242">
        <v>3084080</v>
      </c>
      <c r="M42" s="244">
        <f t="shared" si="36"/>
        <v>0.77102000000000004</v>
      </c>
      <c r="N42" s="242">
        <v>3900000</v>
      </c>
      <c r="O42" s="242">
        <v>3334100</v>
      </c>
      <c r="P42" s="244">
        <f t="shared" si="37"/>
        <v>0.85489743589743594</v>
      </c>
      <c r="Q42" s="269">
        <v>3900000</v>
      </c>
      <c r="R42" s="269">
        <v>4135240</v>
      </c>
      <c r="S42" s="270">
        <f t="shared" si="38"/>
        <v>1.0603179487179488</v>
      </c>
      <c r="T42" s="269">
        <v>4200000</v>
      </c>
      <c r="U42" s="269">
        <v>3807020</v>
      </c>
      <c r="V42" s="270">
        <f t="shared" si="39"/>
        <v>0.90643333333333331</v>
      </c>
      <c r="W42" s="242">
        <v>4200000</v>
      </c>
      <c r="X42" s="242">
        <v>3530082</v>
      </c>
      <c r="Y42" s="244">
        <f t="shared" si="40"/>
        <v>0.84049571428571423</v>
      </c>
      <c r="Z42" s="242">
        <v>4000000</v>
      </c>
      <c r="AA42" s="242">
        <v>4469548</v>
      </c>
      <c r="AB42" s="244">
        <f t="shared" si="41"/>
        <v>1.1173869999999999</v>
      </c>
      <c r="AC42" s="242">
        <v>4000000</v>
      </c>
      <c r="AD42" s="242">
        <v>4109090</v>
      </c>
      <c r="AE42" s="244">
        <f t="shared" si="42"/>
        <v>1.0272725</v>
      </c>
      <c r="AF42" s="242">
        <v>4000000</v>
      </c>
      <c r="AG42" s="242">
        <v>3194990</v>
      </c>
      <c r="AH42" s="244">
        <f t="shared" si="43"/>
        <v>0.79874750000000005</v>
      </c>
      <c r="AI42" s="242">
        <v>4000000</v>
      </c>
      <c r="AJ42" s="242">
        <v>3000300</v>
      </c>
      <c r="AK42" s="244">
        <f t="shared" si="44"/>
        <v>0.75007500000000005</v>
      </c>
      <c r="AL42" s="242">
        <f t="shared" si="45"/>
        <v>47800000</v>
      </c>
      <c r="AM42" s="242">
        <f t="shared" si="46"/>
        <v>42663042</v>
      </c>
      <c r="AN42" s="264"/>
      <c r="AO42" s="245" t="str">
        <f t="shared" si="32"/>
        <v>CHANDIGARH</v>
      </c>
      <c r="AP42" s="242">
        <v>210000</v>
      </c>
      <c r="AQ42" s="242">
        <v>243440</v>
      </c>
      <c r="AR42" s="244">
        <f t="shared" si="47"/>
        <v>1.1592380952380952</v>
      </c>
      <c r="AS42" s="242">
        <v>210000</v>
      </c>
      <c r="AT42" s="242">
        <v>267610</v>
      </c>
      <c r="AU42" s="244">
        <f t="shared" si="48"/>
        <v>1.2743333333333333</v>
      </c>
      <c r="AV42" s="242">
        <v>275000</v>
      </c>
      <c r="AW42" s="242">
        <v>251660</v>
      </c>
      <c r="AX42" s="244">
        <f t="shared" si="49"/>
        <v>0.91512727272727268</v>
      </c>
      <c r="AY42" s="242">
        <v>275000</v>
      </c>
      <c r="AZ42" s="242">
        <v>278539</v>
      </c>
      <c r="BA42" s="244">
        <f t="shared" si="50"/>
        <v>1.0128690909090909</v>
      </c>
      <c r="BB42" s="242">
        <v>290000</v>
      </c>
      <c r="BC42" s="242">
        <v>340982</v>
      </c>
      <c r="BD42" s="244">
        <f t="shared" si="51"/>
        <v>1.1758</v>
      </c>
      <c r="BE42" s="242">
        <v>290000</v>
      </c>
      <c r="BF42" s="242">
        <v>373670</v>
      </c>
      <c r="BG42" s="244">
        <f t="shared" si="52"/>
        <v>1.2885172413793105</v>
      </c>
      <c r="BH42" s="242">
        <v>310000</v>
      </c>
      <c r="BI42" s="242">
        <v>261788</v>
      </c>
      <c r="BJ42" s="244">
        <f t="shared" si="53"/>
        <v>0.84447741935483867</v>
      </c>
      <c r="BK42" s="242">
        <v>310000</v>
      </c>
      <c r="BL42" s="242">
        <v>252483</v>
      </c>
      <c r="BM42" s="244">
        <f t="shared" si="54"/>
        <v>0.81446129032258063</v>
      </c>
      <c r="BN42" s="242">
        <v>310000</v>
      </c>
      <c r="BO42" s="242">
        <v>153842</v>
      </c>
      <c r="BP42" s="244">
        <f t="shared" si="55"/>
        <v>0.49626451612903227</v>
      </c>
      <c r="BQ42" s="242">
        <v>310000</v>
      </c>
      <c r="BR42" s="242">
        <v>127345</v>
      </c>
      <c r="BS42" s="244">
        <f t="shared" si="56"/>
        <v>0.41079032258064518</v>
      </c>
      <c r="BT42" s="242">
        <v>310000</v>
      </c>
      <c r="BU42" s="242">
        <v>132904</v>
      </c>
      <c r="BV42" s="244">
        <f t="shared" si="57"/>
        <v>0.42872258064516128</v>
      </c>
      <c r="BW42" s="242">
        <v>310000</v>
      </c>
      <c r="BX42" s="242">
        <v>201235</v>
      </c>
      <c r="BY42" s="244">
        <f t="shared" si="58"/>
        <v>0.64914516129032263</v>
      </c>
      <c r="BZ42" s="242">
        <f t="shared" si="59"/>
        <v>3410000</v>
      </c>
      <c r="CA42" s="242">
        <f t="shared" si="60"/>
        <v>2885498</v>
      </c>
    </row>
    <row r="43" spans="1:79" x14ac:dyDescent="0.3">
      <c r="A43" s="241" t="s">
        <v>13</v>
      </c>
      <c r="B43" s="242">
        <v>3400000</v>
      </c>
      <c r="C43" s="243">
        <v>1202700</v>
      </c>
      <c r="D43" s="244">
        <f t="shared" si="33"/>
        <v>0.35373529411764704</v>
      </c>
      <c r="E43" s="242">
        <v>3400000</v>
      </c>
      <c r="F43" s="243">
        <v>2515640</v>
      </c>
      <c r="G43" s="244">
        <f t="shared" si="34"/>
        <v>0.73989411764705881</v>
      </c>
      <c r="H43" s="242">
        <v>3400000</v>
      </c>
      <c r="I43" s="243">
        <v>1256660</v>
      </c>
      <c r="J43" s="244">
        <f t="shared" si="35"/>
        <v>0.36960588235294117</v>
      </c>
      <c r="K43" s="242">
        <v>3400000</v>
      </c>
      <c r="L43" s="242">
        <v>1159520</v>
      </c>
      <c r="M43" s="244">
        <f t="shared" si="36"/>
        <v>0.34103529411764705</v>
      </c>
      <c r="N43" s="242">
        <v>3400000</v>
      </c>
      <c r="O43" s="242">
        <v>1714100</v>
      </c>
      <c r="P43" s="244">
        <f t="shared" si="37"/>
        <v>0.50414705882352939</v>
      </c>
      <c r="Q43" s="269">
        <v>3400000</v>
      </c>
      <c r="R43" s="269">
        <v>1713880</v>
      </c>
      <c r="S43" s="270">
        <f t="shared" si="38"/>
        <v>0.50408235294117643</v>
      </c>
      <c r="T43" s="269">
        <v>3400000</v>
      </c>
      <c r="U43" s="269">
        <v>1514620</v>
      </c>
      <c r="V43" s="270">
        <f t="shared" si="39"/>
        <v>0.44547647058823531</v>
      </c>
      <c r="W43" s="242">
        <v>3400000</v>
      </c>
      <c r="X43" s="242">
        <v>935750</v>
      </c>
      <c r="Y43" s="244">
        <f t="shared" si="40"/>
        <v>0.27522058823529411</v>
      </c>
      <c r="Z43" s="242">
        <v>3400000</v>
      </c>
      <c r="AA43" s="242">
        <v>1376640</v>
      </c>
      <c r="AB43" s="244">
        <f t="shared" si="41"/>
        <v>0.40489411764705885</v>
      </c>
      <c r="AC43" s="242">
        <v>3400000</v>
      </c>
      <c r="AD43" s="242">
        <v>1004580</v>
      </c>
      <c r="AE43" s="244">
        <f t="shared" si="42"/>
        <v>0.29546470588235296</v>
      </c>
      <c r="AF43" s="242">
        <v>2500000</v>
      </c>
      <c r="AG43" s="242">
        <v>874700</v>
      </c>
      <c r="AH43" s="244">
        <f t="shared" si="43"/>
        <v>0.34988000000000002</v>
      </c>
      <c r="AI43" s="242">
        <v>2500000</v>
      </c>
      <c r="AJ43" s="242">
        <v>1478320</v>
      </c>
      <c r="AK43" s="244">
        <f t="shared" si="44"/>
        <v>0.59132799999999996</v>
      </c>
      <c r="AL43" s="242">
        <f t="shared" si="45"/>
        <v>39000000</v>
      </c>
      <c r="AM43" s="242">
        <f t="shared" si="46"/>
        <v>16747110</v>
      </c>
      <c r="AN43" s="264"/>
      <c r="AO43" s="245" t="str">
        <f t="shared" si="32"/>
        <v>CHENNAI</v>
      </c>
      <c r="AP43" s="242">
        <v>100000</v>
      </c>
      <c r="AQ43" s="242">
        <v>85725</v>
      </c>
      <c r="AR43" s="244">
        <f t="shared" si="47"/>
        <v>0.85724999999999996</v>
      </c>
      <c r="AS43" s="242">
        <v>100000</v>
      </c>
      <c r="AT43" s="242">
        <v>60635</v>
      </c>
      <c r="AU43" s="244">
        <f t="shared" si="48"/>
        <v>0.60634999999999994</v>
      </c>
      <c r="AV43" s="242">
        <v>100000</v>
      </c>
      <c r="AW43" s="242">
        <v>64620</v>
      </c>
      <c r="AX43" s="244">
        <f t="shared" si="49"/>
        <v>0.6462</v>
      </c>
      <c r="AY43" s="242">
        <v>100000</v>
      </c>
      <c r="AZ43" s="242">
        <v>88640</v>
      </c>
      <c r="BA43" s="244">
        <f t="shared" si="50"/>
        <v>0.88639999999999997</v>
      </c>
      <c r="BB43" s="242">
        <v>100000</v>
      </c>
      <c r="BC43" s="242">
        <v>115901</v>
      </c>
      <c r="BD43" s="244">
        <f t="shared" si="51"/>
        <v>1.1590100000000001</v>
      </c>
      <c r="BE43" s="242">
        <v>100000</v>
      </c>
      <c r="BF43" s="242">
        <v>102089</v>
      </c>
      <c r="BG43" s="244">
        <f t="shared" si="52"/>
        <v>1.0208900000000001</v>
      </c>
      <c r="BH43" s="242">
        <v>100000</v>
      </c>
      <c r="BI43" s="242">
        <v>73070</v>
      </c>
      <c r="BJ43" s="244">
        <f t="shared" si="53"/>
        <v>0.73070000000000002</v>
      </c>
      <c r="BK43" s="242">
        <v>100000</v>
      </c>
      <c r="BL43" s="242">
        <v>64226</v>
      </c>
      <c r="BM43" s="244">
        <f t="shared" si="54"/>
        <v>0.64226000000000005</v>
      </c>
      <c r="BN43" s="242">
        <v>100000</v>
      </c>
      <c r="BO43" s="242">
        <v>57008</v>
      </c>
      <c r="BP43" s="244">
        <f t="shared" si="55"/>
        <v>0.57008000000000003</v>
      </c>
      <c r="BQ43" s="242">
        <v>100000</v>
      </c>
      <c r="BR43" s="242">
        <v>25805</v>
      </c>
      <c r="BS43" s="244">
        <f t="shared" si="56"/>
        <v>0.25805</v>
      </c>
      <c r="BT43" s="242">
        <v>100000</v>
      </c>
      <c r="BU43" s="242">
        <v>11200</v>
      </c>
      <c r="BV43" s="244">
        <f t="shared" si="57"/>
        <v>0.112</v>
      </c>
      <c r="BW43" s="242">
        <v>100000</v>
      </c>
      <c r="BX43" s="242">
        <v>33881</v>
      </c>
      <c r="BY43" s="244">
        <f t="shared" si="58"/>
        <v>0.33881</v>
      </c>
      <c r="BZ43" s="242">
        <f t="shared" si="59"/>
        <v>1200000</v>
      </c>
      <c r="CA43" s="242">
        <f t="shared" si="60"/>
        <v>782800</v>
      </c>
    </row>
    <row r="44" spans="1:79" x14ac:dyDescent="0.3">
      <c r="A44" s="241" t="s">
        <v>127</v>
      </c>
      <c r="B44" s="242">
        <v>5400000</v>
      </c>
      <c r="C44" s="243">
        <f>4708651+183600</f>
        <v>4892251</v>
      </c>
      <c r="D44" s="244">
        <f t="shared" si="33"/>
        <v>0.90597240740740737</v>
      </c>
      <c r="E44" s="242">
        <v>5400000</v>
      </c>
      <c r="F44" s="243">
        <v>5406301</v>
      </c>
      <c r="G44" s="244">
        <f t="shared" si="34"/>
        <v>1.0011668518518519</v>
      </c>
      <c r="H44" s="242">
        <v>5500000</v>
      </c>
      <c r="I44" s="243">
        <v>4452121</v>
      </c>
      <c r="J44" s="244">
        <f t="shared" si="35"/>
        <v>0.8094765454545455</v>
      </c>
      <c r="K44" s="242">
        <v>5500000</v>
      </c>
      <c r="L44" s="242">
        <v>3582360</v>
      </c>
      <c r="M44" s="244">
        <f t="shared" si="36"/>
        <v>0.65133818181818182</v>
      </c>
      <c r="N44" s="242">
        <v>5450000</v>
      </c>
      <c r="O44" s="242">
        <v>4425120</v>
      </c>
      <c r="P44" s="244">
        <f t="shared" si="37"/>
        <v>0.81194862385321098</v>
      </c>
      <c r="Q44" s="269">
        <v>5450000</v>
      </c>
      <c r="R44" s="269">
        <v>5209641</v>
      </c>
      <c r="S44" s="270">
        <f t="shared" si="38"/>
        <v>0.95589743119266057</v>
      </c>
      <c r="T44" s="269">
        <v>5450000</v>
      </c>
      <c r="U44" s="269">
        <v>4362490</v>
      </c>
      <c r="V44" s="270">
        <f t="shared" si="39"/>
        <v>0.80045688073394494</v>
      </c>
      <c r="W44" s="242">
        <v>5450000</v>
      </c>
      <c r="X44" s="242">
        <v>5535940</v>
      </c>
      <c r="Y44" s="244">
        <f t="shared" si="40"/>
        <v>1.0157688073394495</v>
      </c>
      <c r="Z44" s="242">
        <v>5450000</v>
      </c>
      <c r="AA44" s="242">
        <v>5542100</v>
      </c>
      <c r="AB44" s="244">
        <f t="shared" si="41"/>
        <v>1.0168990825688073</v>
      </c>
      <c r="AC44" s="242">
        <v>5450000</v>
      </c>
      <c r="AD44" s="242">
        <v>5517891</v>
      </c>
      <c r="AE44" s="244">
        <f t="shared" si="42"/>
        <v>1.0124570642201836</v>
      </c>
      <c r="AF44" s="242">
        <v>5450000</v>
      </c>
      <c r="AG44" s="242">
        <v>4469511</v>
      </c>
      <c r="AH44" s="244">
        <f t="shared" si="43"/>
        <v>0.82009376146788993</v>
      </c>
      <c r="AI44" s="242">
        <v>5450000</v>
      </c>
      <c r="AJ44" s="242">
        <v>4466849</v>
      </c>
      <c r="AK44" s="244">
        <f t="shared" si="44"/>
        <v>0.81960532110091744</v>
      </c>
      <c r="AL44" s="242">
        <f t="shared" si="45"/>
        <v>65400000</v>
      </c>
      <c r="AM44" s="242">
        <f t="shared" si="46"/>
        <v>57862575</v>
      </c>
      <c r="AN44" s="264"/>
      <c r="AO44" s="245" t="str">
        <f t="shared" si="32"/>
        <v>DELHI-NFC</v>
      </c>
      <c r="AP44" s="242">
        <v>335000</v>
      </c>
      <c r="AQ44" s="242">
        <v>194277</v>
      </c>
      <c r="AR44" s="244">
        <f t="shared" si="47"/>
        <v>0.57993134328358209</v>
      </c>
      <c r="AS44" s="242">
        <v>335000</v>
      </c>
      <c r="AT44" s="242">
        <v>192140</v>
      </c>
      <c r="AU44" s="244">
        <f t="shared" si="48"/>
        <v>0.57355223880597017</v>
      </c>
      <c r="AV44" s="242">
        <v>500000</v>
      </c>
      <c r="AW44" s="242">
        <v>145560</v>
      </c>
      <c r="AX44" s="244">
        <f t="shared" si="49"/>
        <v>0.29111999999999999</v>
      </c>
      <c r="AY44" s="242">
        <v>500000</v>
      </c>
      <c r="AZ44" s="242">
        <v>169470</v>
      </c>
      <c r="BA44" s="244">
        <f t="shared" si="50"/>
        <v>0.33894000000000002</v>
      </c>
      <c r="BB44" s="242">
        <v>300000</v>
      </c>
      <c r="BC44" s="242">
        <v>242980</v>
      </c>
      <c r="BD44" s="244">
        <f t="shared" si="51"/>
        <v>0.80993333333333328</v>
      </c>
      <c r="BE44" s="242">
        <v>300000</v>
      </c>
      <c r="BF44" s="242">
        <v>290067</v>
      </c>
      <c r="BG44" s="244">
        <f t="shared" si="52"/>
        <v>0.96689000000000003</v>
      </c>
      <c r="BH44" s="242">
        <v>330000</v>
      </c>
      <c r="BI44" s="242">
        <v>358482</v>
      </c>
      <c r="BJ44" s="244">
        <f t="shared" si="53"/>
        <v>1.0863090909090909</v>
      </c>
      <c r="BK44" s="242">
        <v>330000</v>
      </c>
      <c r="BL44" s="242">
        <v>346032</v>
      </c>
      <c r="BM44" s="244">
        <f t="shared" si="54"/>
        <v>1.0485818181818183</v>
      </c>
      <c r="BN44" s="242">
        <v>330000</v>
      </c>
      <c r="BO44" s="242">
        <v>341375</v>
      </c>
      <c r="BP44" s="244">
        <f t="shared" si="55"/>
        <v>1.0344696969696969</v>
      </c>
      <c r="BQ44" s="242">
        <v>330000</v>
      </c>
      <c r="BR44" s="242">
        <v>287230</v>
      </c>
      <c r="BS44" s="244">
        <f t="shared" si="56"/>
        <v>0.87039393939393939</v>
      </c>
      <c r="BT44" s="242">
        <v>330000</v>
      </c>
      <c r="BU44" s="242">
        <v>355952</v>
      </c>
      <c r="BV44" s="244">
        <f t="shared" si="57"/>
        <v>1.0786424242424242</v>
      </c>
      <c r="BW44" s="242">
        <v>330000</v>
      </c>
      <c r="BX44" s="242">
        <v>176014</v>
      </c>
      <c r="BY44" s="244">
        <f t="shared" si="58"/>
        <v>0.53337575757575761</v>
      </c>
      <c r="BZ44" s="242">
        <f t="shared" si="59"/>
        <v>4250000</v>
      </c>
      <c r="CA44" s="242">
        <f t="shared" si="60"/>
        <v>3099579</v>
      </c>
    </row>
    <row r="45" spans="1:79" x14ac:dyDescent="0.3">
      <c r="A45" s="241" t="s">
        <v>3</v>
      </c>
      <c r="B45" s="242">
        <v>5000000</v>
      </c>
      <c r="C45" s="243">
        <v>3479870</v>
      </c>
      <c r="D45" s="244">
        <f t="shared" si="33"/>
        <v>0.69597399999999998</v>
      </c>
      <c r="E45" s="242">
        <v>5000000</v>
      </c>
      <c r="F45" s="243">
        <v>5270631</v>
      </c>
      <c r="G45" s="244">
        <f t="shared" si="34"/>
        <v>1.0541262</v>
      </c>
      <c r="H45" s="242">
        <v>5300000</v>
      </c>
      <c r="I45" s="243">
        <v>3617020</v>
      </c>
      <c r="J45" s="244">
        <f t="shared" si="35"/>
        <v>0.68245660377358486</v>
      </c>
      <c r="K45" s="242">
        <v>5300000</v>
      </c>
      <c r="L45" s="242">
        <v>3253280</v>
      </c>
      <c r="M45" s="244">
        <f t="shared" si="36"/>
        <v>0.61382641509433966</v>
      </c>
      <c r="N45" s="242">
        <v>5150000</v>
      </c>
      <c r="O45" s="242">
        <v>5889541</v>
      </c>
      <c r="P45" s="244">
        <f t="shared" si="37"/>
        <v>1.1436001941747573</v>
      </c>
      <c r="Q45" s="269">
        <v>5300000</v>
      </c>
      <c r="R45" s="269">
        <v>5357990</v>
      </c>
      <c r="S45" s="270">
        <f t="shared" si="38"/>
        <v>1.0109415094339622</v>
      </c>
      <c r="T45" s="269">
        <v>5500000</v>
      </c>
      <c r="U45" s="269">
        <v>6068000</v>
      </c>
      <c r="V45" s="270">
        <f t="shared" si="39"/>
        <v>1.1032727272727272</v>
      </c>
      <c r="W45" s="242">
        <v>6000000</v>
      </c>
      <c r="X45" s="242">
        <v>6442750</v>
      </c>
      <c r="Y45" s="244">
        <f t="shared" si="40"/>
        <v>1.0737916666666667</v>
      </c>
      <c r="Z45" s="242">
        <v>6200000</v>
      </c>
      <c r="AA45" s="242">
        <v>7845601</v>
      </c>
      <c r="AB45" s="244">
        <f t="shared" si="41"/>
        <v>1.2654195161290323</v>
      </c>
      <c r="AC45" s="242">
        <v>6200000</v>
      </c>
      <c r="AD45" s="242">
        <v>6245831</v>
      </c>
      <c r="AE45" s="244">
        <f t="shared" si="42"/>
        <v>1.0073920967741936</v>
      </c>
      <c r="AF45" s="242">
        <v>6200000</v>
      </c>
      <c r="AG45" s="242">
        <v>5097970</v>
      </c>
      <c r="AH45" s="244">
        <f t="shared" si="43"/>
        <v>0.82225322580645166</v>
      </c>
      <c r="AI45" s="242">
        <v>6200000</v>
      </c>
      <c r="AJ45" s="242">
        <v>6276866</v>
      </c>
      <c r="AK45" s="244">
        <f t="shared" si="44"/>
        <v>1.0123977419354839</v>
      </c>
      <c r="AL45" s="242">
        <f t="shared" si="45"/>
        <v>67350000</v>
      </c>
      <c r="AM45" s="242">
        <f t="shared" si="46"/>
        <v>64845350</v>
      </c>
      <c r="AN45" s="264"/>
      <c r="AO45" s="245" t="str">
        <f t="shared" si="32"/>
        <v>DELHI-PITAMPURA</v>
      </c>
      <c r="AP45" s="242">
        <v>225000</v>
      </c>
      <c r="AQ45" s="242">
        <v>236950</v>
      </c>
      <c r="AR45" s="244">
        <f t="shared" si="47"/>
        <v>1.0531111111111111</v>
      </c>
      <c r="AS45" s="242">
        <v>225000</v>
      </c>
      <c r="AT45" s="242">
        <v>401450</v>
      </c>
      <c r="AU45" s="244">
        <f t="shared" si="48"/>
        <v>1.7842222222222222</v>
      </c>
      <c r="AV45" s="242">
        <v>415000</v>
      </c>
      <c r="AW45" s="242">
        <v>278718</v>
      </c>
      <c r="AX45" s="244">
        <f t="shared" si="49"/>
        <v>0.67160963855421685</v>
      </c>
      <c r="AY45" s="242">
        <v>415000</v>
      </c>
      <c r="AZ45" s="242">
        <v>251141</v>
      </c>
      <c r="BA45" s="244">
        <f t="shared" si="50"/>
        <v>0.60515903614457833</v>
      </c>
      <c r="BB45" s="242">
        <v>300000</v>
      </c>
      <c r="BC45" s="242">
        <v>375622</v>
      </c>
      <c r="BD45" s="244">
        <f t="shared" si="51"/>
        <v>1.2520733333333334</v>
      </c>
      <c r="BE45" s="242">
        <v>350000</v>
      </c>
      <c r="BF45" s="242">
        <v>224800</v>
      </c>
      <c r="BG45" s="244">
        <f t="shared" si="52"/>
        <v>0.64228571428571424</v>
      </c>
      <c r="BH45" s="242">
        <v>370000</v>
      </c>
      <c r="BI45" s="242">
        <v>372213</v>
      </c>
      <c r="BJ45" s="244">
        <f t="shared" si="53"/>
        <v>1.005981081081081</v>
      </c>
      <c r="BK45" s="242">
        <v>370000</v>
      </c>
      <c r="BL45" s="242">
        <v>244733</v>
      </c>
      <c r="BM45" s="244">
        <f t="shared" si="54"/>
        <v>0.66144054054054058</v>
      </c>
      <c r="BN45" s="242">
        <v>370000</v>
      </c>
      <c r="BO45" s="242">
        <v>378496</v>
      </c>
      <c r="BP45" s="244">
        <f t="shared" si="55"/>
        <v>1.0229621621621621</v>
      </c>
      <c r="BQ45" s="242">
        <v>370000</v>
      </c>
      <c r="BR45" s="242">
        <v>295285</v>
      </c>
      <c r="BS45" s="244">
        <f t="shared" si="56"/>
        <v>0.79806756756756758</v>
      </c>
      <c r="BT45" s="242">
        <v>370000</v>
      </c>
      <c r="BU45" s="242">
        <v>285673</v>
      </c>
      <c r="BV45" s="244">
        <f t="shared" si="57"/>
        <v>0.77208918918918923</v>
      </c>
      <c r="BW45" s="242">
        <v>370000</v>
      </c>
      <c r="BX45" s="242">
        <v>299779</v>
      </c>
      <c r="BY45" s="244">
        <f t="shared" si="58"/>
        <v>0.81021351351351356</v>
      </c>
      <c r="BZ45" s="242">
        <f t="shared" si="59"/>
        <v>4150000</v>
      </c>
      <c r="CA45" s="242">
        <f t="shared" si="60"/>
        <v>3644860</v>
      </c>
    </row>
    <row r="46" spans="1:79" x14ac:dyDescent="0.3">
      <c r="A46" s="241" t="s">
        <v>128</v>
      </c>
      <c r="B46" s="242">
        <v>7900000</v>
      </c>
      <c r="C46" s="243">
        <f>6137130-183600</f>
        <v>5953530</v>
      </c>
      <c r="D46" s="244">
        <f t="shared" si="33"/>
        <v>0.75361139240506325</v>
      </c>
      <c r="E46" s="242">
        <v>7900000</v>
      </c>
      <c r="F46" s="243">
        <v>7245600</v>
      </c>
      <c r="G46" s="244">
        <f t="shared" si="34"/>
        <v>0.91716455696202537</v>
      </c>
      <c r="H46" s="242">
        <v>7900000</v>
      </c>
      <c r="I46" s="243">
        <v>6639284</v>
      </c>
      <c r="J46" s="244">
        <f t="shared" si="35"/>
        <v>0.84041569620253165</v>
      </c>
      <c r="K46" s="242">
        <v>7900000</v>
      </c>
      <c r="L46" s="242">
        <v>7258610</v>
      </c>
      <c r="M46" s="244">
        <f t="shared" si="36"/>
        <v>0.91881139240506327</v>
      </c>
      <c r="N46" s="242">
        <v>7900000</v>
      </c>
      <c r="O46" s="242">
        <v>5453736</v>
      </c>
      <c r="P46" s="244">
        <f t="shared" si="37"/>
        <v>0.69034632911392402</v>
      </c>
      <c r="Q46" s="269">
        <v>7900000</v>
      </c>
      <c r="R46" s="269">
        <v>7211175</v>
      </c>
      <c r="S46" s="270">
        <f t="shared" si="38"/>
        <v>0.91280696202531642</v>
      </c>
      <c r="T46" s="269">
        <v>7900000</v>
      </c>
      <c r="U46" s="269">
        <v>6266455</v>
      </c>
      <c r="V46" s="270">
        <f t="shared" si="39"/>
        <v>0.79322215189873413</v>
      </c>
      <c r="W46" s="242">
        <v>7900000</v>
      </c>
      <c r="X46" s="242">
        <v>6149720</v>
      </c>
      <c r="Y46" s="244">
        <f t="shared" si="40"/>
        <v>0.77844556962025313</v>
      </c>
      <c r="Z46" s="242">
        <v>7900000</v>
      </c>
      <c r="AA46" s="242">
        <v>4824660</v>
      </c>
      <c r="AB46" s="244">
        <f t="shared" si="41"/>
        <v>0.61071645569620259</v>
      </c>
      <c r="AC46" s="242">
        <v>7900000</v>
      </c>
      <c r="AD46" s="242">
        <v>7901550</v>
      </c>
      <c r="AE46" s="244">
        <f t="shared" si="42"/>
        <v>1.0001962025316455</v>
      </c>
      <c r="AF46" s="242">
        <v>7900000</v>
      </c>
      <c r="AG46" s="242">
        <v>6925670</v>
      </c>
      <c r="AH46" s="244">
        <f t="shared" si="43"/>
        <v>0.8766670886075949</v>
      </c>
      <c r="AI46" s="242">
        <v>7900000</v>
      </c>
      <c r="AJ46" s="242">
        <v>7006109</v>
      </c>
      <c r="AK46" s="244">
        <f t="shared" si="44"/>
        <v>0.88684924050632907</v>
      </c>
      <c r="AL46" s="242">
        <f t="shared" si="45"/>
        <v>94800000</v>
      </c>
      <c r="AM46" s="242">
        <f t="shared" si="46"/>
        <v>78836099</v>
      </c>
      <c r="AN46" s="264"/>
      <c r="AO46" s="245" t="str">
        <f t="shared" si="32"/>
        <v>DELHI-SOUTH EX</v>
      </c>
      <c r="AP46" s="242">
        <v>415000</v>
      </c>
      <c r="AQ46" s="242">
        <v>427789</v>
      </c>
      <c r="AR46" s="244">
        <f t="shared" si="47"/>
        <v>1.0308168674698794</v>
      </c>
      <c r="AS46" s="242">
        <v>415000</v>
      </c>
      <c r="AT46" s="242">
        <v>381235</v>
      </c>
      <c r="AU46" s="244">
        <f t="shared" si="48"/>
        <v>0.91863855421686746</v>
      </c>
      <c r="AV46" s="242">
        <v>415000</v>
      </c>
      <c r="AW46" s="242">
        <v>364912</v>
      </c>
      <c r="AX46" s="244">
        <f t="shared" si="49"/>
        <v>0.87930602409638559</v>
      </c>
      <c r="AY46" s="242">
        <v>415000</v>
      </c>
      <c r="AZ46" s="242">
        <v>502261</v>
      </c>
      <c r="BA46" s="244">
        <f t="shared" si="50"/>
        <v>1.2102674698795182</v>
      </c>
      <c r="BB46" s="242">
        <v>475000</v>
      </c>
      <c r="BC46" s="242">
        <v>279597</v>
      </c>
      <c r="BD46" s="244">
        <f t="shared" si="51"/>
        <v>0.58862526315789476</v>
      </c>
      <c r="BE46" s="242">
        <v>475000</v>
      </c>
      <c r="BF46" s="242">
        <v>501703</v>
      </c>
      <c r="BG46" s="244">
        <f t="shared" si="52"/>
        <v>1.0562168421052631</v>
      </c>
      <c r="BH46" s="242">
        <v>490000</v>
      </c>
      <c r="BI46" s="242">
        <v>456355</v>
      </c>
      <c r="BJ46" s="244">
        <f t="shared" si="53"/>
        <v>0.93133673469387757</v>
      </c>
      <c r="BK46" s="242">
        <v>490000</v>
      </c>
      <c r="BL46" s="242">
        <v>303141</v>
      </c>
      <c r="BM46" s="244">
        <f t="shared" si="54"/>
        <v>0.61865510204081631</v>
      </c>
      <c r="BN46" s="242">
        <v>490000</v>
      </c>
      <c r="BO46" s="242">
        <v>279200</v>
      </c>
      <c r="BP46" s="244">
        <f t="shared" si="55"/>
        <v>0.56979591836734689</v>
      </c>
      <c r="BQ46" s="242">
        <v>490000</v>
      </c>
      <c r="BR46" s="242">
        <v>488851</v>
      </c>
      <c r="BS46" s="244">
        <f t="shared" si="56"/>
        <v>0.99765510204081631</v>
      </c>
      <c r="BT46" s="242">
        <v>490000</v>
      </c>
      <c r="BU46" s="242">
        <v>526923</v>
      </c>
      <c r="BV46" s="244">
        <f t="shared" si="57"/>
        <v>1.0753530612244897</v>
      </c>
      <c r="BW46" s="242">
        <v>490000</v>
      </c>
      <c r="BX46" s="242">
        <v>455652</v>
      </c>
      <c r="BY46" s="244">
        <f t="shared" si="58"/>
        <v>0.92990204081632655</v>
      </c>
      <c r="BZ46" s="242">
        <f t="shared" si="59"/>
        <v>5550000</v>
      </c>
      <c r="CA46" s="242">
        <f t="shared" si="60"/>
        <v>4967619</v>
      </c>
    </row>
    <row r="47" spans="1:79" x14ac:dyDescent="0.3">
      <c r="A47" s="241" t="s">
        <v>10</v>
      </c>
      <c r="B47" s="242">
        <v>4100000</v>
      </c>
      <c r="C47" s="243">
        <v>3010011</v>
      </c>
      <c r="D47" s="244">
        <f t="shared" si="33"/>
        <v>0.73414902439024388</v>
      </c>
      <c r="E47" s="242">
        <v>4100000</v>
      </c>
      <c r="F47" s="243">
        <v>3020120</v>
      </c>
      <c r="G47" s="244">
        <f t="shared" si="34"/>
        <v>0.73661463414634143</v>
      </c>
      <c r="H47" s="242">
        <v>4100000</v>
      </c>
      <c r="I47" s="243">
        <v>2765820</v>
      </c>
      <c r="J47" s="244">
        <f t="shared" si="35"/>
        <v>0.67459024390243905</v>
      </c>
      <c r="K47" s="242">
        <v>4100000</v>
      </c>
      <c r="L47" s="242">
        <v>3006680</v>
      </c>
      <c r="M47" s="244">
        <f t="shared" si="36"/>
        <v>0.73333658536585367</v>
      </c>
      <c r="N47" s="242">
        <v>4100000</v>
      </c>
      <c r="O47" s="242">
        <v>3373261</v>
      </c>
      <c r="P47" s="244">
        <f t="shared" si="37"/>
        <v>0.82274658536585366</v>
      </c>
      <c r="Q47" s="269">
        <v>4100000</v>
      </c>
      <c r="R47" s="269">
        <v>2805840</v>
      </c>
      <c r="S47" s="270">
        <f t="shared" si="38"/>
        <v>0.68435121951219513</v>
      </c>
      <c r="T47" s="269">
        <v>4100000</v>
      </c>
      <c r="U47" s="269">
        <v>3234390</v>
      </c>
      <c r="V47" s="270">
        <f t="shared" si="39"/>
        <v>0.78887560975609761</v>
      </c>
      <c r="W47" s="242">
        <v>4100000</v>
      </c>
      <c r="X47" s="242">
        <v>2489220</v>
      </c>
      <c r="Y47" s="244">
        <f t="shared" si="40"/>
        <v>0.60712682926829264</v>
      </c>
      <c r="Z47" s="242">
        <v>4100000</v>
      </c>
      <c r="AA47" s="242">
        <v>3302290</v>
      </c>
      <c r="AB47" s="244">
        <f t="shared" si="41"/>
        <v>0.80543658536585361</v>
      </c>
      <c r="AC47" s="242">
        <v>4100000</v>
      </c>
      <c r="AD47" s="242">
        <v>3307730</v>
      </c>
      <c r="AE47" s="244">
        <f t="shared" si="42"/>
        <v>0.80676341463414636</v>
      </c>
      <c r="AF47" s="242">
        <v>3800000</v>
      </c>
      <c r="AG47" s="242">
        <v>2732570</v>
      </c>
      <c r="AH47" s="244">
        <f t="shared" si="43"/>
        <v>0.71909736842105265</v>
      </c>
      <c r="AI47" s="242">
        <v>3800000</v>
      </c>
      <c r="AJ47" s="242">
        <v>3868550</v>
      </c>
      <c r="AK47" s="244">
        <f t="shared" si="44"/>
        <v>1.0180394736842104</v>
      </c>
      <c r="AL47" s="242">
        <f t="shared" si="45"/>
        <v>48600000</v>
      </c>
      <c r="AM47" s="242">
        <f t="shared" si="46"/>
        <v>36916482</v>
      </c>
      <c r="AN47" s="264"/>
      <c r="AO47" s="245" t="str">
        <f t="shared" si="32"/>
        <v>HYDERABAD</v>
      </c>
      <c r="AP47" s="242">
        <v>100000</v>
      </c>
      <c r="AQ47" s="242">
        <v>157694</v>
      </c>
      <c r="AR47" s="244">
        <f t="shared" si="47"/>
        <v>1.57694</v>
      </c>
      <c r="AS47" s="242">
        <v>120000</v>
      </c>
      <c r="AT47" s="242">
        <v>170174</v>
      </c>
      <c r="AU47" s="244">
        <f t="shared" si="48"/>
        <v>1.4181166666666667</v>
      </c>
      <c r="AV47" s="242">
        <v>185000</v>
      </c>
      <c r="AW47" s="242">
        <v>227269</v>
      </c>
      <c r="AX47" s="244">
        <f t="shared" si="49"/>
        <v>1.2284810810810811</v>
      </c>
      <c r="AY47" s="242">
        <v>185000</v>
      </c>
      <c r="AZ47" s="242">
        <v>172443</v>
      </c>
      <c r="BA47" s="244">
        <f t="shared" si="50"/>
        <v>0.93212432432432435</v>
      </c>
      <c r="BB47" s="242">
        <v>185000</v>
      </c>
      <c r="BC47" s="242">
        <v>224090</v>
      </c>
      <c r="BD47" s="244">
        <f t="shared" si="51"/>
        <v>1.2112972972972973</v>
      </c>
      <c r="BE47" s="242">
        <v>185000</v>
      </c>
      <c r="BF47" s="242">
        <v>196428</v>
      </c>
      <c r="BG47" s="244">
        <f t="shared" si="52"/>
        <v>1.061772972972973</v>
      </c>
      <c r="BH47" s="242">
        <v>200000</v>
      </c>
      <c r="BI47" s="242">
        <v>200474</v>
      </c>
      <c r="BJ47" s="244">
        <f t="shared" si="53"/>
        <v>1.00237</v>
      </c>
      <c r="BK47" s="242">
        <v>200000</v>
      </c>
      <c r="BL47" s="242">
        <v>175656</v>
      </c>
      <c r="BM47" s="244">
        <f t="shared" si="54"/>
        <v>0.87827999999999995</v>
      </c>
      <c r="BN47" s="242">
        <v>200000</v>
      </c>
      <c r="BO47" s="242">
        <v>103064</v>
      </c>
      <c r="BP47" s="244">
        <f t="shared" si="55"/>
        <v>0.51532</v>
      </c>
      <c r="BQ47" s="242">
        <v>200000</v>
      </c>
      <c r="BR47" s="242">
        <v>86005</v>
      </c>
      <c r="BS47" s="244">
        <f t="shared" si="56"/>
        <v>0.43002499999999999</v>
      </c>
      <c r="BT47" s="242">
        <v>200000</v>
      </c>
      <c r="BU47" s="242">
        <v>86154</v>
      </c>
      <c r="BV47" s="244">
        <f t="shared" si="57"/>
        <v>0.43076999999999999</v>
      </c>
      <c r="BW47" s="242">
        <v>200000</v>
      </c>
      <c r="BX47" s="242">
        <v>71890</v>
      </c>
      <c r="BY47" s="244">
        <f t="shared" si="58"/>
        <v>0.35944999999999999</v>
      </c>
      <c r="BZ47" s="242">
        <f t="shared" si="59"/>
        <v>2160000</v>
      </c>
      <c r="CA47" s="242">
        <f t="shared" si="60"/>
        <v>1871341</v>
      </c>
    </row>
    <row r="48" spans="1:79" x14ac:dyDescent="0.3">
      <c r="A48" s="241" t="s">
        <v>11</v>
      </c>
      <c r="B48" s="242">
        <v>5700000</v>
      </c>
      <c r="C48" s="243">
        <v>3543770</v>
      </c>
      <c r="D48" s="244">
        <f t="shared" si="33"/>
        <v>0.62171403508771927</v>
      </c>
      <c r="E48" s="242">
        <v>5700000</v>
      </c>
      <c r="F48" s="243">
        <v>4154710</v>
      </c>
      <c r="G48" s="244">
        <f t="shared" si="34"/>
        <v>0.72889649122807021</v>
      </c>
      <c r="H48" s="242">
        <v>5700000</v>
      </c>
      <c r="I48" s="243">
        <v>4435710</v>
      </c>
      <c r="J48" s="244">
        <f t="shared" si="35"/>
        <v>0.77819473684210527</v>
      </c>
      <c r="K48" s="242">
        <v>5700000</v>
      </c>
      <c r="L48" s="242">
        <v>3975811</v>
      </c>
      <c r="M48" s="244">
        <f t="shared" si="36"/>
        <v>0.69751070175438601</v>
      </c>
      <c r="N48" s="242">
        <v>5700000</v>
      </c>
      <c r="O48" s="242">
        <v>3759621</v>
      </c>
      <c r="P48" s="244">
        <f t="shared" si="37"/>
        <v>0.65958263157894736</v>
      </c>
      <c r="Q48" s="269">
        <v>5700000</v>
      </c>
      <c r="R48" s="269">
        <v>4337965</v>
      </c>
      <c r="S48" s="270">
        <f t="shared" si="38"/>
        <v>0.76104649122807022</v>
      </c>
      <c r="T48" s="269">
        <v>5700000</v>
      </c>
      <c r="U48" s="269">
        <v>4835630</v>
      </c>
      <c r="V48" s="270">
        <f t="shared" si="39"/>
        <v>0.84835614035087714</v>
      </c>
      <c r="W48" s="242">
        <v>5700000</v>
      </c>
      <c r="X48" s="242">
        <v>2274135</v>
      </c>
      <c r="Y48" s="244">
        <f t="shared" si="40"/>
        <v>0.39897105263157895</v>
      </c>
      <c r="Z48" s="242">
        <v>5700000</v>
      </c>
      <c r="AA48" s="242">
        <v>3142275</v>
      </c>
      <c r="AB48" s="244">
        <f t="shared" si="41"/>
        <v>0.55127631578947367</v>
      </c>
      <c r="AC48" s="242">
        <v>4100000</v>
      </c>
      <c r="AD48" s="242">
        <v>3135385</v>
      </c>
      <c r="AE48" s="244">
        <f t="shared" si="42"/>
        <v>0.76472804878048783</v>
      </c>
      <c r="AF48" s="242">
        <v>4100000</v>
      </c>
      <c r="AG48" s="242">
        <v>4115644</v>
      </c>
      <c r="AH48" s="244">
        <f t="shared" si="43"/>
        <v>1.0038156097560975</v>
      </c>
      <c r="AI48" s="242">
        <v>4100000</v>
      </c>
      <c r="AJ48" s="242">
        <v>3087136</v>
      </c>
      <c r="AK48" s="244">
        <f t="shared" si="44"/>
        <v>0.75295999999999996</v>
      </c>
      <c r="AL48" s="242">
        <f t="shared" si="45"/>
        <v>63600000</v>
      </c>
      <c r="AM48" s="242">
        <f t="shared" si="46"/>
        <v>44797792</v>
      </c>
      <c r="AN48" s="264"/>
      <c r="AO48" s="245" t="str">
        <f t="shared" si="32"/>
        <v>INDORE</v>
      </c>
      <c r="AP48" s="242">
        <v>125000</v>
      </c>
      <c r="AQ48" s="242">
        <v>162499</v>
      </c>
      <c r="AR48" s="244">
        <f t="shared" si="47"/>
        <v>1.299992</v>
      </c>
      <c r="AS48" s="242">
        <v>135000</v>
      </c>
      <c r="AT48" s="242">
        <v>204839</v>
      </c>
      <c r="AU48" s="244">
        <f t="shared" si="48"/>
        <v>1.517325925925926</v>
      </c>
      <c r="AV48" s="242">
        <v>225000</v>
      </c>
      <c r="AW48" s="242">
        <v>124549</v>
      </c>
      <c r="AX48" s="244">
        <f t="shared" si="49"/>
        <v>0.5535511111111111</v>
      </c>
      <c r="AY48" s="242">
        <v>225000</v>
      </c>
      <c r="AZ48" s="242">
        <v>225260</v>
      </c>
      <c r="BA48" s="244">
        <f t="shared" si="50"/>
        <v>1.0011555555555556</v>
      </c>
      <c r="BB48" s="242">
        <v>250000</v>
      </c>
      <c r="BC48" s="242">
        <v>281920</v>
      </c>
      <c r="BD48" s="244">
        <f t="shared" si="51"/>
        <v>1.12768</v>
      </c>
      <c r="BE48" s="242">
        <v>250000</v>
      </c>
      <c r="BF48" s="242">
        <v>301561</v>
      </c>
      <c r="BG48" s="244">
        <f t="shared" si="52"/>
        <v>1.2062440000000001</v>
      </c>
      <c r="BH48" s="242">
        <v>270000</v>
      </c>
      <c r="BI48" s="242">
        <v>316698</v>
      </c>
      <c r="BJ48" s="244">
        <f t="shared" si="53"/>
        <v>1.1729555555555555</v>
      </c>
      <c r="BK48" s="242">
        <v>270000</v>
      </c>
      <c r="BL48" s="242">
        <v>105793</v>
      </c>
      <c r="BM48" s="244">
        <f t="shared" si="54"/>
        <v>0.39182592592592591</v>
      </c>
      <c r="BN48" s="242">
        <v>270000</v>
      </c>
      <c r="BO48" s="242">
        <v>161840</v>
      </c>
      <c r="BP48" s="244">
        <f t="shared" si="55"/>
        <v>0.59940740740740739</v>
      </c>
      <c r="BQ48" s="242">
        <v>270000</v>
      </c>
      <c r="BR48" s="242">
        <v>93809</v>
      </c>
      <c r="BS48" s="244">
        <f t="shared" si="56"/>
        <v>0.34744074074074072</v>
      </c>
      <c r="BT48" s="242">
        <v>270000</v>
      </c>
      <c r="BU48" s="242">
        <v>151283</v>
      </c>
      <c r="BV48" s="244">
        <f t="shared" si="57"/>
        <v>0.56030740740740737</v>
      </c>
      <c r="BW48" s="242">
        <v>270000</v>
      </c>
      <c r="BX48" s="242">
        <v>139164</v>
      </c>
      <c r="BY48" s="244">
        <f t="shared" si="58"/>
        <v>0.51542222222222223</v>
      </c>
      <c r="BZ48" s="242">
        <f t="shared" si="59"/>
        <v>2830000</v>
      </c>
      <c r="CA48" s="242">
        <f t="shared" si="60"/>
        <v>2269215</v>
      </c>
    </row>
    <row r="49" spans="1:79" x14ac:dyDescent="0.3">
      <c r="A49" s="241" t="s">
        <v>5</v>
      </c>
      <c r="B49" s="242">
        <v>6600000</v>
      </c>
      <c r="C49" s="243">
        <v>4393129</v>
      </c>
      <c r="D49" s="244">
        <f t="shared" si="33"/>
        <v>0.66562560606060606</v>
      </c>
      <c r="E49" s="242">
        <v>6600000</v>
      </c>
      <c r="F49" s="243">
        <v>5040265</v>
      </c>
      <c r="G49" s="244">
        <f t="shared" si="34"/>
        <v>0.76367651515151513</v>
      </c>
      <c r="H49" s="242">
        <v>6600000</v>
      </c>
      <c r="I49" s="243">
        <v>4622021</v>
      </c>
      <c r="J49" s="244">
        <f t="shared" si="35"/>
        <v>0.70030621212121213</v>
      </c>
      <c r="K49" s="242">
        <v>6600000</v>
      </c>
      <c r="L49" s="242">
        <v>5748349</v>
      </c>
      <c r="M49" s="244">
        <f t="shared" si="36"/>
        <v>0.87096196969696971</v>
      </c>
      <c r="N49" s="242">
        <v>6600000</v>
      </c>
      <c r="O49" s="242">
        <v>5566964</v>
      </c>
      <c r="P49" s="244">
        <f t="shared" si="37"/>
        <v>0.84347939393939397</v>
      </c>
      <c r="Q49" s="269">
        <v>6600000</v>
      </c>
      <c r="R49" s="269">
        <v>6773645</v>
      </c>
      <c r="S49" s="270">
        <f t="shared" si="38"/>
        <v>1.0263098484848485</v>
      </c>
      <c r="T49" s="269">
        <v>6600000</v>
      </c>
      <c r="U49" s="269">
        <v>6605525</v>
      </c>
      <c r="V49" s="270">
        <f t="shared" si="39"/>
        <v>1.0008371212121212</v>
      </c>
      <c r="W49" s="242">
        <v>7000000</v>
      </c>
      <c r="X49" s="242">
        <v>5498485</v>
      </c>
      <c r="Y49" s="244">
        <f t="shared" si="40"/>
        <v>0.78549785714285714</v>
      </c>
      <c r="Z49" s="242">
        <v>7000000</v>
      </c>
      <c r="AA49" s="242">
        <v>4468501</v>
      </c>
      <c r="AB49" s="244">
        <f t="shared" si="41"/>
        <v>0.63835728571428574</v>
      </c>
      <c r="AC49" s="242">
        <v>7000000</v>
      </c>
      <c r="AD49" s="242">
        <v>5814131</v>
      </c>
      <c r="AE49" s="244">
        <f t="shared" si="42"/>
        <v>0.83059014285714283</v>
      </c>
      <c r="AF49" s="242">
        <v>6600000</v>
      </c>
      <c r="AG49" s="242">
        <v>4160281</v>
      </c>
      <c r="AH49" s="244">
        <f t="shared" si="43"/>
        <v>0.63034560606060608</v>
      </c>
      <c r="AI49" s="242">
        <v>6600000</v>
      </c>
      <c r="AJ49" s="242">
        <v>5458561</v>
      </c>
      <c r="AK49" s="244">
        <f t="shared" si="44"/>
        <v>0.82705469696969702</v>
      </c>
      <c r="AL49" s="242">
        <f t="shared" si="45"/>
        <v>80400000</v>
      </c>
      <c r="AM49" s="242">
        <f t="shared" si="46"/>
        <v>64149857</v>
      </c>
      <c r="AN49" s="264"/>
      <c r="AO49" s="245" t="str">
        <f t="shared" si="32"/>
        <v>KOLKATA</v>
      </c>
      <c r="AP49" s="242">
        <v>170000</v>
      </c>
      <c r="AQ49" s="242">
        <v>171583</v>
      </c>
      <c r="AR49" s="244">
        <f t="shared" si="47"/>
        <v>1.0093117647058825</v>
      </c>
      <c r="AS49" s="242">
        <v>170000</v>
      </c>
      <c r="AT49" s="242">
        <v>301605</v>
      </c>
      <c r="AU49" s="244">
        <f t="shared" si="48"/>
        <v>1.7741470588235295</v>
      </c>
      <c r="AV49" s="242">
        <v>315000</v>
      </c>
      <c r="AW49" s="242">
        <v>233265</v>
      </c>
      <c r="AX49" s="244">
        <f t="shared" si="49"/>
        <v>0.74052380952380947</v>
      </c>
      <c r="AY49" s="242">
        <v>315000</v>
      </c>
      <c r="AZ49" s="242">
        <v>339324</v>
      </c>
      <c r="BA49" s="244">
        <f t="shared" si="50"/>
        <v>1.0772190476190475</v>
      </c>
      <c r="BB49" s="242">
        <v>330000</v>
      </c>
      <c r="BC49" s="242">
        <v>389131</v>
      </c>
      <c r="BD49" s="244">
        <f t="shared" si="51"/>
        <v>1.1791848484848484</v>
      </c>
      <c r="BE49" s="242">
        <v>330000</v>
      </c>
      <c r="BF49" s="242">
        <v>359932</v>
      </c>
      <c r="BG49" s="244">
        <f t="shared" si="52"/>
        <v>1.0907030303030303</v>
      </c>
      <c r="BH49" s="242">
        <v>350000</v>
      </c>
      <c r="BI49" s="242">
        <v>332706</v>
      </c>
      <c r="BJ49" s="244">
        <f t="shared" si="53"/>
        <v>0.95058857142857145</v>
      </c>
      <c r="BK49" s="242">
        <v>350000</v>
      </c>
      <c r="BL49" s="242">
        <v>310295</v>
      </c>
      <c r="BM49" s="244">
        <f t="shared" si="54"/>
        <v>0.88655714285714282</v>
      </c>
      <c r="BN49" s="242">
        <v>350000</v>
      </c>
      <c r="BO49" s="242">
        <v>160466</v>
      </c>
      <c r="BP49" s="244">
        <f t="shared" si="55"/>
        <v>0.45847428571428572</v>
      </c>
      <c r="BQ49" s="242">
        <v>350000</v>
      </c>
      <c r="BR49" s="242">
        <v>156537</v>
      </c>
      <c r="BS49" s="244">
        <f t="shared" si="56"/>
        <v>0.44724857142857144</v>
      </c>
      <c r="BT49" s="242">
        <v>350000</v>
      </c>
      <c r="BU49" s="242">
        <v>146146</v>
      </c>
      <c r="BV49" s="244">
        <f t="shared" si="57"/>
        <v>0.41755999999999999</v>
      </c>
      <c r="BW49" s="242">
        <v>350000</v>
      </c>
      <c r="BX49" s="242">
        <v>136171</v>
      </c>
      <c r="BY49" s="244">
        <f t="shared" si="58"/>
        <v>0.38906000000000002</v>
      </c>
      <c r="BZ49" s="242">
        <f t="shared" si="59"/>
        <v>3730000</v>
      </c>
      <c r="CA49" s="242">
        <f t="shared" si="60"/>
        <v>3037161</v>
      </c>
    </row>
    <row r="50" spans="1:79" x14ac:dyDescent="0.3">
      <c r="A50" s="241" t="s">
        <v>23</v>
      </c>
      <c r="B50" s="242">
        <v>5700000</v>
      </c>
      <c r="C50" s="243">
        <v>4014101</v>
      </c>
      <c r="D50" s="244">
        <f t="shared" si="33"/>
        <v>0.70422824561403508</v>
      </c>
      <c r="E50" s="242">
        <v>5700000</v>
      </c>
      <c r="F50" s="243">
        <v>4454670</v>
      </c>
      <c r="G50" s="244">
        <f t="shared" si="34"/>
        <v>0.78152105263157889</v>
      </c>
      <c r="H50" s="242">
        <v>5700000</v>
      </c>
      <c r="I50" s="243">
        <v>4257700</v>
      </c>
      <c r="J50" s="244">
        <f t="shared" si="35"/>
        <v>0.74696491228070172</v>
      </c>
      <c r="K50" s="242">
        <v>5700000</v>
      </c>
      <c r="L50" s="242">
        <v>5782540</v>
      </c>
      <c r="M50" s="244">
        <f t="shared" si="36"/>
        <v>1.014480701754386</v>
      </c>
      <c r="N50" s="242">
        <v>6000000</v>
      </c>
      <c r="O50" s="242">
        <v>5317304</v>
      </c>
      <c r="P50" s="244">
        <f t="shared" si="37"/>
        <v>0.8862173333333333</v>
      </c>
      <c r="Q50" s="269">
        <v>6000000</v>
      </c>
      <c r="R50" s="269">
        <v>6598767</v>
      </c>
      <c r="S50" s="270">
        <f t="shared" si="38"/>
        <v>1.0997945</v>
      </c>
      <c r="T50" s="269">
        <v>6500000</v>
      </c>
      <c r="U50" s="269">
        <v>5865354</v>
      </c>
      <c r="V50" s="270">
        <f t="shared" si="39"/>
        <v>0.90236215384615381</v>
      </c>
      <c r="W50" s="242">
        <v>6500000</v>
      </c>
      <c r="X50" s="242">
        <v>5510520</v>
      </c>
      <c r="Y50" s="244">
        <f t="shared" si="40"/>
        <v>0.84777230769230771</v>
      </c>
      <c r="Z50" s="242">
        <v>6500000</v>
      </c>
      <c r="AA50" s="242">
        <v>6532386</v>
      </c>
      <c r="AB50" s="244">
        <f t="shared" si="41"/>
        <v>1.0049824615384615</v>
      </c>
      <c r="AC50" s="242">
        <v>6500000</v>
      </c>
      <c r="AD50" s="242">
        <v>5204341</v>
      </c>
      <c r="AE50" s="244">
        <f t="shared" si="42"/>
        <v>0.80066784615384612</v>
      </c>
      <c r="AF50" s="242">
        <v>6500000</v>
      </c>
      <c r="AG50" s="242">
        <v>4518310</v>
      </c>
      <c r="AH50" s="244">
        <f t="shared" si="43"/>
        <v>0.69512461538461534</v>
      </c>
      <c r="AI50" s="242">
        <v>6500000</v>
      </c>
      <c r="AJ50" s="242">
        <v>4962786</v>
      </c>
      <c r="AK50" s="244">
        <f t="shared" si="44"/>
        <v>0.76350553846153846</v>
      </c>
      <c r="AL50" s="242">
        <f t="shared" si="45"/>
        <v>73800000</v>
      </c>
      <c r="AM50" s="242">
        <f t="shared" si="46"/>
        <v>63018779</v>
      </c>
      <c r="AN50" s="264"/>
      <c r="AO50" s="245" t="str">
        <f t="shared" si="32"/>
        <v>LUCKNOW</v>
      </c>
      <c r="AP50" s="242">
        <v>260000</v>
      </c>
      <c r="AQ50" s="242">
        <v>222204</v>
      </c>
      <c r="AR50" s="244">
        <f t="shared" si="47"/>
        <v>0.85463076923076919</v>
      </c>
      <c r="AS50" s="242">
        <v>260000</v>
      </c>
      <c r="AT50" s="242">
        <v>164083</v>
      </c>
      <c r="AU50" s="244">
        <f t="shared" si="48"/>
        <v>0.63108846153846154</v>
      </c>
      <c r="AV50" s="242">
        <v>260000</v>
      </c>
      <c r="AW50" s="242">
        <v>275070</v>
      </c>
      <c r="AX50" s="244">
        <f t="shared" si="49"/>
        <v>1.0579615384615384</v>
      </c>
      <c r="AY50" s="242">
        <v>260000</v>
      </c>
      <c r="AZ50" s="242">
        <v>335667</v>
      </c>
      <c r="BA50" s="244">
        <f t="shared" si="50"/>
        <v>1.2910269230769231</v>
      </c>
      <c r="BB50" s="242">
        <v>325000</v>
      </c>
      <c r="BC50" s="242">
        <v>325108</v>
      </c>
      <c r="BD50" s="244">
        <f t="shared" si="51"/>
        <v>1.0003323076923076</v>
      </c>
      <c r="BE50" s="242">
        <v>325000</v>
      </c>
      <c r="BF50" s="242">
        <v>349044</v>
      </c>
      <c r="BG50" s="244">
        <f t="shared" si="52"/>
        <v>1.0739815384615385</v>
      </c>
      <c r="BH50" s="242">
        <v>350000</v>
      </c>
      <c r="BI50" s="242">
        <v>314292</v>
      </c>
      <c r="BJ50" s="244">
        <f t="shared" si="53"/>
        <v>0.89797714285714281</v>
      </c>
      <c r="BK50" s="242">
        <v>350000</v>
      </c>
      <c r="BL50" s="242">
        <v>391752</v>
      </c>
      <c r="BM50" s="244">
        <f t="shared" si="54"/>
        <v>1.1192914285714286</v>
      </c>
      <c r="BN50" s="242">
        <v>350000</v>
      </c>
      <c r="BO50" s="242">
        <v>297976</v>
      </c>
      <c r="BP50" s="244">
        <f t="shared" si="55"/>
        <v>0.85136000000000001</v>
      </c>
      <c r="BQ50" s="242">
        <v>350000</v>
      </c>
      <c r="BR50" s="242">
        <v>176563</v>
      </c>
      <c r="BS50" s="244">
        <f t="shared" si="56"/>
        <v>0.5044657142857143</v>
      </c>
      <c r="BT50" s="242">
        <v>350000</v>
      </c>
      <c r="BU50" s="242">
        <v>202809</v>
      </c>
      <c r="BV50" s="244">
        <f t="shared" si="57"/>
        <v>0.5794542857142857</v>
      </c>
      <c r="BW50" s="242">
        <v>350000</v>
      </c>
      <c r="BX50" s="242">
        <v>202165</v>
      </c>
      <c r="BY50" s="244">
        <f t="shared" si="58"/>
        <v>0.57761428571428575</v>
      </c>
      <c r="BZ50" s="242">
        <f t="shared" si="59"/>
        <v>3790000</v>
      </c>
      <c r="CA50" s="242">
        <f t="shared" si="60"/>
        <v>3256733</v>
      </c>
    </row>
    <row r="51" spans="1:79" x14ac:dyDescent="0.3">
      <c r="A51" s="241" t="s">
        <v>129</v>
      </c>
      <c r="B51" s="242">
        <v>6300000</v>
      </c>
      <c r="C51" s="243">
        <v>4903580</v>
      </c>
      <c r="D51" s="244">
        <f t="shared" si="33"/>
        <v>0.77834603174603179</v>
      </c>
      <c r="E51" s="242">
        <v>6300000</v>
      </c>
      <c r="F51" s="243">
        <v>4568260</v>
      </c>
      <c r="G51" s="244">
        <f t="shared" si="34"/>
        <v>0.72512063492063494</v>
      </c>
      <c r="H51" s="242">
        <v>6300000</v>
      </c>
      <c r="I51" s="243">
        <v>3586870</v>
      </c>
      <c r="J51" s="244">
        <f t="shared" si="35"/>
        <v>0.56934444444444443</v>
      </c>
      <c r="K51" s="242">
        <v>6300000</v>
      </c>
      <c r="L51" s="242">
        <v>5815700</v>
      </c>
      <c r="M51" s="244">
        <f t="shared" si="36"/>
        <v>0.92312698412698413</v>
      </c>
      <c r="N51" s="242">
        <v>6300000</v>
      </c>
      <c r="O51" s="242">
        <v>5332140</v>
      </c>
      <c r="P51" s="244">
        <f t="shared" si="37"/>
        <v>0.84637142857142855</v>
      </c>
      <c r="Q51" s="269">
        <v>6300000</v>
      </c>
      <c r="R51" s="269">
        <v>6305540</v>
      </c>
      <c r="S51" s="270">
        <f t="shared" si="38"/>
        <v>1.000879365079365</v>
      </c>
      <c r="T51" s="269">
        <v>6300000</v>
      </c>
      <c r="U51" s="269">
        <v>5537540</v>
      </c>
      <c r="V51" s="270">
        <f t="shared" si="39"/>
        <v>0.87897460317460319</v>
      </c>
      <c r="W51" s="242">
        <v>6300000</v>
      </c>
      <c r="X51" s="242">
        <v>5964340</v>
      </c>
      <c r="Y51" s="244">
        <f t="shared" si="40"/>
        <v>0.94672063492063496</v>
      </c>
      <c r="Z51" s="242">
        <v>6500000</v>
      </c>
      <c r="AA51" s="242">
        <v>5740550</v>
      </c>
      <c r="AB51" s="244">
        <f t="shared" si="41"/>
        <v>0.88316153846153844</v>
      </c>
      <c r="AC51" s="242">
        <v>6500000</v>
      </c>
      <c r="AD51" s="242">
        <v>6183741</v>
      </c>
      <c r="AE51" s="244">
        <f t="shared" si="42"/>
        <v>0.95134476923076927</v>
      </c>
      <c r="AF51" s="242">
        <v>6000000</v>
      </c>
      <c r="AG51" s="242">
        <v>6017796</v>
      </c>
      <c r="AH51" s="244">
        <f t="shared" si="43"/>
        <v>1.002966</v>
      </c>
      <c r="AI51" s="242">
        <v>6000000</v>
      </c>
      <c r="AJ51" s="242">
        <v>3467640</v>
      </c>
      <c r="AK51" s="244">
        <f t="shared" si="44"/>
        <v>0.57794000000000001</v>
      </c>
      <c r="AL51" s="242">
        <f t="shared" si="45"/>
        <v>75400000</v>
      </c>
      <c r="AM51" s="242">
        <f t="shared" si="46"/>
        <v>63423697</v>
      </c>
      <c r="AN51" s="264"/>
      <c r="AO51" s="245" t="str">
        <f t="shared" si="32"/>
        <v>MUMBAI-JUHU</v>
      </c>
      <c r="AP51" s="242">
        <v>160000</v>
      </c>
      <c r="AQ51" s="242">
        <v>141550</v>
      </c>
      <c r="AR51" s="244">
        <f t="shared" si="47"/>
        <v>0.88468749999999996</v>
      </c>
      <c r="AS51" s="242">
        <v>160000</v>
      </c>
      <c r="AT51" s="242">
        <v>190710</v>
      </c>
      <c r="AU51" s="244">
        <f t="shared" si="48"/>
        <v>1.1919375000000001</v>
      </c>
      <c r="AV51" s="242">
        <v>200000</v>
      </c>
      <c r="AW51" s="242">
        <v>116935</v>
      </c>
      <c r="AX51" s="244">
        <f t="shared" si="49"/>
        <v>0.58467499999999994</v>
      </c>
      <c r="AY51" s="242">
        <v>200000</v>
      </c>
      <c r="AZ51" s="242">
        <v>248058</v>
      </c>
      <c r="BA51" s="244">
        <f t="shared" si="50"/>
        <v>1.2402899999999999</v>
      </c>
      <c r="BB51" s="242">
        <v>250000</v>
      </c>
      <c r="BC51" s="242">
        <v>353858</v>
      </c>
      <c r="BD51" s="244">
        <f t="shared" si="51"/>
        <v>1.415432</v>
      </c>
      <c r="BE51" s="242">
        <v>300000</v>
      </c>
      <c r="BF51" s="242">
        <v>397843</v>
      </c>
      <c r="BG51" s="244">
        <f t="shared" si="52"/>
        <v>1.3261433333333332</v>
      </c>
      <c r="BH51" s="242">
        <v>350000</v>
      </c>
      <c r="BI51" s="242">
        <v>270610</v>
      </c>
      <c r="BJ51" s="244">
        <f t="shared" si="53"/>
        <v>0.77317142857142862</v>
      </c>
      <c r="BK51" s="242">
        <v>350000</v>
      </c>
      <c r="BL51" s="242">
        <v>313112</v>
      </c>
      <c r="BM51" s="244">
        <f t="shared" si="54"/>
        <v>0.89460571428571434</v>
      </c>
      <c r="BN51" s="242">
        <v>350000</v>
      </c>
      <c r="BO51" s="242">
        <v>190947</v>
      </c>
      <c r="BP51" s="244">
        <f t="shared" si="55"/>
        <v>0.54556285714285713</v>
      </c>
      <c r="BQ51" s="242">
        <v>350000</v>
      </c>
      <c r="BR51" s="242">
        <v>147640</v>
      </c>
      <c r="BS51" s="244">
        <f t="shared" si="56"/>
        <v>0.42182857142857144</v>
      </c>
      <c r="BT51" s="242">
        <v>350000</v>
      </c>
      <c r="BU51" s="242">
        <v>264808</v>
      </c>
      <c r="BV51" s="244">
        <f t="shared" si="57"/>
        <v>0.75659428571428566</v>
      </c>
      <c r="BW51" s="242">
        <v>350000</v>
      </c>
      <c r="BX51" s="242">
        <v>66483</v>
      </c>
      <c r="BY51" s="244">
        <f t="shared" si="58"/>
        <v>0.18995142857142858</v>
      </c>
      <c r="BZ51" s="242">
        <f t="shared" si="59"/>
        <v>3370000</v>
      </c>
      <c r="CA51" s="242">
        <f t="shared" si="60"/>
        <v>2702554</v>
      </c>
    </row>
    <row r="52" spans="1:79" x14ac:dyDescent="0.3">
      <c r="A52" s="241" t="s">
        <v>9</v>
      </c>
      <c r="B52" s="242">
        <v>2300000</v>
      </c>
      <c r="C52" s="243">
        <v>1473500</v>
      </c>
      <c r="D52" s="244">
        <f t="shared" si="33"/>
        <v>0.64065217391304352</v>
      </c>
      <c r="E52" s="242">
        <v>2300000</v>
      </c>
      <c r="F52" s="243">
        <v>2314800</v>
      </c>
      <c r="G52" s="244">
        <f t="shared" si="34"/>
        <v>1.0064347826086957</v>
      </c>
      <c r="H52" s="242">
        <v>2300000</v>
      </c>
      <c r="I52" s="243">
        <v>2089300</v>
      </c>
      <c r="J52" s="244">
        <f t="shared" si="35"/>
        <v>0.90839130434782611</v>
      </c>
      <c r="K52" s="242">
        <v>2500000</v>
      </c>
      <c r="L52" s="242">
        <v>1851100</v>
      </c>
      <c r="M52" s="244">
        <f t="shared" si="36"/>
        <v>0.74043999999999999</v>
      </c>
      <c r="N52" s="242">
        <v>2350000</v>
      </c>
      <c r="O52" s="242">
        <v>1318900</v>
      </c>
      <c r="P52" s="244">
        <f t="shared" si="37"/>
        <v>0.56123404255319154</v>
      </c>
      <c r="Q52" s="269">
        <v>2350000</v>
      </c>
      <c r="R52" s="269">
        <v>2609100</v>
      </c>
      <c r="S52" s="270">
        <f t="shared" si="38"/>
        <v>1.1102553191489362</v>
      </c>
      <c r="T52" s="269">
        <v>2500000</v>
      </c>
      <c r="U52" s="269">
        <v>2508950</v>
      </c>
      <c r="V52" s="270">
        <f t="shared" si="39"/>
        <v>1.0035799999999999</v>
      </c>
      <c r="W52" s="242">
        <v>2500000</v>
      </c>
      <c r="X52" s="242">
        <v>1775650</v>
      </c>
      <c r="Y52" s="244">
        <f t="shared" si="40"/>
        <v>0.71026</v>
      </c>
      <c r="Z52" s="242">
        <v>2500000</v>
      </c>
      <c r="AA52" s="242">
        <v>2774150</v>
      </c>
      <c r="AB52" s="244">
        <f t="shared" si="41"/>
        <v>1.1096600000000001</v>
      </c>
      <c r="AC52" s="242">
        <v>2500000</v>
      </c>
      <c r="AD52" s="242">
        <v>2501710</v>
      </c>
      <c r="AE52" s="244">
        <f t="shared" si="42"/>
        <v>1.0006839999999999</v>
      </c>
      <c r="AF52" s="242">
        <v>2500000</v>
      </c>
      <c r="AG52" s="242">
        <v>2516628</v>
      </c>
      <c r="AH52" s="244">
        <f t="shared" si="43"/>
        <v>1.0066512000000001</v>
      </c>
      <c r="AI52" s="242">
        <v>2500000</v>
      </c>
      <c r="AJ52" s="242">
        <v>2034400</v>
      </c>
      <c r="AK52" s="244">
        <f t="shared" si="44"/>
        <v>0.81376000000000004</v>
      </c>
      <c r="AL52" s="242">
        <f t="shared" si="45"/>
        <v>29100000</v>
      </c>
      <c r="AM52" s="242">
        <f t="shared" si="46"/>
        <v>25768188</v>
      </c>
      <c r="AN52" s="264"/>
      <c r="AO52" s="245" t="str">
        <f t="shared" si="32"/>
        <v>PATNA</v>
      </c>
      <c r="AP52" s="242">
        <v>60000</v>
      </c>
      <c r="AQ52" s="242">
        <v>82780</v>
      </c>
      <c r="AR52" s="244">
        <f t="shared" si="47"/>
        <v>1.3796666666666666</v>
      </c>
      <c r="AS52" s="242">
        <v>60000</v>
      </c>
      <c r="AT52" s="242">
        <v>87620</v>
      </c>
      <c r="AU52" s="244">
        <f t="shared" si="48"/>
        <v>1.4603333333333333</v>
      </c>
      <c r="AV52" s="242">
        <v>90000</v>
      </c>
      <c r="AW52" s="242">
        <v>146320</v>
      </c>
      <c r="AX52" s="244">
        <f t="shared" si="49"/>
        <v>1.6257777777777778</v>
      </c>
      <c r="AY52" s="242">
        <v>90000</v>
      </c>
      <c r="AZ52" s="242">
        <v>115410</v>
      </c>
      <c r="BA52" s="244">
        <f t="shared" si="50"/>
        <v>1.2823333333333333</v>
      </c>
      <c r="BB52" s="242">
        <v>110000</v>
      </c>
      <c r="BC52" s="242">
        <v>110398</v>
      </c>
      <c r="BD52" s="244">
        <f t="shared" si="51"/>
        <v>1.0036181818181817</v>
      </c>
      <c r="BE52" s="242">
        <v>110000</v>
      </c>
      <c r="BF52" s="242">
        <v>142152</v>
      </c>
      <c r="BG52" s="244">
        <f t="shared" si="52"/>
        <v>1.2922909090909092</v>
      </c>
      <c r="BH52" s="242">
        <v>130000</v>
      </c>
      <c r="BI52" s="242">
        <v>182836</v>
      </c>
      <c r="BJ52" s="244">
        <f t="shared" si="53"/>
        <v>1.4064307692307692</v>
      </c>
      <c r="BK52" s="242">
        <v>130000</v>
      </c>
      <c r="BL52" s="242">
        <v>131279</v>
      </c>
      <c r="BM52" s="244">
        <f t="shared" si="54"/>
        <v>1.0098384615384615</v>
      </c>
      <c r="BN52" s="242">
        <v>130000</v>
      </c>
      <c r="BO52" s="242">
        <v>84727</v>
      </c>
      <c r="BP52" s="244">
        <f t="shared" si="55"/>
        <v>0.65174615384615386</v>
      </c>
      <c r="BQ52" s="242">
        <v>130000</v>
      </c>
      <c r="BR52" s="242">
        <v>70187</v>
      </c>
      <c r="BS52" s="244">
        <f t="shared" si="56"/>
        <v>0.53990000000000005</v>
      </c>
      <c r="BT52" s="242">
        <v>130000</v>
      </c>
      <c r="BU52" s="242">
        <v>91598</v>
      </c>
      <c r="BV52" s="244">
        <f t="shared" si="57"/>
        <v>0.7046</v>
      </c>
      <c r="BW52" s="242">
        <v>130000</v>
      </c>
      <c r="BX52" s="242">
        <v>48505</v>
      </c>
      <c r="BY52" s="244">
        <f t="shared" si="58"/>
        <v>0.37311538461538463</v>
      </c>
      <c r="BZ52" s="242">
        <f t="shared" si="59"/>
        <v>1300000</v>
      </c>
      <c r="CA52" s="242">
        <f t="shared" si="60"/>
        <v>1293812</v>
      </c>
    </row>
    <row r="53" spans="1:79" x14ac:dyDescent="0.3">
      <c r="A53" s="241" t="s">
        <v>12</v>
      </c>
      <c r="B53" s="242">
        <v>2600000</v>
      </c>
      <c r="C53" s="243">
        <v>2014060</v>
      </c>
      <c r="D53" s="244">
        <f t="shared" si="33"/>
        <v>0.7746384615384615</v>
      </c>
      <c r="E53" s="242">
        <v>2600000</v>
      </c>
      <c r="F53" s="243">
        <v>1704560</v>
      </c>
      <c r="G53" s="244">
        <f t="shared" si="34"/>
        <v>0.65559999999999996</v>
      </c>
      <c r="H53" s="242">
        <v>2600000</v>
      </c>
      <c r="I53" s="243">
        <v>2109120</v>
      </c>
      <c r="J53" s="244">
        <f t="shared" si="35"/>
        <v>0.81120000000000003</v>
      </c>
      <c r="K53" s="242">
        <v>2600000</v>
      </c>
      <c r="L53" s="242">
        <v>1954160</v>
      </c>
      <c r="M53" s="244">
        <f t="shared" si="36"/>
        <v>0.75160000000000005</v>
      </c>
      <c r="N53" s="242">
        <v>2600000</v>
      </c>
      <c r="O53" s="242">
        <v>1654040</v>
      </c>
      <c r="P53" s="244">
        <f t="shared" si="37"/>
        <v>0.63616923076923082</v>
      </c>
      <c r="Q53" s="269">
        <v>2600000</v>
      </c>
      <c r="R53" s="269">
        <v>1800120</v>
      </c>
      <c r="S53" s="270">
        <f t="shared" si="38"/>
        <v>0.69235384615384621</v>
      </c>
      <c r="T53" s="269">
        <v>2600000</v>
      </c>
      <c r="U53" s="269">
        <v>1518320</v>
      </c>
      <c r="V53" s="270">
        <f t="shared" si="39"/>
        <v>0.5839692307692308</v>
      </c>
      <c r="W53" s="242">
        <v>2600000</v>
      </c>
      <c r="X53" s="242">
        <v>1518570</v>
      </c>
      <c r="Y53" s="244">
        <f t="shared" si="40"/>
        <v>0.5840653846153846</v>
      </c>
      <c r="Z53" s="242">
        <v>2600000</v>
      </c>
      <c r="AA53" s="242">
        <v>1269960</v>
      </c>
      <c r="AB53" s="244">
        <f t="shared" si="41"/>
        <v>0.48844615384615386</v>
      </c>
      <c r="AC53" s="242">
        <v>2600000</v>
      </c>
      <c r="AD53" s="242">
        <v>1405260</v>
      </c>
      <c r="AE53" s="244">
        <f t="shared" si="42"/>
        <v>0.54048461538461534</v>
      </c>
      <c r="AF53" s="242">
        <v>2600000</v>
      </c>
      <c r="AG53" s="242">
        <v>1189210</v>
      </c>
      <c r="AH53" s="244">
        <f t="shared" si="43"/>
        <v>0.45738846153846152</v>
      </c>
      <c r="AI53" s="242">
        <v>2600000</v>
      </c>
      <c r="AJ53" s="242">
        <v>1348320</v>
      </c>
      <c r="AK53" s="244">
        <f t="shared" si="44"/>
        <v>0.51858461538461542</v>
      </c>
      <c r="AL53" s="242">
        <f t="shared" si="45"/>
        <v>31200000</v>
      </c>
      <c r="AM53" s="242">
        <f t="shared" si="46"/>
        <v>19485700</v>
      </c>
      <c r="AN53" s="264"/>
      <c r="AO53" s="245" t="str">
        <f t="shared" si="32"/>
        <v>RAIPUR</v>
      </c>
      <c r="AP53" s="242">
        <v>95000</v>
      </c>
      <c r="AQ53" s="242">
        <v>95859</v>
      </c>
      <c r="AR53" s="244">
        <f t="shared" si="47"/>
        <v>1.009042105263158</v>
      </c>
      <c r="AS53" s="242">
        <v>95000</v>
      </c>
      <c r="AT53" s="242">
        <v>118586</v>
      </c>
      <c r="AU53" s="244">
        <f t="shared" si="48"/>
        <v>1.2482736842105264</v>
      </c>
      <c r="AV53" s="242">
        <v>120000</v>
      </c>
      <c r="AW53" s="242">
        <v>137660</v>
      </c>
      <c r="AX53" s="244">
        <f t="shared" si="49"/>
        <v>1.1471666666666667</v>
      </c>
      <c r="AY53" s="242">
        <v>120000</v>
      </c>
      <c r="AZ53" s="242">
        <v>167327</v>
      </c>
      <c r="BA53" s="244">
        <f t="shared" si="50"/>
        <v>1.3943916666666667</v>
      </c>
      <c r="BB53" s="242">
        <v>150000</v>
      </c>
      <c r="BC53" s="242">
        <v>120274</v>
      </c>
      <c r="BD53" s="244">
        <f t="shared" si="51"/>
        <v>0.80182666666666669</v>
      </c>
      <c r="BE53" s="242">
        <v>150000</v>
      </c>
      <c r="BF53" s="242">
        <v>153523</v>
      </c>
      <c r="BG53" s="244">
        <f t="shared" si="52"/>
        <v>1.0234866666666667</v>
      </c>
      <c r="BH53" s="242">
        <v>170000</v>
      </c>
      <c r="BI53" s="242">
        <v>90137</v>
      </c>
      <c r="BJ53" s="244">
        <f t="shared" si="53"/>
        <v>0.53021764705882357</v>
      </c>
      <c r="BK53" s="242">
        <v>170000</v>
      </c>
      <c r="BL53" s="242">
        <v>84480</v>
      </c>
      <c r="BM53" s="244">
        <f t="shared" si="54"/>
        <v>0.49694117647058822</v>
      </c>
      <c r="BN53" s="242">
        <v>170000</v>
      </c>
      <c r="BO53" s="242">
        <v>36212</v>
      </c>
      <c r="BP53" s="244">
        <f t="shared" si="55"/>
        <v>0.21301176470588234</v>
      </c>
      <c r="BQ53" s="242">
        <v>170000</v>
      </c>
      <c r="BR53" s="242">
        <v>14799</v>
      </c>
      <c r="BS53" s="244">
        <f t="shared" si="56"/>
        <v>8.7052941176470583E-2</v>
      </c>
      <c r="BT53" s="242">
        <v>170000</v>
      </c>
      <c r="BU53" s="242">
        <v>82228</v>
      </c>
      <c r="BV53" s="244">
        <f t="shared" si="57"/>
        <v>0.48369411764705883</v>
      </c>
      <c r="BW53" s="242">
        <v>170000</v>
      </c>
      <c r="BX53" s="242">
        <v>102045</v>
      </c>
      <c r="BY53" s="244">
        <f t="shared" si="58"/>
        <v>0.60026470588235292</v>
      </c>
      <c r="BZ53" s="242">
        <f t="shared" si="59"/>
        <v>1750000</v>
      </c>
      <c r="CA53" s="242">
        <f t="shared" si="60"/>
        <v>1203130</v>
      </c>
    </row>
    <row r="54" spans="1:79" x14ac:dyDescent="0.3">
      <c r="A54" s="245" t="s">
        <v>86</v>
      </c>
      <c r="B54" s="242">
        <v>4000000</v>
      </c>
      <c r="C54" s="243">
        <v>2102600</v>
      </c>
      <c r="D54" s="244">
        <f t="shared" si="33"/>
        <v>0.52564999999999995</v>
      </c>
      <c r="E54" s="242">
        <v>4000000</v>
      </c>
      <c r="F54" s="243">
        <v>2580480</v>
      </c>
      <c r="G54" s="244">
        <f t="shared" si="34"/>
        <v>0.64512000000000003</v>
      </c>
      <c r="H54" s="242">
        <v>4000000</v>
      </c>
      <c r="I54" s="243">
        <v>2235700</v>
      </c>
      <c r="J54" s="244">
        <f t="shared" si="35"/>
        <v>0.55892500000000001</v>
      </c>
      <c r="K54" s="242">
        <v>4000000</v>
      </c>
      <c r="L54" s="242">
        <v>2538480</v>
      </c>
      <c r="M54" s="244">
        <f t="shared" si="36"/>
        <v>0.63461999999999996</v>
      </c>
      <c r="N54" s="242">
        <v>4000000</v>
      </c>
      <c r="O54" s="242">
        <v>3093215</v>
      </c>
      <c r="P54" s="244">
        <f t="shared" si="37"/>
        <v>0.77330374999999996</v>
      </c>
      <c r="Q54" s="269">
        <v>4000000</v>
      </c>
      <c r="R54" s="269">
        <v>2506460</v>
      </c>
      <c r="S54" s="270">
        <f t="shared" si="38"/>
        <v>0.62661500000000003</v>
      </c>
      <c r="T54" s="269">
        <v>4000000</v>
      </c>
      <c r="U54" s="269">
        <v>3912810</v>
      </c>
      <c r="V54" s="270">
        <f t="shared" si="39"/>
        <v>0.97820249999999997</v>
      </c>
      <c r="W54" s="242">
        <v>4000000</v>
      </c>
      <c r="X54" s="242">
        <v>3133140</v>
      </c>
      <c r="Y54" s="244">
        <f t="shared" si="40"/>
        <v>0.78328500000000001</v>
      </c>
      <c r="Z54" s="242">
        <v>4000000</v>
      </c>
      <c r="AA54" s="242">
        <v>2661220</v>
      </c>
      <c r="AB54" s="244">
        <f t="shared" si="41"/>
        <v>0.66530500000000004</v>
      </c>
      <c r="AC54" s="242">
        <v>4000000</v>
      </c>
      <c r="AD54" s="242">
        <v>3086980</v>
      </c>
      <c r="AE54" s="244">
        <f t="shared" si="42"/>
        <v>0.77174500000000001</v>
      </c>
      <c r="AF54" s="242">
        <v>4000000</v>
      </c>
      <c r="AG54" s="242">
        <v>3277780</v>
      </c>
      <c r="AH54" s="244">
        <f t="shared" si="43"/>
        <v>0.81944499999999998</v>
      </c>
      <c r="AI54" s="242">
        <v>4000000</v>
      </c>
      <c r="AJ54" s="242">
        <v>3255255</v>
      </c>
      <c r="AK54" s="244">
        <f t="shared" si="44"/>
        <v>0.81381375</v>
      </c>
      <c r="AL54" s="242">
        <f t="shared" si="45"/>
        <v>48000000</v>
      </c>
      <c r="AM54" s="242">
        <f t="shared" si="46"/>
        <v>34384120</v>
      </c>
      <c r="AN54" s="264"/>
      <c r="AO54" s="245" t="str">
        <f t="shared" si="32"/>
        <v>JAIPUR</v>
      </c>
      <c r="AP54" s="242">
        <v>160000</v>
      </c>
      <c r="AQ54" s="242">
        <v>138975</v>
      </c>
      <c r="AR54" s="244">
        <f t="shared" si="47"/>
        <v>0.86859375000000005</v>
      </c>
      <c r="AS54" s="242">
        <v>160000</v>
      </c>
      <c r="AT54" s="242">
        <v>157375</v>
      </c>
      <c r="AU54" s="244">
        <f t="shared" si="48"/>
        <v>0.98359375000000004</v>
      </c>
      <c r="AV54" s="242">
        <v>160000</v>
      </c>
      <c r="AW54" s="242">
        <v>124025</v>
      </c>
      <c r="AX54" s="244">
        <f t="shared" si="49"/>
        <v>0.77515624999999999</v>
      </c>
      <c r="AY54" s="242">
        <v>160000</v>
      </c>
      <c r="AZ54" s="242">
        <v>185254</v>
      </c>
      <c r="BA54" s="244">
        <f t="shared" si="50"/>
        <v>1.1578375000000001</v>
      </c>
      <c r="BB54" s="242">
        <v>175000</v>
      </c>
      <c r="BC54" s="242">
        <v>203564</v>
      </c>
      <c r="BD54" s="244">
        <f t="shared" si="51"/>
        <v>1.1632228571428571</v>
      </c>
      <c r="BE54" s="242">
        <v>175000</v>
      </c>
      <c r="BF54" s="242">
        <v>169043</v>
      </c>
      <c r="BG54" s="244">
        <f t="shared" si="52"/>
        <v>0.96596000000000004</v>
      </c>
      <c r="BH54" s="242">
        <v>180000</v>
      </c>
      <c r="BI54" s="242">
        <v>192794</v>
      </c>
      <c r="BJ54" s="244">
        <f t="shared" si="53"/>
        <v>1.0710777777777778</v>
      </c>
      <c r="BK54" s="242">
        <v>180000</v>
      </c>
      <c r="BL54" s="242">
        <v>149541</v>
      </c>
      <c r="BM54" s="244">
        <f t="shared" si="54"/>
        <v>0.83078333333333332</v>
      </c>
      <c r="BN54" s="242">
        <v>180000</v>
      </c>
      <c r="BO54" s="242">
        <v>110162</v>
      </c>
      <c r="BP54" s="244">
        <f t="shared" si="55"/>
        <v>0.61201111111111106</v>
      </c>
      <c r="BQ54" s="242">
        <v>180000</v>
      </c>
      <c r="BR54" s="242">
        <v>124515</v>
      </c>
      <c r="BS54" s="244">
        <f t="shared" si="56"/>
        <v>0.69174999999999998</v>
      </c>
      <c r="BT54" s="242">
        <v>180000</v>
      </c>
      <c r="BU54" s="242">
        <v>113075</v>
      </c>
      <c r="BV54" s="244">
        <f t="shared" si="57"/>
        <v>0.6281944444444445</v>
      </c>
      <c r="BW54" s="242">
        <v>180000</v>
      </c>
      <c r="BX54" s="242">
        <v>147489</v>
      </c>
      <c r="BY54" s="244">
        <f t="shared" si="58"/>
        <v>0.81938333333333335</v>
      </c>
      <c r="BZ54" s="242">
        <f t="shared" si="59"/>
        <v>2070000</v>
      </c>
      <c r="CA54" s="242">
        <f t="shared" si="60"/>
        <v>1815812</v>
      </c>
    </row>
    <row r="55" spans="1:79" x14ac:dyDescent="0.3">
      <c r="A55" s="245" t="s">
        <v>130</v>
      </c>
      <c r="B55" s="242">
        <v>4600000</v>
      </c>
      <c r="C55" s="243">
        <v>3634871</v>
      </c>
      <c r="D55" s="244">
        <f t="shared" si="33"/>
        <v>0.79018934782608696</v>
      </c>
      <c r="E55" s="242">
        <v>4600000</v>
      </c>
      <c r="F55" s="243">
        <v>5133732</v>
      </c>
      <c r="G55" s="244">
        <f t="shared" si="34"/>
        <v>1.1160286956521739</v>
      </c>
      <c r="H55" s="242">
        <v>5100000</v>
      </c>
      <c r="I55" s="243">
        <v>5709721</v>
      </c>
      <c r="J55" s="244">
        <f t="shared" si="35"/>
        <v>1.1195531372549019</v>
      </c>
      <c r="K55" s="242">
        <v>5500000</v>
      </c>
      <c r="L55" s="242">
        <v>6550622</v>
      </c>
      <c r="M55" s="244">
        <f t="shared" si="36"/>
        <v>1.1910221818181819</v>
      </c>
      <c r="N55" s="242">
        <v>6000000</v>
      </c>
      <c r="O55" s="242">
        <v>5689901</v>
      </c>
      <c r="P55" s="244">
        <f t="shared" si="37"/>
        <v>0.94831683333333339</v>
      </c>
      <c r="Q55" s="269">
        <v>6000000</v>
      </c>
      <c r="R55" s="269">
        <v>5805511</v>
      </c>
      <c r="S55" s="270">
        <f t="shared" si="38"/>
        <v>0.96758516666666672</v>
      </c>
      <c r="T55" s="269">
        <v>6300000</v>
      </c>
      <c r="U55" s="269">
        <v>5468131</v>
      </c>
      <c r="V55" s="270">
        <f t="shared" si="39"/>
        <v>0.86795730158730156</v>
      </c>
      <c r="W55" s="242">
        <v>6300000</v>
      </c>
      <c r="X55" s="242">
        <v>5859221</v>
      </c>
      <c r="Y55" s="244">
        <f t="shared" si="40"/>
        <v>0.93003507936507934</v>
      </c>
      <c r="Z55" s="242">
        <v>6300000</v>
      </c>
      <c r="AA55" s="242">
        <v>5728536</v>
      </c>
      <c r="AB55" s="244">
        <f t="shared" si="41"/>
        <v>0.90929142857142853</v>
      </c>
      <c r="AC55" s="242">
        <v>6300000</v>
      </c>
      <c r="AD55" s="242">
        <v>7299111</v>
      </c>
      <c r="AE55" s="244">
        <f t="shared" si="42"/>
        <v>1.1585890476190477</v>
      </c>
      <c r="AF55" s="242">
        <v>6300000</v>
      </c>
      <c r="AG55" s="242">
        <v>5742041</v>
      </c>
      <c r="AH55" s="244">
        <f t="shared" si="43"/>
        <v>0.91143507936507939</v>
      </c>
      <c r="AI55" s="242">
        <v>6300000</v>
      </c>
      <c r="AJ55" s="242">
        <v>6529191</v>
      </c>
      <c r="AK55" s="244">
        <f t="shared" si="44"/>
        <v>1.0363795238095239</v>
      </c>
      <c r="AL55" s="242">
        <f t="shared" si="45"/>
        <v>69600000</v>
      </c>
      <c r="AM55" s="242">
        <f t="shared" si="46"/>
        <v>69150589</v>
      </c>
      <c r="AN55" s="264"/>
      <c r="AO55" s="245" t="str">
        <f t="shared" si="32"/>
        <v>MUMBAI-PAREL</v>
      </c>
      <c r="AP55" s="242">
        <v>125000</v>
      </c>
      <c r="AQ55" s="242">
        <v>184700</v>
      </c>
      <c r="AR55" s="244">
        <f t="shared" si="47"/>
        <v>1.4776</v>
      </c>
      <c r="AS55" s="242">
        <v>140000</v>
      </c>
      <c r="AT55" s="242">
        <v>347920</v>
      </c>
      <c r="AU55" s="244">
        <f t="shared" si="48"/>
        <v>2.4851428571428573</v>
      </c>
      <c r="AV55" s="242">
        <v>300000</v>
      </c>
      <c r="AW55" s="242">
        <v>247064</v>
      </c>
      <c r="AX55" s="244">
        <f t="shared" si="49"/>
        <v>0.82354666666666665</v>
      </c>
      <c r="AY55" s="242">
        <v>300000</v>
      </c>
      <c r="AZ55" s="242">
        <v>393325</v>
      </c>
      <c r="BA55" s="244">
        <f t="shared" si="50"/>
        <v>1.3110833333333334</v>
      </c>
      <c r="BB55" s="242">
        <v>350000</v>
      </c>
      <c r="BC55" s="242">
        <v>383275</v>
      </c>
      <c r="BD55" s="244">
        <f t="shared" si="51"/>
        <v>1.0950714285714285</v>
      </c>
      <c r="BE55" s="242">
        <v>350000</v>
      </c>
      <c r="BF55" s="242">
        <v>313529</v>
      </c>
      <c r="BG55" s="244">
        <f t="shared" si="52"/>
        <v>0.89579714285714285</v>
      </c>
      <c r="BH55" s="242">
        <v>370000</v>
      </c>
      <c r="BI55" s="242">
        <v>312651</v>
      </c>
      <c r="BJ55" s="244">
        <f t="shared" si="53"/>
        <v>0.84500270270270272</v>
      </c>
      <c r="BK55" s="242">
        <v>370000</v>
      </c>
      <c r="BL55" s="242">
        <v>404343</v>
      </c>
      <c r="BM55" s="244">
        <f t="shared" si="54"/>
        <v>1.092818918918919</v>
      </c>
      <c r="BN55" s="242">
        <v>370000</v>
      </c>
      <c r="BO55" s="242">
        <v>144596</v>
      </c>
      <c r="BP55" s="244">
        <f t="shared" si="55"/>
        <v>0.39079999999999998</v>
      </c>
      <c r="BQ55" s="242">
        <v>370000</v>
      </c>
      <c r="BR55" s="242">
        <v>220253</v>
      </c>
      <c r="BS55" s="244">
        <f t="shared" si="56"/>
        <v>0.59527837837837838</v>
      </c>
      <c r="BT55" s="242">
        <v>370000</v>
      </c>
      <c r="BU55" s="242">
        <v>237141</v>
      </c>
      <c r="BV55" s="244">
        <f t="shared" si="57"/>
        <v>0.64092162162162158</v>
      </c>
      <c r="BW55" s="242">
        <v>370000</v>
      </c>
      <c r="BX55" s="242">
        <v>260221</v>
      </c>
      <c r="BY55" s="244">
        <f t="shared" si="58"/>
        <v>0.70330000000000004</v>
      </c>
      <c r="BZ55" s="242">
        <f t="shared" si="59"/>
        <v>3785000</v>
      </c>
      <c r="CA55" s="242">
        <f t="shared" si="60"/>
        <v>3449018</v>
      </c>
    </row>
    <row r="56" spans="1:79" x14ac:dyDescent="0.3">
      <c r="A56" s="246" t="s">
        <v>87</v>
      </c>
      <c r="B56" s="242">
        <v>2100000</v>
      </c>
      <c r="C56" s="243">
        <v>2105580</v>
      </c>
      <c r="D56" s="244">
        <f t="shared" si="33"/>
        <v>1.0026571428571429</v>
      </c>
      <c r="E56" s="242">
        <v>2100000</v>
      </c>
      <c r="F56" s="243">
        <v>2538780</v>
      </c>
      <c r="G56" s="244">
        <f t="shared" si="34"/>
        <v>1.2089428571428571</v>
      </c>
      <c r="H56" s="242">
        <v>2700000</v>
      </c>
      <c r="I56" s="243">
        <v>2165440</v>
      </c>
      <c r="J56" s="244">
        <f t="shared" si="35"/>
        <v>0.80201481481481485</v>
      </c>
      <c r="K56" s="242">
        <v>2500000</v>
      </c>
      <c r="L56" s="242">
        <v>1733700</v>
      </c>
      <c r="M56" s="244">
        <f t="shared" si="36"/>
        <v>0.69347999999999999</v>
      </c>
      <c r="N56" s="242">
        <v>2350000</v>
      </c>
      <c r="O56" s="242">
        <v>2400472</v>
      </c>
      <c r="P56" s="244">
        <f t="shared" si="37"/>
        <v>1.0214774468085106</v>
      </c>
      <c r="Q56" s="269">
        <v>2350000</v>
      </c>
      <c r="R56" s="269">
        <v>2371400</v>
      </c>
      <c r="S56" s="270">
        <f t="shared" si="38"/>
        <v>1.0091063829787235</v>
      </c>
      <c r="T56" s="269">
        <v>2500000</v>
      </c>
      <c r="U56" s="269">
        <v>2675460</v>
      </c>
      <c r="V56" s="270">
        <f t="shared" si="39"/>
        <v>1.070184</v>
      </c>
      <c r="W56" s="242">
        <v>2500000</v>
      </c>
      <c r="X56" s="242">
        <v>3563980</v>
      </c>
      <c r="Y56" s="244">
        <f t="shared" si="40"/>
        <v>1.425592</v>
      </c>
      <c r="Z56" s="242">
        <v>2500000</v>
      </c>
      <c r="AA56" s="242">
        <v>2706240</v>
      </c>
      <c r="AB56" s="244">
        <f t="shared" si="41"/>
        <v>1.0824959999999999</v>
      </c>
      <c r="AC56" s="242">
        <v>2500000</v>
      </c>
      <c r="AD56" s="242">
        <v>1840180</v>
      </c>
      <c r="AE56" s="244">
        <f t="shared" si="42"/>
        <v>0.73607199999999995</v>
      </c>
      <c r="AF56" s="242">
        <v>2500000</v>
      </c>
      <c r="AG56" s="242">
        <v>2616760</v>
      </c>
      <c r="AH56" s="244">
        <f t="shared" si="43"/>
        <v>1.0467040000000001</v>
      </c>
      <c r="AI56" s="242">
        <v>2500000</v>
      </c>
      <c r="AJ56" s="242">
        <v>2559410</v>
      </c>
      <c r="AK56" s="244">
        <f t="shared" si="44"/>
        <v>1.0237639999999999</v>
      </c>
      <c r="AL56" s="242">
        <f t="shared" si="45"/>
        <v>29100000</v>
      </c>
      <c r="AM56" s="242">
        <f t="shared" si="46"/>
        <v>29277402</v>
      </c>
      <c r="AN56" s="264"/>
      <c r="AO56" s="245" t="str">
        <f t="shared" si="32"/>
        <v>LUDHIANA</v>
      </c>
      <c r="AP56" s="242">
        <v>200000</v>
      </c>
      <c r="AQ56" s="242">
        <v>294885</v>
      </c>
      <c r="AR56" s="244">
        <f t="shared" si="47"/>
        <v>1.4744250000000001</v>
      </c>
      <c r="AS56" s="242">
        <v>225000</v>
      </c>
      <c r="AT56" s="242">
        <v>296980</v>
      </c>
      <c r="AU56" s="244">
        <f t="shared" si="48"/>
        <v>1.319911111111111</v>
      </c>
      <c r="AV56" s="242">
        <v>295000</v>
      </c>
      <c r="AW56" s="242">
        <v>203325</v>
      </c>
      <c r="AX56" s="244">
        <f t="shared" si="49"/>
        <v>0.68923728813559326</v>
      </c>
      <c r="AY56" s="242">
        <v>295000</v>
      </c>
      <c r="AZ56" s="242">
        <v>287740</v>
      </c>
      <c r="BA56" s="244">
        <f t="shared" si="50"/>
        <v>0.97538983050847461</v>
      </c>
      <c r="BB56" s="242">
        <v>295000</v>
      </c>
      <c r="BC56" s="242">
        <v>303514</v>
      </c>
      <c r="BD56" s="244">
        <f t="shared" si="51"/>
        <v>1.0288610169491526</v>
      </c>
      <c r="BE56" s="242">
        <v>295000</v>
      </c>
      <c r="BF56" s="242">
        <v>205890</v>
      </c>
      <c r="BG56" s="244">
        <f t="shared" si="52"/>
        <v>0.69793220338983053</v>
      </c>
      <c r="BH56" s="242">
        <v>300000</v>
      </c>
      <c r="BI56" s="242">
        <v>215911</v>
      </c>
      <c r="BJ56" s="244">
        <f t="shared" si="53"/>
        <v>0.71970333333333336</v>
      </c>
      <c r="BK56" s="242">
        <v>300000</v>
      </c>
      <c r="BL56" s="242">
        <v>241487</v>
      </c>
      <c r="BM56" s="244">
        <f t="shared" si="54"/>
        <v>0.80495666666666665</v>
      </c>
      <c r="BN56" s="242">
        <v>300000</v>
      </c>
      <c r="BO56" s="242">
        <v>152458</v>
      </c>
      <c r="BP56" s="244">
        <f t="shared" si="55"/>
        <v>0.50819333333333339</v>
      </c>
      <c r="BQ56" s="242">
        <v>300000</v>
      </c>
      <c r="BR56" s="242">
        <v>108115</v>
      </c>
      <c r="BS56" s="244">
        <f t="shared" si="56"/>
        <v>0.36038333333333333</v>
      </c>
      <c r="BT56" s="242">
        <v>300000</v>
      </c>
      <c r="BU56" s="242">
        <v>230489</v>
      </c>
      <c r="BV56" s="244">
        <f t="shared" si="57"/>
        <v>0.76829666666666663</v>
      </c>
      <c r="BW56" s="242">
        <v>300000</v>
      </c>
      <c r="BX56" s="242">
        <v>80100</v>
      </c>
      <c r="BY56" s="244">
        <f t="shared" si="58"/>
        <v>0.26700000000000002</v>
      </c>
      <c r="BZ56" s="242">
        <f t="shared" si="59"/>
        <v>3405000</v>
      </c>
      <c r="CA56" s="242">
        <f t="shared" si="60"/>
        <v>2620894</v>
      </c>
    </row>
    <row r="57" spans="1:79" x14ac:dyDescent="0.3">
      <c r="A57" s="246" t="s">
        <v>95</v>
      </c>
      <c r="B57" s="242">
        <v>2700000</v>
      </c>
      <c r="C57" s="243">
        <v>2152000</v>
      </c>
      <c r="D57" s="244">
        <f t="shared" si="33"/>
        <v>0.79703703703703699</v>
      </c>
      <c r="E57" s="242">
        <v>2700000</v>
      </c>
      <c r="F57" s="243">
        <v>2755600</v>
      </c>
      <c r="G57" s="244">
        <f t="shared" si="34"/>
        <v>1.0205925925925925</v>
      </c>
      <c r="H57" s="242">
        <v>2700000</v>
      </c>
      <c r="I57" s="243">
        <v>2487680</v>
      </c>
      <c r="J57" s="244">
        <f t="shared" si="35"/>
        <v>0.92136296296296294</v>
      </c>
      <c r="K57" s="242">
        <v>2700000</v>
      </c>
      <c r="L57" s="242">
        <v>2700080</v>
      </c>
      <c r="M57" s="244">
        <f t="shared" si="36"/>
        <v>1.0000296296296296</v>
      </c>
      <c r="N57" s="242">
        <v>2700000</v>
      </c>
      <c r="O57" s="242">
        <v>2992547</v>
      </c>
      <c r="P57" s="244">
        <f t="shared" si="37"/>
        <v>1.1083507407407407</v>
      </c>
      <c r="Q57" s="269">
        <v>2700000</v>
      </c>
      <c r="R57" s="269">
        <v>2727200</v>
      </c>
      <c r="S57" s="270">
        <f t="shared" si="38"/>
        <v>1.0100740740740741</v>
      </c>
      <c r="T57" s="269">
        <v>2800000</v>
      </c>
      <c r="U57" s="269">
        <v>2867370</v>
      </c>
      <c r="V57" s="270">
        <f t="shared" si="39"/>
        <v>1.0240607142857143</v>
      </c>
      <c r="W57" s="242">
        <v>2800000</v>
      </c>
      <c r="X57" s="242">
        <v>2828510</v>
      </c>
      <c r="Y57" s="244">
        <f t="shared" si="40"/>
        <v>1.0101821428571429</v>
      </c>
      <c r="Z57" s="242">
        <v>2800000</v>
      </c>
      <c r="AA57" s="242">
        <v>3025620</v>
      </c>
      <c r="AB57" s="244">
        <f t="shared" si="41"/>
        <v>1.0805785714285714</v>
      </c>
      <c r="AC57" s="242">
        <v>2800000</v>
      </c>
      <c r="AD57" s="242">
        <v>2936620</v>
      </c>
      <c r="AE57" s="244">
        <f t="shared" si="42"/>
        <v>1.0487928571428571</v>
      </c>
      <c r="AF57" s="242">
        <v>2800000</v>
      </c>
      <c r="AG57" s="242">
        <v>2028920</v>
      </c>
      <c r="AH57" s="244">
        <f t="shared" si="43"/>
        <v>0.72461428571428577</v>
      </c>
      <c r="AI57" s="242">
        <v>2800000</v>
      </c>
      <c r="AJ57" s="242">
        <v>1980470</v>
      </c>
      <c r="AK57" s="244">
        <f t="shared" si="44"/>
        <v>0.70731071428571424</v>
      </c>
      <c r="AL57" s="242">
        <f t="shared" si="45"/>
        <v>33000000</v>
      </c>
      <c r="AM57" s="242">
        <f t="shared" si="46"/>
        <v>31482617</v>
      </c>
      <c r="AN57" s="264"/>
      <c r="AO57" s="245" t="str">
        <f t="shared" si="32"/>
        <v>DEHRADUN</v>
      </c>
      <c r="AP57" s="242">
        <v>90000</v>
      </c>
      <c r="AQ57" s="242">
        <v>96589</v>
      </c>
      <c r="AR57" s="244">
        <f t="shared" si="47"/>
        <v>1.0732111111111111</v>
      </c>
      <c r="AS57" s="242">
        <v>90000</v>
      </c>
      <c r="AT57" s="242">
        <v>131560</v>
      </c>
      <c r="AU57" s="244">
        <f t="shared" si="48"/>
        <v>1.4617777777777778</v>
      </c>
      <c r="AV57" s="242">
        <v>130000</v>
      </c>
      <c r="AW57" s="242">
        <v>148100</v>
      </c>
      <c r="AX57" s="244">
        <f t="shared" si="49"/>
        <v>1.1392307692307693</v>
      </c>
      <c r="AY57" s="242">
        <v>130000</v>
      </c>
      <c r="AZ57" s="242">
        <v>130090</v>
      </c>
      <c r="BA57" s="244">
        <f t="shared" si="50"/>
        <v>1.0006923076923078</v>
      </c>
      <c r="BB57" s="242">
        <v>130000</v>
      </c>
      <c r="BC57" s="242">
        <v>138100</v>
      </c>
      <c r="BD57" s="244">
        <f t="shared" si="51"/>
        <v>1.0623076923076924</v>
      </c>
      <c r="BE57" s="242">
        <v>130000</v>
      </c>
      <c r="BF57" s="242">
        <v>84306</v>
      </c>
      <c r="BG57" s="244">
        <f t="shared" si="52"/>
        <v>0.64850769230769234</v>
      </c>
      <c r="BH57" s="242">
        <v>130000</v>
      </c>
      <c r="BI57" s="242">
        <v>130347</v>
      </c>
      <c r="BJ57" s="244">
        <f t="shared" si="53"/>
        <v>1.0026692307692309</v>
      </c>
      <c r="BK57" s="242">
        <v>130000</v>
      </c>
      <c r="BL57" s="242">
        <v>105477</v>
      </c>
      <c r="BM57" s="244">
        <f t="shared" si="54"/>
        <v>0.81136153846153847</v>
      </c>
      <c r="BN57" s="242">
        <v>130000</v>
      </c>
      <c r="BO57" s="242">
        <v>44169</v>
      </c>
      <c r="BP57" s="244">
        <f t="shared" si="55"/>
        <v>0.33976153846153845</v>
      </c>
      <c r="BQ57" s="242">
        <v>130000</v>
      </c>
      <c r="BR57" s="242">
        <v>37568</v>
      </c>
      <c r="BS57" s="244">
        <f t="shared" si="56"/>
        <v>0.2889846153846154</v>
      </c>
      <c r="BT57" s="242">
        <v>130000</v>
      </c>
      <c r="BU57" s="242">
        <v>29052</v>
      </c>
      <c r="BV57" s="244">
        <f t="shared" si="57"/>
        <v>0.22347692307692307</v>
      </c>
      <c r="BW57" s="242">
        <v>130000</v>
      </c>
      <c r="BX57" s="242">
        <v>35524</v>
      </c>
      <c r="BY57" s="244">
        <f t="shared" si="58"/>
        <v>0.27326153846153844</v>
      </c>
      <c r="BZ57" s="242">
        <f t="shared" si="59"/>
        <v>1480000</v>
      </c>
      <c r="CA57" s="242">
        <f t="shared" si="60"/>
        <v>1110882</v>
      </c>
    </row>
    <row r="58" spans="1:79" x14ac:dyDescent="0.3">
      <c r="A58" s="245" t="s">
        <v>103</v>
      </c>
      <c r="B58" s="242">
        <v>2500000</v>
      </c>
      <c r="C58" s="243">
        <v>1704520</v>
      </c>
      <c r="D58" s="244">
        <f t="shared" si="33"/>
        <v>0.68180799999999997</v>
      </c>
      <c r="E58" s="242">
        <v>2500000</v>
      </c>
      <c r="F58" s="243">
        <v>1388280</v>
      </c>
      <c r="G58" s="244">
        <f t="shared" si="34"/>
        <v>0.55531200000000003</v>
      </c>
      <c r="H58" s="242">
        <v>2500000</v>
      </c>
      <c r="I58" s="243">
        <v>832300</v>
      </c>
      <c r="J58" s="244">
        <f t="shared" si="35"/>
        <v>0.33291999999999999</v>
      </c>
      <c r="K58" s="242">
        <v>2500000</v>
      </c>
      <c r="L58" s="242">
        <v>447800</v>
      </c>
      <c r="M58" s="244">
        <f t="shared" si="36"/>
        <v>0.17912</v>
      </c>
      <c r="N58" s="242">
        <v>2500000</v>
      </c>
      <c r="O58" s="242">
        <v>514500</v>
      </c>
      <c r="P58" s="244">
        <f t="shared" si="37"/>
        <v>0.20580000000000001</v>
      </c>
      <c r="Q58" s="269">
        <v>2500000</v>
      </c>
      <c r="R58" s="269">
        <v>471700</v>
      </c>
      <c r="S58" s="270">
        <f t="shared" si="38"/>
        <v>0.18867999999999999</v>
      </c>
      <c r="T58" s="269">
        <v>2500000</v>
      </c>
      <c r="U58" s="269">
        <v>199800</v>
      </c>
      <c r="V58" s="270">
        <f t="shared" si="39"/>
        <v>7.9920000000000005E-2</v>
      </c>
      <c r="W58" s="242">
        <v>2500000</v>
      </c>
      <c r="X58" s="242">
        <v>535105</v>
      </c>
      <c r="Y58" s="244">
        <f t="shared" si="40"/>
        <v>0.21404200000000001</v>
      </c>
      <c r="Z58" s="242">
        <v>2500000</v>
      </c>
      <c r="AA58" s="242">
        <v>124900</v>
      </c>
      <c r="AB58" s="244">
        <f t="shared" si="41"/>
        <v>4.9959999999999997E-2</v>
      </c>
      <c r="AC58" s="242">
        <v>2500000</v>
      </c>
      <c r="AD58" s="242">
        <v>105700</v>
      </c>
      <c r="AE58" s="244">
        <f t="shared" si="42"/>
        <v>4.2279999999999998E-2</v>
      </c>
      <c r="AF58" s="242">
        <v>0</v>
      </c>
      <c r="AG58" s="242">
        <v>109100</v>
      </c>
      <c r="AH58" s="244" t="e">
        <f t="shared" si="43"/>
        <v>#DIV/0!</v>
      </c>
      <c r="AI58" s="242">
        <v>0</v>
      </c>
      <c r="AJ58" s="242">
        <v>125700</v>
      </c>
      <c r="AK58" s="244" t="e">
        <f t="shared" si="44"/>
        <v>#DIV/0!</v>
      </c>
      <c r="AL58" s="242">
        <f t="shared" si="45"/>
        <v>25000000</v>
      </c>
      <c r="AM58" s="242">
        <f t="shared" si="46"/>
        <v>6559405</v>
      </c>
      <c r="AN58" s="264"/>
      <c r="AO58" s="245" t="str">
        <f t="shared" si="32"/>
        <v>VIRTUAL CENTER</v>
      </c>
      <c r="AP58" s="242">
        <v>65000</v>
      </c>
      <c r="AQ58" s="242">
        <v>91600</v>
      </c>
      <c r="AR58" s="244">
        <f t="shared" si="47"/>
        <v>1.4092307692307693</v>
      </c>
      <c r="AS58" s="242">
        <v>65000</v>
      </c>
      <c r="AT58" s="242">
        <v>54900</v>
      </c>
      <c r="AU58" s="244">
        <f t="shared" si="48"/>
        <v>0.84461538461538466</v>
      </c>
      <c r="AV58" s="242">
        <v>65000</v>
      </c>
      <c r="AW58" s="242">
        <v>75010</v>
      </c>
      <c r="AX58" s="244">
        <f t="shared" si="49"/>
        <v>1.1539999999999999</v>
      </c>
      <c r="AY58" s="242">
        <v>65000</v>
      </c>
      <c r="AZ58" s="242">
        <v>37970</v>
      </c>
      <c r="BA58" s="244">
        <f t="shared" si="50"/>
        <v>0.58415384615384613</v>
      </c>
      <c r="BB58" s="242">
        <v>65000</v>
      </c>
      <c r="BC58" s="242">
        <v>12400</v>
      </c>
      <c r="BD58" s="244">
        <f t="shared" si="51"/>
        <v>0.19076923076923077</v>
      </c>
      <c r="BE58" s="242">
        <v>65000</v>
      </c>
      <c r="BF58" s="242">
        <v>26900</v>
      </c>
      <c r="BG58" s="244">
        <f t="shared" si="52"/>
        <v>0.41384615384615386</v>
      </c>
      <c r="BH58" s="242">
        <v>65000</v>
      </c>
      <c r="BI58" s="242">
        <v>2180</v>
      </c>
      <c r="BJ58" s="244">
        <f t="shared" si="53"/>
        <v>3.3538461538461538E-2</v>
      </c>
      <c r="BK58" s="242">
        <v>65000</v>
      </c>
      <c r="BL58" s="242">
        <v>10920</v>
      </c>
      <c r="BM58" s="244">
        <f t="shared" si="54"/>
        <v>0.16800000000000001</v>
      </c>
      <c r="BN58" s="242">
        <v>65000</v>
      </c>
      <c r="BO58" s="242">
        <v>0</v>
      </c>
      <c r="BP58" s="244">
        <f t="shared" si="55"/>
        <v>0</v>
      </c>
      <c r="BQ58" s="242">
        <v>65000</v>
      </c>
      <c r="BR58" s="242">
        <v>0</v>
      </c>
      <c r="BS58" s="244">
        <f t="shared" si="56"/>
        <v>0</v>
      </c>
      <c r="BT58" s="242">
        <v>65000</v>
      </c>
      <c r="BU58" s="242">
        <v>0</v>
      </c>
      <c r="BV58" s="244">
        <f t="shared" si="57"/>
        <v>0</v>
      </c>
      <c r="BW58" s="242">
        <v>65000</v>
      </c>
      <c r="BX58" s="242">
        <v>0</v>
      </c>
      <c r="BY58" s="244">
        <f t="shared" si="58"/>
        <v>0</v>
      </c>
      <c r="BZ58" s="242">
        <f t="shared" si="59"/>
        <v>780000</v>
      </c>
      <c r="CA58" s="242">
        <f t="shared" si="60"/>
        <v>311880</v>
      </c>
    </row>
    <row r="59" spans="1:79" x14ac:dyDescent="0.3">
      <c r="A59" s="246" t="s">
        <v>132</v>
      </c>
      <c r="B59" s="242">
        <v>0</v>
      </c>
      <c r="C59" s="242">
        <v>0</v>
      </c>
      <c r="D59" s="244" t="e">
        <f t="shared" si="33"/>
        <v>#DIV/0!</v>
      </c>
      <c r="E59" s="242">
        <v>0</v>
      </c>
      <c r="F59" s="243">
        <v>601400</v>
      </c>
      <c r="G59" s="244">
        <v>0</v>
      </c>
      <c r="H59" s="242">
        <v>0</v>
      </c>
      <c r="I59" s="243">
        <v>403100</v>
      </c>
      <c r="J59" s="244">
        <v>0</v>
      </c>
      <c r="K59" s="242">
        <v>0</v>
      </c>
      <c r="L59" s="242">
        <v>745400</v>
      </c>
      <c r="M59" s="244" t="e">
        <f t="shared" si="36"/>
        <v>#DIV/0!</v>
      </c>
      <c r="N59" s="242">
        <v>0</v>
      </c>
      <c r="O59" s="242">
        <v>433100</v>
      </c>
      <c r="P59" s="244">
        <v>0</v>
      </c>
      <c r="Q59" s="269">
        <v>0</v>
      </c>
      <c r="R59" s="269">
        <v>365800</v>
      </c>
      <c r="S59" s="270" t="e">
        <f t="shared" si="38"/>
        <v>#DIV/0!</v>
      </c>
      <c r="T59" s="269">
        <v>0</v>
      </c>
      <c r="U59" s="269">
        <v>454300</v>
      </c>
      <c r="V59" s="270" t="e">
        <f t="shared" si="39"/>
        <v>#DIV/0!</v>
      </c>
      <c r="W59" s="242">
        <v>0</v>
      </c>
      <c r="X59" s="242">
        <v>611300</v>
      </c>
      <c r="Y59" s="244" t="e">
        <f t="shared" si="40"/>
        <v>#DIV/0!</v>
      </c>
      <c r="Z59" s="242">
        <v>0</v>
      </c>
      <c r="AA59" s="242">
        <v>669000</v>
      </c>
      <c r="AB59" s="244" t="e">
        <f t="shared" si="41"/>
        <v>#DIV/0!</v>
      </c>
      <c r="AC59" s="242">
        <v>0</v>
      </c>
      <c r="AD59" s="242">
        <v>896299</v>
      </c>
      <c r="AE59" s="244" t="e">
        <f t="shared" si="42"/>
        <v>#DIV/0!</v>
      </c>
      <c r="AF59" s="242">
        <v>0</v>
      </c>
      <c r="AG59" s="242">
        <v>715700</v>
      </c>
      <c r="AH59" s="244" t="e">
        <f t="shared" si="43"/>
        <v>#DIV/0!</v>
      </c>
      <c r="AI59" s="242">
        <v>0</v>
      </c>
      <c r="AJ59" s="242">
        <v>546600</v>
      </c>
      <c r="AK59" s="244" t="e">
        <f t="shared" si="44"/>
        <v>#DIV/0!</v>
      </c>
      <c r="AL59" s="242">
        <f t="shared" si="45"/>
        <v>0</v>
      </c>
      <c r="AM59" s="242">
        <f t="shared" si="46"/>
        <v>6441999</v>
      </c>
      <c r="AN59" s="264"/>
      <c r="AO59" s="245" t="str">
        <f t="shared" si="32"/>
        <v>SRI SRI</v>
      </c>
      <c r="AP59" s="242">
        <v>0</v>
      </c>
      <c r="AQ59" s="242">
        <v>0</v>
      </c>
      <c r="AR59" s="244" t="e">
        <f t="shared" si="47"/>
        <v>#DIV/0!</v>
      </c>
      <c r="AS59" s="242">
        <v>0</v>
      </c>
      <c r="AT59" s="242">
        <v>0</v>
      </c>
      <c r="AU59" s="244" t="e">
        <f t="shared" si="48"/>
        <v>#DIV/0!</v>
      </c>
      <c r="AV59" s="242">
        <v>0</v>
      </c>
      <c r="AW59" s="242">
        <v>0</v>
      </c>
      <c r="AX59" s="244" t="e">
        <f t="shared" si="49"/>
        <v>#DIV/0!</v>
      </c>
      <c r="AY59" s="242">
        <v>0</v>
      </c>
      <c r="AZ59" s="242">
        <v>0</v>
      </c>
      <c r="BA59" s="244" t="e">
        <f t="shared" si="50"/>
        <v>#DIV/0!</v>
      </c>
      <c r="BB59" s="242">
        <v>0</v>
      </c>
      <c r="BC59" s="242">
        <v>0</v>
      </c>
      <c r="BD59" s="244" t="e">
        <f t="shared" si="51"/>
        <v>#DIV/0!</v>
      </c>
      <c r="BE59" s="242">
        <v>0</v>
      </c>
      <c r="BF59" s="242">
        <v>0</v>
      </c>
      <c r="BG59" s="244" t="e">
        <f t="shared" si="52"/>
        <v>#DIV/0!</v>
      </c>
      <c r="BH59" s="242" t="s">
        <v>88</v>
      </c>
      <c r="BI59" s="242">
        <v>0</v>
      </c>
      <c r="BJ59" s="244" t="e">
        <f t="shared" si="53"/>
        <v>#VALUE!</v>
      </c>
      <c r="BK59" s="242">
        <v>0</v>
      </c>
      <c r="BL59" s="242">
        <v>0</v>
      </c>
      <c r="BM59" s="244" t="e">
        <f t="shared" si="54"/>
        <v>#DIV/0!</v>
      </c>
      <c r="BN59" s="242">
        <v>0</v>
      </c>
      <c r="BO59" s="242">
        <v>0</v>
      </c>
      <c r="BP59" s="244" t="e">
        <f t="shared" si="55"/>
        <v>#DIV/0!</v>
      </c>
      <c r="BQ59" s="242">
        <v>0</v>
      </c>
      <c r="BR59" s="242">
        <v>0</v>
      </c>
      <c r="BS59" s="244" t="e">
        <f t="shared" si="56"/>
        <v>#DIV/0!</v>
      </c>
      <c r="BT59" s="242">
        <v>0</v>
      </c>
      <c r="BU59" s="242">
        <v>0</v>
      </c>
      <c r="BV59" s="244" t="e">
        <f t="shared" si="57"/>
        <v>#DIV/0!</v>
      </c>
      <c r="BW59" s="242">
        <v>0</v>
      </c>
      <c r="BX59" s="242">
        <v>0</v>
      </c>
      <c r="BY59" s="244" t="e">
        <f t="shared" si="58"/>
        <v>#DIV/0!</v>
      </c>
      <c r="BZ59" s="242">
        <v>0</v>
      </c>
      <c r="CA59" s="242">
        <f t="shared" si="60"/>
        <v>0</v>
      </c>
    </row>
    <row r="60" spans="1:79" x14ac:dyDescent="0.3">
      <c r="A60" s="246" t="s">
        <v>126</v>
      </c>
      <c r="B60" s="242">
        <v>0</v>
      </c>
      <c r="C60" s="242">
        <v>0</v>
      </c>
      <c r="D60" s="244" t="e">
        <f t="shared" si="33"/>
        <v>#DIV/0!</v>
      </c>
      <c r="E60" s="242">
        <v>0</v>
      </c>
      <c r="F60" s="243">
        <v>937066</v>
      </c>
      <c r="G60" s="244">
        <v>0</v>
      </c>
      <c r="H60" s="242">
        <v>0</v>
      </c>
      <c r="I60" s="243">
        <v>1244781</v>
      </c>
      <c r="J60" s="244">
        <v>0</v>
      </c>
      <c r="K60" s="242">
        <v>1500000</v>
      </c>
      <c r="L60" s="242">
        <v>468100</v>
      </c>
      <c r="M60" s="244">
        <f t="shared" si="36"/>
        <v>0.31206666666666666</v>
      </c>
      <c r="N60" s="242">
        <v>1500000</v>
      </c>
      <c r="O60" s="242">
        <v>636250</v>
      </c>
      <c r="P60" s="244">
        <f t="shared" si="37"/>
        <v>0.42416666666666669</v>
      </c>
      <c r="Q60" s="269">
        <v>1500000</v>
      </c>
      <c r="R60" s="269">
        <v>960500</v>
      </c>
      <c r="S60" s="270">
        <f t="shared" si="38"/>
        <v>0.64033333333333331</v>
      </c>
      <c r="T60" s="269">
        <v>1500000</v>
      </c>
      <c r="U60" s="269">
        <v>670840</v>
      </c>
      <c r="V60" s="270">
        <f t="shared" si="39"/>
        <v>0.44722666666666666</v>
      </c>
      <c r="W60" s="242">
        <v>1500000</v>
      </c>
      <c r="X60" s="242">
        <v>693600</v>
      </c>
      <c r="Y60" s="244">
        <f t="shared" si="40"/>
        <v>0.46239999999999998</v>
      </c>
      <c r="Z60" s="242">
        <v>1500000</v>
      </c>
      <c r="AA60" s="242">
        <v>1251680</v>
      </c>
      <c r="AB60" s="244">
        <f t="shared" si="41"/>
        <v>0.83445333333333338</v>
      </c>
      <c r="AC60" s="242">
        <v>1500000</v>
      </c>
      <c r="AD60" s="242">
        <v>1074740</v>
      </c>
      <c r="AE60" s="244">
        <f t="shared" si="42"/>
        <v>0.71649333333333332</v>
      </c>
      <c r="AF60" s="242">
        <v>0</v>
      </c>
      <c r="AG60" s="242">
        <v>291300</v>
      </c>
      <c r="AH60" s="244" t="e">
        <f t="shared" si="43"/>
        <v>#DIV/0!</v>
      </c>
      <c r="AI60" s="242">
        <v>0</v>
      </c>
      <c r="AJ60" s="242">
        <v>109740</v>
      </c>
      <c r="AK60" s="244" t="e">
        <f t="shared" si="44"/>
        <v>#DIV/0!</v>
      </c>
      <c r="AL60" s="242">
        <f t="shared" si="45"/>
        <v>10500000</v>
      </c>
      <c r="AM60" s="242">
        <f t="shared" si="46"/>
        <v>8338597</v>
      </c>
      <c r="AN60" s="264"/>
      <c r="AO60" s="245" t="str">
        <f t="shared" si="32"/>
        <v>DELHI-CHH</v>
      </c>
      <c r="AP60" s="242">
        <v>0</v>
      </c>
      <c r="AQ60" s="242">
        <v>0</v>
      </c>
      <c r="AR60" s="244" t="e">
        <f t="shared" si="47"/>
        <v>#DIV/0!</v>
      </c>
      <c r="AS60" s="242">
        <v>0</v>
      </c>
      <c r="AT60" s="242">
        <v>15800</v>
      </c>
      <c r="AU60" s="244" t="e">
        <f t="shared" si="48"/>
        <v>#DIV/0!</v>
      </c>
      <c r="AV60" s="242">
        <v>0</v>
      </c>
      <c r="AW60" s="242">
        <v>61610</v>
      </c>
      <c r="AX60" s="244" t="e">
        <f t="shared" si="49"/>
        <v>#DIV/0!</v>
      </c>
      <c r="AY60" s="242">
        <v>50000</v>
      </c>
      <c r="AZ60" s="242">
        <v>23300</v>
      </c>
      <c r="BA60" s="244">
        <f t="shared" si="50"/>
        <v>0.46600000000000003</v>
      </c>
      <c r="BB60" s="242">
        <v>50000</v>
      </c>
      <c r="BC60" s="242">
        <v>12500</v>
      </c>
      <c r="BD60" s="244">
        <f t="shared" si="51"/>
        <v>0.25</v>
      </c>
      <c r="BE60" s="242">
        <v>50000</v>
      </c>
      <c r="BF60" s="242">
        <v>40200</v>
      </c>
      <c r="BG60" s="244">
        <f t="shared" si="52"/>
        <v>0.80400000000000005</v>
      </c>
      <c r="BH60" s="242">
        <v>50000</v>
      </c>
      <c r="BI60" s="242">
        <v>24330</v>
      </c>
      <c r="BJ60" s="244">
        <f t="shared" si="53"/>
        <v>0.48659999999999998</v>
      </c>
      <c r="BK60" s="242">
        <v>50000</v>
      </c>
      <c r="BL60" s="242">
        <v>16515</v>
      </c>
      <c r="BM60" s="244">
        <f t="shared" si="54"/>
        <v>0.33029999999999998</v>
      </c>
      <c r="BN60" s="242">
        <v>50000</v>
      </c>
      <c r="BO60" s="242">
        <v>31285</v>
      </c>
      <c r="BP60" s="244">
        <f t="shared" si="55"/>
        <v>0.62570000000000003</v>
      </c>
      <c r="BQ60" s="242">
        <v>50000</v>
      </c>
      <c r="BR60" s="242">
        <v>7930</v>
      </c>
      <c r="BS60" s="244">
        <f t="shared" si="56"/>
        <v>0.15859999999999999</v>
      </c>
      <c r="BT60" s="242">
        <v>50000</v>
      </c>
      <c r="BU60" s="242">
        <v>2300</v>
      </c>
      <c r="BV60" s="244">
        <f t="shared" si="57"/>
        <v>4.5999999999999999E-2</v>
      </c>
      <c r="BW60" s="242">
        <v>50000</v>
      </c>
      <c r="BX60" s="242">
        <v>2500</v>
      </c>
      <c r="BY60" s="244">
        <f t="shared" si="58"/>
        <v>0.05</v>
      </c>
      <c r="BZ60" s="242">
        <f t="shared" si="59"/>
        <v>450000</v>
      </c>
      <c r="CA60" s="242">
        <f t="shared" si="60"/>
        <v>238270</v>
      </c>
    </row>
    <row r="61" spans="1:79" x14ac:dyDescent="0.3">
      <c r="A61" s="246" t="s">
        <v>113</v>
      </c>
      <c r="B61" s="242">
        <v>0</v>
      </c>
      <c r="C61" s="242">
        <v>0</v>
      </c>
      <c r="D61" s="244" t="e">
        <f t="shared" si="33"/>
        <v>#DIV/0!</v>
      </c>
      <c r="E61" s="242">
        <v>0</v>
      </c>
      <c r="F61" s="243">
        <v>608960</v>
      </c>
      <c r="G61" s="244">
        <v>0</v>
      </c>
      <c r="H61" s="242">
        <v>1500000</v>
      </c>
      <c r="I61" s="243">
        <v>1224300</v>
      </c>
      <c r="J61" s="244">
        <f t="shared" ref="J61" si="61">I61/H61</f>
        <v>0.81620000000000004</v>
      </c>
      <c r="K61" s="242">
        <v>1500000</v>
      </c>
      <c r="L61" s="242">
        <v>909940</v>
      </c>
      <c r="M61" s="244">
        <f t="shared" si="36"/>
        <v>0.60662666666666665</v>
      </c>
      <c r="N61" s="242">
        <v>2000000</v>
      </c>
      <c r="O61" s="242">
        <v>1572800</v>
      </c>
      <c r="P61" s="244">
        <f t="shared" si="37"/>
        <v>0.78639999999999999</v>
      </c>
      <c r="Q61" s="269">
        <v>2000000</v>
      </c>
      <c r="R61" s="269">
        <v>1795600</v>
      </c>
      <c r="S61" s="270">
        <f t="shared" si="38"/>
        <v>0.89780000000000004</v>
      </c>
      <c r="T61" s="269">
        <v>2200000</v>
      </c>
      <c r="U61" s="269">
        <v>1674100</v>
      </c>
      <c r="V61" s="270">
        <f t="shared" si="39"/>
        <v>0.76095454545454544</v>
      </c>
      <c r="W61" s="242">
        <v>2200000</v>
      </c>
      <c r="X61" s="242">
        <v>1954700</v>
      </c>
      <c r="Y61" s="244">
        <f t="shared" si="40"/>
        <v>0.88849999999999996</v>
      </c>
      <c r="Z61" s="242">
        <v>2200000</v>
      </c>
      <c r="AA61" s="242">
        <v>1716760</v>
      </c>
      <c r="AB61" s="244">
        <f t="shared" si="41"/>
        <v>0.78034545454545456</v>
      </c>
      <c r="AC61" s="242">
        <v>3000000</v>
      </c>
      <c r="AD61" s="242">
        <v>1640500</v>
      </c>
      <c r="AE61" s="244">
        <f t="shared" si="42"/>
        <v>0.54683333333333328</v>
      </c>
      <c r="AF61" s="242">
        <v>2200000</v>
      </c>
      <c r="AG61" s="242">
        <v>2000270</v>
      </c>
      <c r="AH61" s="244">
        <f t="shared" si="43"/>
        <v>0.90921363636363639</v>
      </c>
      <c r="AI61" s="242">
        <v>2200000</v>
      </c>
      <c r="AJ61" s="242">
        <v>1481360</v>
      </c>
      <c r="AK61" s="244">
        <f t="shared" si="44"/>
        <v>0.67334545454545458</v>
      </c>
      <c r="AL61" s="242">
        <f t="shared" si="45"/>
        <v>21000000</v>
      </c>
      <c r="AM61" s="242">
        <f t="shared" si="46"/>
        <v>16579290</v>
      </c>
      <c r="AN61" s="264"/>
      <c r="AO61" s="245" t="str">
        <f t="shared" si="32"/>
        <v>VARANASI</v>
      </c>
      <c r="AP61" s="242">
        <v>0</v>
      </c>
      <c r="AQ61" s="242">
        <v>0</v>
      </c>
      <c r="AR61" s="244" t="e">
        <f t="shared" si="47"/>
        <v>#DIV/0!</v>
      </c>
      <c r="AS61" s="242">
        <v>0</v>
      </c>
      <c r="AT61" s="242">
        <v>37080</v>
      </c>
      <c r="AU61" s="244" t="e">
        <f t="shared" si="48"/>
        <v>#DIV/0!</v>
      </c>
      <c r="AV61" s="265">
        <v>50000</v>
      </c>
      <c r="AW61" s="242">
        <v>87480</v>
      </c>
      <c r="AX61" s="244">
        <f t="shared" si="49"/>
        <v>1.7496</v>
      </c>
      <c r="AY61" s="242">
        <v>50000</v>
      </c>
      <c r="AZ61" s="242">
        <v>80265</v>
      </c>
      <c r="BA61" s="244">
        <f t="shared" si="50"/>
        <v>1.6052999999999999</v>
      </c>
      <c r="BB61" s="242">
        <v>75000</v>
      </c>
      <c r="BC61" s="242">
        <v>135530</v>
      </c>
      <c r="BD61" s="244">
        <f t="shared" si="51"/>
        <v>1.8070666666666666</v>
      </c>
      <c r="BE61" s="242">
        <v>100000</v>
      </c>
      <c r="BF61" s="242">
        <v>143581</v>
      </c>
      <c r="BG61" s="244">
        <f t="shared" si="52"/>
        <v>1.43581</v>
      </c>
      <c r="BH61" s="242">
        <v>150000</v>
      </c>
      <c r="BI61" s="242">
        <v>96200</v>
      </c>
      <c r="BJ61" s="244">
        <f t="shared" si="53"/>
        <v>0.64133333333333331</v>
      </c>
      <c r="BK61" s="242">
        <v>150000</v>
      </c>
      <c r="BL61" s="242">
        <v>96993</v>
      </c>
      <c r="BM61" s="244">
        <f t="shared" si="54"/>
        <v>0.64661999999999997</v>
      </c>
      <c r="BN61" s="242">
        <v>150000</v>
      </c>
      <c r="BO61" s="242">
        <v>82603</v>
      </c>
      <c r="BP61" s="244">
        <f t="shared" si="55"/>
        <v>0.55068666666666666</v>
      </c>
      <c r="BQ61" s="242">
        <v>150000</v>
      </c>
      <c r="BR61" s="242">
        <v>81905</v>
      </c>
      <c r="BS61" s="244">
        <f t="shared" si="56"/>
        <v>0.54603333333333337</v>
      </c>
      <c r="BT61" s="242">
        <v>150000</v>
      </c>
      <c r="BU61" s="242">
        <v>106616</v>
      </c>
      <c r="BV61" s="244">
        <f t="shared" si="57"/>
        <v>0.71077333333333337</v>
      </c>
      <c r="BW61" s="242">
        <v>150000</v>
      </c>
      <c r="BX61" s="242">
        <v>119824</v>
      </c>
      <c r="BY61" s="244">
        <f t="shared" si="58"/>
        <v>0.79882666666666668</v>
      </c>
      <c r="BZ61" s="242">
        <f t="shared" si="59"/>
        <v>1175000</v>
      </c>
      <c r="CA61" s="242">
        <f t="shared" si="60"/>
        <v>1068077</v>
      </c>
    </row>
    <row r="62" spans="1:79" x14ac:dyDescent="0.3">
      <c r="A62" s="246" t="s">
        <v>114</v>
      </c>
      <c r="B62" s="242">
        <v>0</v>
      </c>
      <c r="C62" s="242">
        <v>0</v>
      </c>
      <c r="D62" s="244" t="e">
        <f t="shared" si="33"/>
        <v>#DIV/0!</v>
      </c>
      <c r="E62" s="242">
        <v>0</v>
      </c>
      <c r="F62" s="242">
        <v>0</v>
      </c>
      <c r="G62" s="242">
        <v>0</v>
      </c>
      <c r="H62" s="242">
        <v>0</v>
      </c>
      <c r="I62" s="242">
        <v>0</v>
      </c>
      <c r="J62" s="242">
        <v>0</v>
      </c>
      <c r="K62" s="242">
        <v>2000000</v>
      </c>
      <c r="L62" s="242">
        <v>1149700</v>
      </c>
      <c r="M62" s="244">
        <f t="shared" ref="M62" si="62">L62/K62</f>
        <v>0.57484999999999997</v>
      </c>
      <c r="N62" s="242">
        <v>2000000</v>
      </c>
      <c r="O62" s="242">
        <v>1663900</v>
      </c>
      <c r="P62" s="244"/>
      <c r="Q62" s="269">
        <v>2000000</v>
      </c>
      <c r="R62" s="269">
        <v>1702020</v>
      </c>
      <c r="S62" s="270">
        <f t="shared" si="38"/>
        <v>0.85101000000000004</v>
      </c>
      <c r="T62" s="269">
        <v>2200000</v>
      </c>
      <c r="U62" s="269">
        <v>2151540</v>
      </c>
      <c r="V62" s="270">
        <f t="shared" si="39"/>
        <v>0.97797272727272733</v>
      </c>
      <c r="W62" s="242">
        <v>2200000</v>
      </c>
      <c r="X62" s="242">
        <v>1986060</v>
      </c>
      <c r="Y62" s="244">
        <f t="shared" si="40"/>
        <v>0.90275454545454548</v>
      </c>
      <c r="Z62" s="242">
        <v>2200000</v>
      </c>
      <c r="AA62" s="242">
        <v>1875230</v>
      </c>
      <c r="AB62" s="244">
        <f t="shared" si="41"/>
        <v>0.85237727272727271</v>
      </c>
      <c r="AC62" s="242">
        <v>3000000</v>
      </c>
      <c r="AD62" s="242">
        <v>1876020</v>
      </c>
      <c r="AE62" s="244">
        <f t="shared" si="42"/>
        <v>0.62534000000000001</v>
      </c>
      <c r="AF62" s="242">
        <v>2200000</v>
      </c>
      <c r="AG62" s="242">
        <v>1814965</v>
      </c>
      <c r="AH62" s="244">
        <f t="shared" si="43"/>
        <v>0.82498409090909086</v>
      </c>
      <c r="AI62" s="242">
        <v>2200000</v>
      </c>
      <c r="AJ62" s="242">
        <v>1071660</v>
      </c>
      <c r="AK62" s="244">
        <f t="shared" si="44"/>
        <v>0.48711818181818184</v>
      </c>
      <c r="AL62" s="242">
        <f t="shared" si="45"/>
        <v>20000000</v>
      </c>
      <c r="AM62" s="242">
        <f t="shared" si="46"/>
        <v>15291095</v>
      </c>
      <c r="AN62" s="264"/>
      <c r="AO62" s="245" t="str">
        <f t="shared" si="32"/>
        <v>SURAT</v>
      </c>
      <c r="AP62" s="242">
        <v>0</v>
      </c>
      <c r="AQ62" s="242">
        <v>0</v>
      </c>
      <c r="AR62" s="244" t="e">
        <f t="shared" si="47"/>
        <v>#DIV/0!</v>
      </c>
      <c r="AS62" s="242">
        <v>0</v>
      </c>
      <c r="AT62" s="242">
        <v>0</v>
      </c>
      <c r="AU62" s="244" t="e">
        <f t="shared" si="48"/>
        <v>#DIV/0!</v>
      </c>
      <c r="AV62" s="242">
        <v>0</v>
      </c>
      <c r="AW62" s="242">
        <v>0</v>
      </c>
      <c r="AX62" s="244" t="e">
        <f t="shared" si="49"/>
        <v>#DIV/0!</v>
      </c>
      <c r="AY62" s="242">
        <v>50000</v>
      </c>
      <c r="AZ62" s="242">
        <v>88648</v>
      </c>
      <c r="BA62" s="244">
        <f t="shared" si="50"/>
        <v>1.7729600000000001</v>
      </c>
      <c r="BB62" s="242">
        <v>75000</v>
      </c>
      <c r="BC62" s="242">
        <v>172650</v>
      </c>
      <c r="BD62" s="244">
        <f t="shared" si="51"/>
        <v>2.302</v>
      </c>
      <c r="BE62" s="242">
        <v>100000</v>
      </c>
      <c r="BF62" s="242">
        <v>154260</v>
      </c>
      <c r="BG62" s="244">
        <f t="shared" si="52"/>
        <v>1.5426</v>
      </c>
      <c r="BH62" s="242">
        <v>150000</v>
      </c>
      <c r="BI62" s="242">
        <v>162357</v>
      </c>
      <c r="BJ62" s="244">
        <f t="shared" si="53"/>
        <v>1.0823799999999999</v>
      </c>
      <c r="BK62" s="242">
        <v>150000</v>
      </c>
      <c r="BL62" s="242">
        <v>198503</v>
      </c>
      <c r="BM62" s="244">
        <f t="shared" si="54"/>
        <v>1.3233533333333334</v>
      </c>
      <c r="BN62" s="242">
        <v>150000</v>
      </c>
      <c r="BO62" s="242">
        <v>116786</v>
      </c>
      <c r="BP62" s="244">
        <f t="shared" si="55"/>
        <v>0.77857333333333334</v>
      </c>
      <c r="BQ62" s="242">
        <v>150000</v>
      </c>
      <c r="BR62" s="242">
        <v>46739</v>
      </c>
      <c r="BS62" s="244">
        <f t="shared" si="56"/>
        <v>0.31159333333333333</v>
      </c>
      <c r="BT62" s="242">
        <v>150000</v>
      </c>
      <c r="BU62" s="242">
        <v>126160</v>
      </c>
      <c r="BV62" s="244">
        <f t="shared" si="57"/>
        <v>0.84106666666666663</v>
      </c>
      <c r="BW62" s="242">
        <v>150000</v>
      </c>
      <c r="BX62" s="242">
        <v>73570</v>
      </c>
      <c r="BY62" s="244">
        <f t="shared" si="58"/>
        <v>0.49046666666666666</v>
      </c>
      <c r="BZ62" s="242">
        <f t="shared" si="59"/>
        <v>1125000</v>
      </c>
      <c r="CA62" s="242">
        <f t="shared" si="60"/>
        <v>1139673</v>
      </c>
    </row>
    <row r="63" spans="1:79" x14ac:dyDescent="0.3">
      <c r="A63" s="246" t="s">
        <v>117</v>
      </c>
      <c r="B63" s="242">
        <v>0</v>
      </c>
      <c r="C63" s="242">
        <v>0</v>
      </c>
      <c r="D63" s="244" t="e">
        <f t="shared" si="33"/>
        <v>#DIV/0!</v>
      </c>
      <c r="E63" s="242">
        <v>0</v>
      </c>
      <c r="F63" s="242">
        <v>0</v>
      </c>
      <c r="G63" s="242">
        <v>0</v>
      </c>
      <c r="H63" s="242">
        <v>0</v>
      </c>
      <c r="I63" s="242">
        <v>0</v>
      </c>
      <c r="J63" s="242">
        <v>0</v>
      </c>
      <c r="K63" s="242">
        <v>0</v>
      </c>
      <c r="L63" s="242">
        <v>0</v>
      </c>
      <c r="M63" s="242">
        <v>0</v>
      </c>
      <c r="N63" s="242">
        <v>0</v>
      </c>
      <c r="O63" s="242">
        <v>0</v>
      </c>
      <c r="P63" s="242">
        <v>0</v>
      </c>
      <c r="Q63" s="242">
        <v>0</v>
      </c>
      <c r="R63" s="269">
        <v>825260</v>
      </c>
      <c r="S63" s="270" t="e">
        <f t="shared" ref="S63:S64" si="63">R63/Q63</f>
        <v>#DIV/0!</v>
      </c>
      <c r="T63" s="269">
        <v>2000000</v>
      </c>
      <c r="U63" s="269">
        <v>1054400</v>
      </c>
      <c r="V63" s="270">
        <f t="shared" si="39"/>
        <v>0.5272</v>
      </c>
      <c r="W63" s="242">
        <v>2200000</v>
      </c>
      <c r="X63" s="242">
        <v>1069700</v>
      </c>
      <c r="Y63" s="244">
        <f t="shared" si="40"/>
        <v>0.48622727272727273</v>
      </c>
      <c r="Z63" s="242">
        <v>2200000</v>
      </c>
      <c r="AA63" s="242">
        <v>1384400</v>
      </c>
      <c r="AB63" s="244">
        <f t="shared" si="41"/>
        <v>0.62927272727272732</v>
      </c>
      <c r="AC63" s="242">
        <v>2500000</v>
      </c>
      <c r="AD63" s="242">
        <v>1016460</v>
      </c>
      <c r="AE63" s="244">
        <f t="shared" si="42"/>
        <v>0.406584</v>
      </c>
      <c r="AF63" s="242">
        <v>2200000</v>
      </c>
      <c r="AG63" s="242">
        <v>1020340</v>
      </c>
      <c r="AH63" s="244">
        <f t="shared" si="43"/>
        <v>0.46379090909090909</v>
      </c>
      <c r="AI63" s="242">
        <v>2200000</v>
      </c>
      <c r="AJ63" s="242">
        <v>781600</v>
      </c>
      <c r="AK63" s="244">
        <f t="shared" si="44"/>
        <v>0.3552727272727273</v>
      </c>
      <c r="AL63" s="242">
        <f t="shared" si="45"/>
        <v>13300000</v>
      </c>
      <c r="AM63" s="242">
        <f t="shared" si="46"/>
        <v>7152160</v>
      </c>
      <c r="AN63" s="264"/>
      <c r="AO63" s="245" t="str">
        <f t="shared" si="32"/>
        <v>RANCHI</v>
      </c>
      <c r="AP63" s="242">
        <v>0</v>
      </c>
      <c r="AQ63" s="242">
        <v>0</v>
      </c>
      <c r="AR63" s="244" t="e">
        <f t="shared" si="47"/>
        <v>#DIV/0!</v>
      </c>
      <c r="AS63" s="242">
        <v>0</v>
      </c>
      <c r="AT63" s="242">
        <v>0</v>
      </c>
      <c r="AU63" s="244" t="e">
        <f t="shared" si="48"/>
        <v>#DIV/0!</v>
      </c>
      <c r="AV63" s="242">
        <v>0</v>
      </c>
      <c r="AW63" s="242">
        <v>0</v>
      </c>
      <c r="AX63" s="244" t="e">
        <f t="shared" si="49"/>
        <v>#DIV/0!</v>
      </c>
      <c r="AY63" s="242">
        <v>0</v>
      </c>
      <c r="AZ63" s="242">
        <v>0</v>
      </c>
      <c r="BA63" s="244" t="e">
        <f t="shared" si="50"/>
        <v>#DIV/0!</v>
      </c>
      <c r="BB63" s="242">
        <v>0</v>
      </c>
      <c r="BC63" s="242">
        <v>0</v>
      </c>
      <c r="BD63" s="244" t="e">
        <f t="shared" si="51"/>
        <v>#DIV/0!</v>
      </c>
      <c r="BE63" s="242">
        <v>0</v>
      </c>
      <c r="BF63" s="242">
        <v>42850</v>
      </c>
      <c r="BG63" s="244" t="e">
        <f t="shared" si="52"/>
        <v>#DIV/0!</v>
      </c>
      <c r="BH63" s="242">
        <v>100000</v>
      </c>
      <c r="BI63" s="242">
        <v>103474</v>
      </c>
      <c r="BJ63" s="244">
        <f t="shared" si="53"/>
        <v>1.03474</v>
      </c>
      <c r="BK63" s="242">
        <v>150000</v>
      </c>
      <c r="BL63" s="242">
        <v>75543</v>
      </c>
      <c r="BM63" s="244">
        <f t="shared" si="54"/>
        <v>0.50361999999999996</v>
      </c>
      <c r="BN63" s="242">
        <v>150000</v>
      </c>
      <c r="BO63" s="242">
        <v>48867</v>
      </c>
      <c r="BP63" s="244">
        <f t="shared" si="55"/>
        <v>0.32578000000000001</v>
      </c>
      <c r="BQ63" s="242">
        <v>150000</v>
      </c>
      <c r="BR63" s="242">
        <v>32823</v>
      </c>
      <c r="BS63" s="244">
        <f t="shared" si="56"/>
        <v>0.21881999999999999</v>
      </c>
      <c r="BT63" s="242">
        <v>150000</v>
      </c>
      <c r="BU63" s="242">
        <v>12215</v>
      </c>
      <c r="BV63" s="244">
        <f t="shared" si="57"/>
        <v>8.143333333333333E-2</v>
      </c>
      <c r="BW63" s="242">
        <v>150000</v>
      </c>
      <c r="BX63" s="242">
        <v>13550</v>
      </c>
      <c r="BY63" s="244">
        <f t="shared" si="58"/>
        <v>9.0333333333333335E-2</v>
      </c>
      <c r="BZ63" s="242">
        <f t="shared" si="59"/>
        <v>850000</v>
      </c>
      <c r="CA63" s="242">
        <f t="shared" si="60"/>
        <v>329322</v>
      </c>
    </row>
    <row r="64" spans="1:79" x14ac:dyDescent="0.3">
      <c r="A64" s="246" t="s">
        <v>118</v>
      </c>
      <c r="B64" s="242">
        <v>0</v>
      </c>
      <c r="C64" s="242">
        <v>0</v>
      </c>
      <c r="D64" s="244" t="e">
        <f t="shared" si="33"/>
        <v>#DIV/0!</v>
      </c>
      <c r="E64" s="242">
        <v>0</v>
      </c>
      <c r="F64" s="242">
        <v>0</v>
      </c>
      <c r="G64" s="242">
        <v>0</v>
      </c>
      <c r="H64" s="242">
        <v>0</v>
      </c>
      <c r="I64" s="242">
        <v>0</v>
      </c>
      <c r="J64" s="242">
        <v>0</v>
      </c>
      <c r="K64" s="242">
        <v>0</v>
      </c>
      <c r="L64" s="242">
        <v>0</v>
      </c>
      <c r="M64" s="242">
        <v>0</v>
      </c>
      <c r="N64" s="242">
        <v>0</v>
      </c>
      <c r="O64" s="242">
        <v>0</v>
      </c>
      <c r="P64" s="242">
        <v>0</v>
      </c>
      <c r="Q64" s="242">
        <v>0</v>
      </c>
      <c r="R64" s="242">
        <v>0</v>
      </c>
      <c r="S64" s="270" t="e">
        <f t="shared" si="63"/>
        <v>#DIV/0!</v>
      </c>
      <c r="T64" s="269">
        <v>0</v>
      </c>
      <c r="U64" s="269">
        <v>233300</v>
      </c>
      <c r="V64" s="270" t="e">
        <f t="shared" si="39"/>
        <v>#DIV/0!</v>
      </c>
      <c r="W64" s="242">
        <v>2200000</v>
      </c>
      <c r="X64" s="242">
        <v>530300</v>
      </c>
      <c r="Y64" s="244">
        <f t="shared" si="40"/>
        <v>0.24104545454545453</v>
      </c>
      <c r="Z64" s="242">
        <v>2200000</v>
      </c>
      <c r="AA64" s="242">
        <v>712200</v>
      </c>
      <c r="AB64" s="244">
        <f t="shared" si="41"/>
        <v>0.32372727272727275</v>
      </c>
      <c r="AC64" s="242">
        <v>2500000</v>
      </c>
      <c r="AD64" s="242">
        <v>713200</v>
      </c>
      <c r="AE64" s="244">
        <f t="shared" si="42"/>
        <v>0.28527999999999998</v>
      </c>
      <c r="AF64" s="242">
        <v>1500000</v>
      </c>
      <c r="AG64" s="242">
        <v>512090</v>
      </c>
      <c r="AH64" s="244">
        <f t="shared" si="43"/>
        <v>0.34139333333333333</v>
      </c>
      <c r="AI64" s="242">
        <v>1500000</v>
      </c>
      <c r="AJ64" s="242">
        <v>662100</v>
      </c>
      <c r="AK64" s="244">
        <f t="shared" si="44"/>
        <v>0.44140000000000001</v>
      </c>
      <c r="AL64" s="242">
        <f t="shared" si="45"/>
        <v>9900000</v>
      </c>
      <c r="AM64" s="242">
        <f t="shared" si="46"/>
        <v>3363190</v>
      </c>
      <c r="AN64" s="264"/>
      <c r="AO64" s="245" t="str">
        <f t="shared" si="32"/>
        <v>GUWAHATI</v>
      </c>
      <c r="AP64" s="242">
        <v>0</v>
      </c>
      <c r="AQ64" s="242">
        <v>0</v>
      </c>
      <c r="AR64" s="244" t="e">
        <f t="shared" si="47"/>
        <v>#DIV/0!</v>
      </c>
      <c r="AS64" s="242">
        <v>0</v>
      </c>
      <c r="AT64" s="242">
        <v>0</v>
      </c>
      <c r="AU64" s="244" t="e">
        <f t="shared" si="48"/>
        <v>#DIV/0!</v>
      </c>
      <c r="AV64" s="242">
        <v>0</v>
      </c>
      <c r="AW64" s="242">
        <v>0</v>
      </c>
      <c r="AX64" s="244" t="e">
        <f t="shared" si="49"/>
        <v>#DIV/0!</v>
      </c>
      <c r="AY64" s="242">
        <v>0</v>
      </c>
      <c r="AZ64" s="242">
        <v>0</v>
      </c>
      <c r="BA64" s="244" t="e">
        <f t="shared" si="50"/>
        <v>#DIV/0!</v>
      </c>
      <c r="BB64" s="242">
        <v>0</v>
      </c>
      <c r="BC64" s="242">
        <v>0</v>
      </c>
      <c r="BD64" s="244" t="e">
        <f t="shared" si="51"/>
        <v>#DIV/0!</v>
      </c>
      <c r="BE64" s="242">
        <v>0</v>
      </c>
      <c r="BF64" s="242">
        <v>0</v>
      </c>
      <c r="BG64" s="244" t="e">
        <f t="shared" si="52"/>
        <v>#DIV/0!</v>
      </c>
      <c r="BH64" s="242">
        <v>0</v>
      </c>
      <c r="BI64" s="242">
        <v>21705</v>
      </c>
      <c r="BJ64" s="244" t="e">
        <f t="shared" si="53"/>
        <v>#DIV/0!</v>
      </c>
      <c r="BK64" s="242">
        <v>50000</v>
      </c>
      <c r="BL64" s="242">
        <v>51099</v>
      </c>
      <c r="BM64" s="244">
        <f t="shared" si="54"/>
        <v>1.0219800000000001</v>
      </c>
      <c r="BN64" s="242">
        <v>50000</v>
      </c>
      <c r="BO64" s="242">
        <v>48345</v>
      </c>
      <c r="BP64" s="244">
        <f t="shared" si="55"/>
        <v>0.96689999999999998</v>
      </c>
      <c r="BQ64" s="242">
        <v>50000</v>
      </c>
      <c r="BR64" s="242">
        <v>30964</v>
      </c>
      <c r="BS64" s="244">
        <f t="shared" si="56"/>
        <v>0.61928000000000005</v>
      </c>
      <c r="BT64" s="242">
        <v>50000</v>
      </c>
      <c r="BU64" s="242">
        <v>21900</v>
      </c>
      <c r="BV64" s="244">
        <f t="shared" si="57"/>
        <v>0.438</v>
      </c>
      <c r="BW64" s="242">
        <v>50000</v>
      </c>
      <c r="BX64" s="242">
        <v>28383</v>
      </c>
      <c r="BY64" s="244">
        <f t="shared" si="58"/>
        <v>0.56766000000000005</v>
      </c>
      <c r="BZ64" s="242">
        <f t="shared" si="59"/>
        <v>250000</v>
      </c>
      <c r="CA64" s="242">
        <f t="shared" si="60"/>
        <v>202396</v>
      </c>
    </row>
    <row r="65" spans="1:79" x14ac:dyDescent="0.3">
      <c r="A65" s="266" t="s">
        <v>131</v>
      </c>
      <c r="B65" s="242">
        <v>0</v>
      </c>
      <c r="C65" s="242">
        <v>0</v>
      </c>
      <c r="D65" s="244" t="e">
        <f t="shared" si="33"/>
        <v>#DIV/0!</v>
      </c>
      <c r="E65" s="242">
        <v>0</v>
      </c>
      <c r="F65" s="242">
        <v>0</v>
      </c>
      <c r="G65" s="242">
        <v>0</v>
      </c>
      <c r="H65" s="242">
        <v>0</v>
      </c>
      <c r="I65" s="242">
        <v>0</v>
      </c>
      <c r="J65" s="242">
        <v>0</v>
      </c>
      <c r="K65" s="242">
        <v>0</v>
      </c>
      <c r="L65" s="242">
        <v>0</v>
      </c>
      <c r="M65" s="242">
        <v>0</v>
      </c>
      <c r="N65" s="242">
        <v>0</v>
      </c>
      <c r="O65" s="242">
        <v>0</v>
      </c>
      <c r="P65" s="242">
        <v>0</v>
      </c>
      <c r="Q65" s="242">
        <v>0</v>
      </c>
      <c r="R65" s="242">
        <v>0</v>
      </c>
      <c r="S65" s="242">
        <v>0</v>
      </c>
      <c r="T65" s="242">
        <v>0</v>
      </c>
      <c r="U65" s="242">
        <v>0</v>
      </c>
      <c r="V65" s="242">
        <v>0</v>
      </c>
      <c r="W65" s="242">
        <v>2200000</v>
      </c>
      <c r="X65" s="242">
        <v>1864400</v>
      </c>
      <c r="Y65" s="244">
        <f t="shared" si="40"/>
        <v>0.84745454545454546</v>
      </c>
      <c r="Z65" s="242">
        <v>2200000</v>
      </c>
      <c r="AA65" s="242">
        <v>2779540</v>
      </c>
      <c r="AB65" s="244">
        <f t="shared" si="41"/>
        <v>1.2634272727272726</v>
      </c>
      <c r="AC65" s="242">
        <v>3500000</v>
      </c>
      <c r="AD65" s="242">
        <v>1813500</v>
      </c>
      <c r="AE65" s="244">
        <f t="shared" si="42"/>
        <v>0.51814285714285713</v>
      </c>
      <c r="AF65" s="242">
        <v>2500000</v>
      </c>
      <c r="AG65" s="242">
        <v>2125500</v>
      </c>
      <c r="AH65" s="244">
        <f t="shared" si="43"/>
        <v>0.85019999999999996</v>
      </c>
      <c r="AI65" s="242">
        <v>2500000</v>
      </c>
      <c r="AJ65" s="242">
        <v>2535260</v>
      </c>
      <c r="AK65" s="244">
        <f t="shared" si="44"/>
        <v>1.0141039999999999</v>
      </c>
      <c r="AL65" s="242">
        <f t="shared" si="45"/>
        <v>12900000</v>
      </c>
      <c r="AM65" s="242">
        <f t="shared" si="46"/>
        <v>11118200</v>
      </c>
      <c r="AN65" s="264"/>
      <c r="AO65" s="245" t="str">
        <f t="shared" si="32"/>
        <v>MUMBAI-THANE</v>
      </c>
      <c r="AP65" s="242">
        <v>0</v>
      </c>
      <c r="AQ65" s="242">
        <v>0</v>
      </c>
      <c r="AR65" s="244">
        <v>0</v>
      </c>
      <c r="AS65" s="242">
        <v>0</v>
      </c>
      <c r="AT65" s="242">
        <v>0</v>
      </c>
      <c r="AU65" s="244">
        <v>0</v>
      </c>
      <c r="AV65" s="242">
        <v>0</v>
      </c>
      <c r="AW65" s="242">
        <v>0</v>
      </c>
      <c r="AX65" s="244">
        <v>0</v>
      </c>
      <c r="AY65" s="242">
        <v>0</v>
      </c>
      <c r="AZ65" s="242">
        <v>0</v>
      </c>
      <c r="BA65" s="244">
        <v>0</v>
      </c>
      <c r="BB65" s="242">
        <v>0</v>
      </c>
      <c r="BC65" s="242">
        <v>0</v>
      </c>
      <c r="BD65" s="244">
        <v>0</v>
      </c>
      <c r="BE65" s="242">
        <v>0</v>
      </c>
      <c r="BF65" s="242">
        <v>0</v>
      </c>
      <c r="BG65" s="244">
        <v>0</v>
      </c>
      <c r="BH65" s="242">
        <v>0</v>
      </c>
      <c r="BI65" s="242">
        <v>0</v>
      </c>
      <c r="BJ65" s="244">
        <v>0</v>
      </c>
      <c r="BK65" s="242">
        <v>100000</v>
      </c>
      <c r="BL65" s="242">
        <v>78379</v>
      </c>
      <c r="BM65" s="244">
        <f t="shared" si="54"/>
        <v>0.78378999999999999</v>
      </c>
      <c r="BN65" s="242">
        <v>100000</v>
      </c>
      <c r="BO65" s="242">
        <v>79855</v>
      </c>
      <c r="BP65" s="244">
        <f t="shared" si="55"/>
        <v>0.79854999999999998</v>
      </c>
      <c r="BQ65" s="242">
        <v>100000</v>
      </c>
      <c r="BR65" s="242">
        <v>8500</v>
      </c>
      <c r="BS65" s="244">
        <f t="shared" si="56"/>
        <v>8.5000000000000006E-2</v>
      </c>
      <c r="BT65" s="242">
        <v>100000</v>
      </c>
      <c r="BU65" s="242">
        <v>156150</v>
      </c>
      <c r="BV65" s="244">
        <f t="shared" si="57"/>
        <v>1.5615000000000001</v>
      </c>
      <c r="BW65" s="242">
        <v>100000</v>
      </c>
      <c r="BX65" s="242">
        <v>47070</v>
      </c>
      <c r="BY65" s="244">
        <f t="shared" si="58"/>
        <v>0.47070000000000001</v>
      </c>
      <c r="BZ65" s="242">
        <f t="shared" si="59"/>
        <v>500000</v>
      </c>
      <c r="CA65" s="242">
        <f t="shared" si="60"/>
        <v>369954</v>
      </c>
    </row>
    <row r="66" spans="1:79" x14ac:dyDescent="0.3">
      <c r="A66" s="266" t="s">
        <v>121</v>
      </c>
      <c r="B66" s="242">
        <v>0</v>
      </c>
      <c r="C66" s="242">
        <v>0</v>
      </c>
      <c r="D66" s="244" t="e">
        <f t="shared" si="33"/>
        <v>#DIV/0!</v>
      </c>
      <c r="E66" s="242">
        <v>0</v>
      </c>
      <c r="F66" s="242">
        <v>0</v>
      </c>
      <c r="G66" s="242">
        <v>0</v>
      </c>
      <c r="H66" s="242">
        <v>0</v>
      </c>
      <c r="I66" s="242">
        <v>0</v>
      </c>
      <c r="J66" s="242">
        <v>0</v>
      </c>
      <c r="K66" s="242">
        <v>0</v>
      </c>
      <c r="L66" s="242">
        <v>0</v>
      </c>
      <c r="M66" s="242">
        <v>0</v>
      </c>
      <c r="N66" s="242">
        <v>0</v>
      </c>
      <c r="O66" s="242">
        <v>0</v>
      </c>
      <c r="P66" s="242">
        <v>0</v>
      </c>
      <c r="Q66" s="242">
        <v>0</v>
      </c>
      <c r="R66" s="242">
        <v>0</v>
      </c>
      <c r="S66" s="242">
        <v>0</v>
      </c>
      <c r="T66" s="242">
        <v>0</v>
      </c>
      <c r="U66" s="242">
        <v>0</v>
      </c>
      <c r="V66" s="242">
        <v>0</v>
      </c>
      <c r="W66" s="242">
        <v>0</v>
      </c>
      <c r="X66" s="242">
        <v>0</v>
      </c>
      <c r="Y66" s="242">
        <v>0</v>
      </c>
      <c r="Z66" s="242">
        <v>0</v>
      </c>
      <c r="AA66" s="242">
        <v>647600</v>
      </c>
      <c r="AB66" s="244" t="e">
        <f t="shared" ref="AB66" si="64">AA66/Z66</f>
        <v>#DIV/0!</v>
      </c>
      <c r="AC66" s="242">
        <v>2500000</v>
      </c>
      <c r="AD66" s="242">
        <v>1176000</v>
      </c>
      <c r="AE66" s="244">
        <f t="shared" si="42"/>
        <v>0.47039999999999998</v>
      </c>
      <c r="AF66" s="242">
        <v>2100000</v>
      </c>
      <c r="AG66" s="242">
        <v>714900</v>
      </c>
      <c r="AH66" s="244">
        <f t="shared" si="43"/>
        <v>0.34042857142857141</v>
      </c>
      <c r="AI66" s="242">
        <v>2100000</v>
      </c>
      <c r="AJ66" s="242">
        <v>1307600</v>
      </c>
      <c r="AK66" s="244">
        <f t="shared" si="44"/>
        <v>0.6226666666666667</v>
      </c>
      <c r="AL66" s="242">
        <f t="shared" si="45"/>
        <v>6700000</v>
      </c>
      <c r="AM66" s="242">
        <f t="shared" si="46"/>
        <v>3846100</v>
      </c>
      <c r="AN66" s="264"/>
      <c r="AO66" s="245" t="str">
        <f t="shared" si="32"/>
        <v>VADODARA</v>
      </c>
      <c r="AP66" s="242">
        <v>0</v>
      </c>
      <c r="AQ66" s="242">
        <v>0</v>
      </c>
      <c r="AR66" s="244">
        <v>0</v>
      </c>
      <c r="AS66" s="242">
        <v>0</v>
      </c>
      <c r="AT66" s="242">
        <v>0</v>
      </c>
      <c r="AU66" s="244">
        <v>0</v>
      </c>
      <c r="AV66" s="242">
        <v>0</v>
      </c>
      <c r="AW66" s="242">
        <v>0</v>
      </c>
      <c r="AX66" s="244">
        <v>0</v>
      </c>
      <c r="AY66" s="242">
        <v>0</v>
      </c>
      <c r="AZ66" s="242">
        <v>0</v>
      </c>
      <c r="BA66" s="244">
        <v>0</v>
      </c>
      <c r="BB66" s="242">
        <v>0</v>
      </c>
      <c r="BC66" s="242">
        <v>0</v>
      </c>
      <c r="BD66" s="244">
        <v>0</v>
      </c>
      <c r="BE66" s="242">
        <v>0</v>
      </c>
      <c r="BF66" s="242">
        <v>0</v>
      </c>
      <c r="BG66" s="244">
        <v>0</v>
      </c>
      <c r="BH66" s="242">
        <v>0</v>
      </c>
      <c r="BI66" s="242">
        <v>0</v>
      </c>
      <c r="BJ66" s="244">
        <v>0</v>
      </c>
      <c r="BK66" s="242"/>
      <c r="BL66" s="242"/>
      <c r="BM66" s="244"/>
      <c r="BN66" s="242">
        <v>0</v>
      </c>
      <c r="BO66" s="242">
        <v>10433</v>
      </c>
      <c r="BP66" s="244" t="e">
        <f t="shared" si="55"/>
        <v>#DIV/0!</v>
      </c>
      <c r="BQ66" s="242">
        <v>50000</v>
      </c>
      <c r="BR66" s="242">
        <v>4388</v>
      </c>
      <c r="BS66" s="244">
        <f t="shared" si="56"/>
        <v>8.7760000000000005E-2</v>
      </c>
      <c r="BT66" s="242">
        <v>50000</v>
      </c>
      <c r="BU66" s="242">
        <v>42915</v>
      </c>
      <c r="BV66" s="244">
        <f t="shared" si="57"/>
        <v>0.85829999999999995</v>
      </c>
      <c r="BW66" s="242">
        <v>50000</v>
      </c>
      <c r="BX66" s="242">
        <v>32770</v>
      </c>
      <c r="BY66" s="244">
        <f t="shared" si="58"/>
        <v>0.65539999999999998</v>
      </c>
      <c r="BZ66" s="242">
        <f t="shared" si="59"/>
        <v>150000</v>
      </c>
      <c r="CA66" s="242">
        <f t="shared" si="60"/>
        <v>90506</v>
      </c>
    </row>
    <row r="67" spans="1:79" x14ac:dyDescent="0.3">
      <c r="A67" s="266" t="s">
        <v>125</v>
      </c>
      <c r="B67" s="242">
        <v>0</v>
      </c>
      <c r="C67" s="242">
        <v>0</v>
      </c>
      <c r="D67" s="244" t="e">
        <f t="shared" si="33"/>
        <v>#DIV/0!</v>
      </c>
      <c r="E67" s="242">
        <v>0</v>
      </c>
      <c r="F67" s="242">
        <v>0</v>
      </c>
      <c r="G67" s="242">
        <v>0</v>
      </c>
      <c r="H67" s="242">
        <v>0</v>
      </c>
      <c r="I67" s="242">
        <v>0</v>
      </c>
      <c r="J67" s="242">
        <v>0</v>
      </c>
      <c r="K67" s="242">
        <v>0</v>
      </c>
      <c r="L67" s="242">
        <v>0</v>
      </c>
      <c r="M67" s="242">
        <v>0</v>
      </c>
      <c r="N67" s="242">
        <v>0</v>
      </c>
      <c r="O67" s="242">
        <v>0</v>
      </c>
      <c r="P67" s="242">
        <v>0</v>
      </c>
      <c r="Q67" s="242">
        <v>0</v>
      </c>
      <c r="R67" s="242">
        <v>0</v>
      </c>
      <c r="S67" s="242">
        <v>0</v>
      </c>
      <c r="T67" s="242">
        <v>0</v>
      </c>
      <c r="U67" s="242">
        <v>0</v>
      </c>
      <c r="V67" s="242">
        <v>0</v>
      </c>
      <c r="W67" s="242">
        <v>0</v>
      </c>
      <c r="X67" s="242">
        <v>0</v>
      </c>
      <c r="Y67" s="242">
        <v>0</v>
      </c>
      <c r="Z67" s="242">
        <v>0</v>
      </c>
      <c r="AA67" s="242">
        <v>0</v>
      </c>
      <c r="AB67" s="244">
        <v>0</v>
      </c>
      <c r="AC67" s="242">
        <v>0</v>
      </c>
      <c r="AD67" s="242">
        <v>0</v>
      </c>
      <c r="AE67" s="244">
        <v>0</v>
      </c>
      <c r="AF67" s="242">
        <v>0</v>
      </c>
      <c r="AG67" s="242">
        <v>0</v>
      </c>
      <c r="AH67" s="244">
        <v>0</v>
      </c>
      <c r="AI67" s="242">
        <v>0</v>
      </c>
      <c r="AJ67" s="242">
        <v>202800</v>
      </c>
      <c r="AK67" s="244"/>
      <c r="AL67" s="242">
        <f t="shared" si="45"/>
        <v>0</v>
      </c>
      <c r="AM67" s="242">
        <f t="shared" si="46"/>
        <v>202800</v>
      </c>
      <c r="AN67" s="264"/>
      <c r="AO67" s="245" t="str">
        <f t="shared" si="32"/>
        <v>NASHIK</v>
      </c>
      <c r="AP67" s="242">
        <v>0</v>
      </c>
      <c r="AQ67" s="242">
        <v>0</v>
      </c>
      <c r="AR67" s="244">
        <v>0</v>
      </c>
      <c r="AS67" s="242">
        <v>0</v>
      </c>
      <c r="AT67" s="242">
        <v>0</v>
      </c>
      <c r="AU67" s="244">
        <v>0</v>
      </c>
      <c r="AV67" s="242">
        <v>0</v>
      </c>
      <c r="AW67" s="242">
        <v>0</v>
      </c>
      <c r="AX67" s="244">
        <v>0</v>
      </c>
      <c r="AY67" s="242">
        <v>0</v>
      </c>
      <c r="AZ67" s="242">
        <v>0</v>
      </c>
      <c r="BA67" s="244">
        <v>0</v>
      </c>
      <c r="BB67" s="242">
        <v>0</v>
      </c>
      <c r="BC67" s="242">
        <v>0</v>
      </c>
      <c r="BD67" s="244">
        <v>0</v>
      </c>
      <c r="BE67" s="242">
        <v>0</v>
      </c>
      <c r="BF67" s="242">
        <v>0</v>
      </c>
      <c r="BG67" s="244">
        <v>0</v>
      </c>
      <c r="BH67" s="242">
        <v>0</v>
      </c>
      <c r="BI67" s="242">
        <v>0</v>
      </c>
      <c r="BJ67" s="244">
        <v>0</v>
      </c>
      <c r="BK67" s="242"/>
      <c r="BL67" s="242"/>
      <c r="BM67" s="244"/>
      <c r="BN67" s="242"/>
      <c r="BO67" s="242"/>
      <c r="BP67" s="244"/>
      <c r="BQ67" s="242"/>
      <c r="BR67" s="242"/>
      <c r="BS67" s="244"/>
      <c r="BT67" s="242"/>
      <c r="BU67" s="242"/>
      <c r="BV67" s="244"/>
      <c r="BW67" s="242">
        <v>0</v>
      </c>
      <c r="BX67" s="242">
        <v>0</v>
      </c>
      <c r="BY67" s="244" t="e">
        <f t="shared" si="58"/>
        <v>#DIV/0!</v>
      </c>
      <c r="BZ67" s="242">
        <f t="shared" si="59"/>
        <v>0</v>
      </c>
      <c r="CA67" s="242">
        <f t="shared" si="60"/>
        <v>0</v>
      </c>
    </row>
    <row r="68" spans="1:79" x14ac:dyDescent="0.3">
      <c r="A68" s="247" t="s">
        <v>14</v>
      </c>
      <c r="B68" s="248">
        <f>SUM(B40:B67)</f>
        <v>93000000</v>
      </c>
      <c r="C68" s="248">
        <f t="shared" ref="C68:AM68" si="65">SUM(C40:C67)</f>
        <v>70160753</v>
      </c>
      <c r="D68" s="249">
        <f t="shared" si="33"/>
        <v>0.75441669892473118</v>
      </c>
      <c r="E68" s="248">
        <f t="shared" si="65"/>
        <v>93000000</v>
      </c>
      <c r="F68" s="248">
        <f t="shared" si="65"/>
        <v>79958266</v>
      </c>
      <c r="G68" s="249">
        <f t="shared" ref="G68" si="66">F68/E68</f>
        <v>0.85976630107526886</v>
      </c>
      <c r="H68" s="248">
        <f t="shared" si="65"/>
        <v>96200000</v>
      </c>
      <c r="I68" s="248">
        <f t="shared" si="65"/>
        <v>73141094</v>
      </c>
      <c r="J68" s="249">
        <f t="shared" ref="J68" si="67">I68/H68</f>
        <v>0.76030243243243245</v>
      </c>
      <c r="K68" s="248">
        <f t="shared" si="65"/>
        <v>100100000</v>
      </c>
      <c r="L68" s="248">
        <f t="shared" si="65"/>
        <v>79131764</v>
      </c>
      <c r="M68" s="249">
        <f t="shared" ref="M68" si="68">L68/K68</f>
        <v>0.79052711288711286</v>
      </c>
      <c r="N68" s="248">
        <f t="shared" si="65"/>
        <v>100800000</v>
      </c>
      <c r="O68" s="248">
        <f t="shared" si="65"/>
        <v>78662382</v>
      </c>
      <c r="P68" s="249">
        <f t="shared" ref="P68" si="69">O68/N68</f>
        <v>0.78038077380952386</v>
      </c>
      <c r="Q68" s="248">
        <f t="shared" si="65"/>
        <v>100950000</v>
      </c>
      <c r="R68" s="248">
        <f t="shared" si="65"/>
        <v>89351479</v>
      </c>
      <c r="S68" s="249">
        <f t="shared" ref="S68" si="70">R68/Q68</f>
        <v>0.88510628033680039</v>
      </c>
      <c r="T68" s="248">
        <f t="shared" si="65"/>
        <v>105050000</v>
      </c>
      <c r="U68" s="248">
        <f t="shared" si="65"/>
        <v>90522025</v>
      </c>
      <c r="V68" s="249">
        <f t="shared" ref="V68" si="71">U68/T68</f>
        <v>0.8617041884816754</v>
      </c>
      <c r="W68" s="248">
        <f t="shared" si="65"/>
        <v>110550000</v>
      </c>
      <c r="X68" s="248">
        <f t="shared" si="65"/>
        <v>83698189</v>
      </c>
      <c r="Y68" s="249">
        <f t="shared" ref="Y68" si="72">X68/W68</f>
        <v>0.75710709181365898</v>
      </c>
      <c r="Z68" s="248">
        <f t="shared" si="65"/>
        <v>110750000</v>
      </c>
      <c r="AA68" s="248">
        <f t="shared" si="65"/>
        <v>90213428</v>
      </c>
      <c r="AB68" s="249">
        <f t="shared" ref="AB68" si="73">AA68/Z68</f>
        <v>0.81456819864559815</v>
      </c>
      <c r="AC68" s="248">
        <f t="shared" si="65"/>
        <v>115150000</v>
      </c>
      <c r="AD68" s="248">
        <f t="shared" si="65"/>
        <v>88878306</v>
      </c>
      <c r="AE68" s="249">
        <f t="shared" ref="AE68" si="74">AD68/AC68</f>
        <v>0.77184807642205822</v>
      </c>
      <c r="AF68" s="248">
        <f t="shared" si="65"/>
        <v>102250000</v>
      </c>
      <c r="AG68" s="248">
        <f t="shared" si="65"/>
        <v>81281671</v>
      </c>
      <c r="AH68" s="249">
        <f t="shared" ref="AH68" si="75">AG68/AF68</f>
        <v>0.79493076772616134</v>
      </c>
      <c r="AI68" s="248">
        <f t="shared" si="65"/>
        <v>102250000</v>
      </c>
      <c r="AJ68" s="248">
        <f t="shared" si="65"/>
        <v>81680751</v>
      </c>
      <c r="AK68" s="249">
        <f t="shared" ref="AK68" si="76">AJ68/AI68</f>
        <v>0.79883375061124695</v>
      </c>
      <c r="AL68" s="248">
        <f t="shared" si="65"/>
        <v>1230050000</v>
      </c>
      <c r="AM68" s="248">
        <f t="shared" si="65"/>
        <v>986680108</v>
      </c>
      <c r="AN68" s="264"/>
      <c r="AO68" s="238" t="str">
        <f t="shared" si="32"/>
        <v>TOTAL</v>
      </c>
      <c r="AP68" s="248">
        <f>SUM(AP40:AP64)</f>
        <v>3610000</v>
      </c>
      <c r="AQ68" s="248">
        <f>SUM(AQ40:AQ64)</f>
        <v>3617838</v>
      </c>
      <c r="AR68" s="249">
        <f t="shared" si="47"/>
        <v>1.0021711911357341</v>
      </c>
      <c r="AS68" s="248">
        <f>SUM(AS40:AS64)</f>
        <v>3680000</v>
      </c>
      <c r="AT68" s="248">
        <f>SUM(AT40:AT64)</f>
        <v>4181596</v>
      </c>
      <c r="AU68" s="249">
        <f t="shared" si="48"/>
        <v>1.1363032608695651</v>
      </c>
      <c r="AV68" s="248">
        <f>SUM(AV40:AV64)</f>
        <v>4835000</v>
      </c>
      <c r="AW68" s="248">
        <f>SUM(AW40:AW64)</f>
        <v>3905148</v>
      </c>
      <c r="AX68" s="249">
        <f t="shared" si="49"/>
        <v>0.80768314374353667</v>
      </c>
      <c r="AY68" s="248">
        <f>SUM(AY40:AY64)</f>
        <v>4935000</v>
      </c>
      <c r="AZ68" s="248">
        <f>SUM(AZ40:AZ64)</f>
        <v>5054455</v>
      </c>
      <c r="BA68" s="249">
        <f t="shared" si="50"/>
        <v>1.0242056737588652</v>
      </c>
      <c r="BB68" s="248">
        <f>SUM(BB40:BB64)</f>
        <v>5100000</v>
      </c>
      <c r="BC68" s="248">
        <f>SUM(BC40:BC64)</f>
        <v>5172172</v>
      </c>
      <c r="BD68" s="249">
        <f t="shared" si="51"/>
        <v>1.0141513725490197</v>
      </c>
      <c r="BE68" s="248">
        <f>SUM(BE40:BE64)</f>
        <v>5250000</v>
      </c>
      <c r="BF68" s="248">
        <f>SUM(BF40:BF64)</f>
        <v>5431026</v>
      </c>
      <c r="BG68" s="249">
        <f t="shared" si="52"/>
        <v>1.0344811428571428</v>
      </c>
      <c r="BH68" s="248">
        <f>SUM(BH40:BH64)</f>
        <v>5815000</v>
      </c>
      <c r="BI68" s="248">
        <f>SUM(BI40:BI64)</f>
        <v>5434868</v>
      </c>
      <c r="BJ68" s="249">
        <f t="shared" si="53"/>
        <v>0.93462906276870161</v>
      </c>
      <c r="BK68" s="248">
        <f>SUM(BK40:BK65)</f>
        <v>6015000</v>
      </c>
      <c r="BL68" s="248">
        <f>SUM(BL40:BL65)</f>
        <v>4848508</v>
      </c>
      <c r="BM68" s="249">
        <f t="shared" ref="BM68" si="77">BL68/BK68</f>
        <v>0.80606949293433083</v>
      </c>
      <c r="BN68" s="248">
        <f>SUM(BN40:BN66)</f>
        <v>6015000</v>
      </c>
      <c r="BO68" s="248">
        <f t="shared" ref="BO68" si="78">SUM(BO40:BO66)</f>
        <v>3573075</v>
      </c>
      <c r="BP68" s="249">
        <f t="shared" si="55"/>
        <v>0.59402743142144643</v>
      </c>
      <c r="BQ68" s="248">
        <f>SUM(BQ40:BQ66)</f>
        <v>6065000</v>
      </c>
      <c r="BR68" s="248">
        <f t="shared" ref="BR68" si="79">SUM(BR40:BR66)</f>
        <v>2965662</v>
      </c>
      <c r="BS68" s="249">
        <f t="shared" ref="BS68" si="80">BR68/BQ68</f>
        <v>0.48897971970321519</v>
      </c>
      <c r="BT68" s="248">
        <f>SUM(BT40:BT66)</f>
        <v>6065000</v>
      </c>
      <c r="BU68" s="248">
        <f t="shared" ref="BU68" si="81">SUM(BU40:BU66)</f>
        <v>3848729</v>
      </c>
      <c r="BV68" s="249">
        <f t="shared" ref="BV68" si="82">BU68/BT68</f>
        <v>0.63458021434460021</v>
      </c>
      <c r="BW68" s="248">
        <f>SUM(BW40:BW66)</f>
        <v>6065000</v>
      </c>
      <c r="BX68" s="248">
        <f t="shared" ref="BX68" si="83">SUM(BX40:BX66)</f>
        <v>3069333</v>
      </c>
      <c r="BY68" s="249">
        <f t="shared" si="58"/>
        <v>0.50607304204451775</v>
      </c>
      <c r="BZ68" s="248">
        <f>SUM(BZ40:BZ67)</f>
        <v>63450000</v>
      </c>
      <c r="CA68" s="248">
        <f>SUM(CA40:CA67)</f>
        <v>51102410</v>
      </c>
    </row>
    <row r="70" spans="1:79" x14ac:dyDescent="0.3">
      <c r="U70" s="259">
        <v>560927769.00999999</v>
      </c>
    </row>
    <row r="71" spans="1:79" x14ac:dyDescent="0.3">
      <c r="A71" s="257" t="s">
        <v>92</v>
      </c>
      <c r="B71" s="367">
        <v>45383</v>
      </c>
      <c r="C71" s="369"/>
      <c r="D71" s="368"/>
      <c r="E71" s="367">
        <v>45413</v>
      </c>
      <c r="F71" s="369"/>
      <c r="G71" s="368"/>
      <c r="H71" s="367">
        <v>45444</v>
      </c>
      <c r="I71" s="369"/>
      <c r="J71" s="368"/>
      <c r="K71" s="367">
        <v>45474</v>
      </c>
      <c r="L71" s="369"/>
      <c r="M71" s="368"/>
      <c r="N71" s="367">
        <v>45505</v>
      </c>
      <c r="O71" s="369"/>
      <c r="P71" s="368"/>
      <c r="Q71" s="367">
        <v>45536</v>
      </c>
      <c r="R71" s="369"/>
      <c r="S71" s="368"/>
      <c r="T71" s="367">
        <v>45566</v>
      </c>
      <c r="U71" s="369"/>
      <c r="V71" s="368"/>
      <c r="W71" s="367">
        <v>45597</v>
      </c>
      <c r="X71" s="369"/>
      <c r="Y71" s="368"/>
      <c r="Z71" s="367">
        <v>45627</v>
      </c>
      <c r="AA71" s="369"/>
      <c r="AB71" s="368"/>
      <c r="AC71" s="367">
        <v>45658</v>
      </c>
      <c r="AD71" s="369"/>
      <c r="AE71" s="368"/>
      <c r="AF71" s="367">
        <v>45689</v>
      </c>
      <c r="AG71" s="369"/>
      <c r="AH71" s="368"/>
      <c r="AI71" s="367">
        <v>45717</v>
      </c>
      <c r="AJ71" s="369"/>
      <c r="AK71" s="368"/>
      <c r="AL71" s="366" t="s">
        <v>44</v>
      </c>
      <c r="AM71" s="366"/>
      <c r="AO71" s="257" t="s">
        <v>92</v>
      </c>
      <c r="AP71" s="366">
        <v>45108</v>
      </c>
      <c r="AQ71" s="366"/>
      <c r="AR71" s="366">
        <v>45139</v>
      </c>
      <c r="AS71" s="366"/>
      <c r="AT71" s="366">
        <v>45170</v>
      </c>
      <c r="AU71" s="366"/>
      <c r="AV71" s="366">
        <v>45200</v>
      </c>
      <c r="AW71" s="366"/>
      <c r="AX71" s="366">
        <v>45231</v>
      </c>
      <c r="AY71" s="366"/>
      <c r="AZ71" s="366">
        <v>45261</v>
      </c>
      <c r="BA71" s="366"/>
      <c r="BB71" s="366">
        <v>45292</v>
      </c>
      <c r="BC71" s="366"/>
      <c r="BD71" s="366">
        <v>45323</v>
      </c>
      <c r="BE71" s="366"/>
      <c r="BF71" s="366">
        <v>45352</v>
      </c>
      <c r="BG71" s="366"/>
      <c r="BH71" s="366" t="s">
        <v>93</v>
      </c>
      <c r="BI71" s="366"/>
      <c r="BJ71" s="256" t="s">
        <v>94</v>
      </c>
      <c r="BK71" s="256" t="s">
        <v>44</v>
      </c>
    </row>
    <row r="72" spans="1:79" x14ac:dyDescent="0.3">
      <c r="A72" s="238" t="s">
        <v>89</v>
      </c>
      <c r="B72" s="239" t="s">
        <v>90</v>
      </c>
      <c r="C72" s="240" t="s">
        <v>91</v>
      </c>
      <c r="D72" s="240" t="s">
        <v>98</v>
      </c>
      <c r="E72" s="239" t="s">
        <v>90</v>
      </c>
      <c r="F72" s="240" t="s">
        <v>91</v>
      </c>
      <c r="G72" s="240" t="s">
        <v>98</v>
      </c>
      <c r="H72" s="239" t="s">
        <v>90</v>
      </c>
      <c r="I72" s="240" t="s">
        <v>91</v>
      </c>
      <c r="J72" s="240" t="s">
        <v>98</v>
      </c>
      <c r="K72" s="239" t="s">
        <v>90</v>
      </c>
      <c r="L72" s="240" t="s">
        <v>91</v>
      </c>
      <c r="M72" s="240" t="s">
        <v>98</v>
      </c>
      <c r="N72" s="239" t="s">
        <v>90</v>
      </c>
      <c r="O72" s="240" t="s">
        <v>91</v>
      </c>
      <c r="P72" s="240" t="s">
        <v>98</v>
      </c>
      <c r="Q72" s="239" t="s">
        <v>90</v>
      </c>
      <c r="R72" s="240" t="s">
        <v>91</v>
      </c>
      <c r="S72" s="240" t="s">
        <v>98</v>
      </c>
      <c r="T72" s="239" t="s">
        <v>90</v>
      </c>
      <c r="U72" s="240" t="s">
        <v>91</v>
      </c>
      <c r="V72" s="240" t="s">
        <v>98</v>
      </c>
      <c r="W72" s="239" t="s">
        <v>90</v>
      </c>
      <c r="X72" s="240" t="s">
        <v>91</v>
      </c>
      <c r="Y72" s="240" t="s">
        <v>98</v>
      </c>
      <c r="Z72" s="239" t="s">
        <v>90</v>
      </c>
      <c r="AA72" s="240" t="s">
        <v>91</v>
      </c>
      <c r="AB72" s="240" t="s">
        <v>98</v>
      </c>
      <c r="AC72" s="239" t="s">
        <v>90</v>
      </c>
      <c r="AD72" s="240" t="s">
        <v>91</v>
      </c>
      <c r="AE72" s="240" t="s">
        <v>98</v>
      </c>
      <c r="AF72" s="239" t="s">
        <v>90</v>
      </c>
      <c r="AG72" s="240" t="s">
        <v>91</v>
      </c>
      <c r="AH72" s="240" t="s">
        <v>98</v>
      </c>
      <c r="AI72" s="239" t="s">
        <v>90</v>
      </c>
      <c r="AJ72" s="240" t="s">
        <v>91</v>
      </c>
      <c r="AK72" s="240" t="s">
        <v>98</v>
      </c>
      <c r="AL72" s="239" t="s">
        <v>90</v>
      </c>
      <c r="AM72" s="240" t="s">
        <v>91</v>
      </c>
      <c r="AO72" s="238" t="s">
        <v>89</v>
      </c>
      <c r="AP72" s="239" t="s">
        <v>90</v>
      </c>
      <c r="AQ72" s="240" t="s">
        <v>91</v>
      </c>
      <c r="AR72" s="239" t="s">
        <v>90</v>
      </c>
      <c r="AS72" s="240" t="s">
        <v>91</v>
      </c>
      <c r="AT72" s="239" t="s">
        <v>90</v>
      </c>
      <c r="AU72" s="240" t="s">
        <v>91</v>
      </c>
      <c r="AV72" s="239" t="s">
        <v>90</v>
      </c>
      <c r="AW72" s="240" t="s">
        <v>91</v>
      </c>
      <c r="AX72" s="239" t="s">
        <v>90</v>
      </c>
      <c r="AY72" s="240" t="s">
        <v>91</v>
      </c>
      <c r="AZ72" s="239" t="s">
        <v>90</v>
      </c>
      <c r="BA72" s="240" t="s">
        <v>91</v>
      </c>
      <c r="BB72" s="239" t="s">
        <v>90</v>
      </c>
      <c r="BC72" s="240" t="s">
        <v>91</v>
      </c>
      <c r="BD72" s="239" t="s">
        <v>90</v>
      </c>
      <c r="BE72" s="240" t="s">
        <v>91</v>
      </c>
      <c r="BF72" s="239" t="s">
        <v>90</v>
      </c>
      <c r="BG72" s="240" t="s">
        <v>91</v>
      </c>
      <c r="BH72" s="239" t="s">
        <v>90</v>
      </c>
      <c r="BI72" s="240" t="s">
        <v>91</v>
      </c>
      <c r="BJ72" s="239" t="s">
        <v>91</v>
      </c>
      <c r="BK72" s="240" t="s">
        <v>91</v>
      </c>
    </row>
    <row r="73" spans="1:79" x14ac:dyDescent="0.3">
      <c r="A73" s="241" t="s">
        <v>4</v>
      </c>
      <c r="B73" s="242">
        <v>8900000</v>
      </c>
      <c r="C73" s="242">
        <v>7311900</v>
      </c>
      <c r="D73" s="244">
        <f>C73/B73</f>
        <v>0.82156179775280902</v>
      </c>
      <c r="E73" s="242">
        <v>8800000</v>
      </c>
      <c r="F73" s="242">
        <v>8424360</v>
      </c>
      <c r="G73" s="244">
        <f>F73/E73</f>
        <v>0.95731363636363631</v>
      </c>
      <c r="H73" s="242">
        <v>9770000</v>
      </c>
      <c r="I73" s="242">
        <v>9822745</v>
      </c>
      <c r="J73" s="244">
        <f>I73/H73</f>
        <v>1.0053986693961106</v>
      </c>
      <c r="K73" s="242">
        <v>9650000</v>
      </c>
      <c r="L73" s="242">
        <v>10261770</v>
      </c>
      <c r="M73" s="244">
        <f>L73/K73</f>
        <v>1.0633958549222797</v>
      </c>
      <c r="N73" s="242">
        <v>9650000</v>
      </c>
      <c r="O73" s="242">
        <v>9126358</v>
      </c>
      <c r="P73" s="244">
        <f>O73/N73</f>
        <v>0.94573658031088081</v>
      </c>
      <c r="Q73" s="242">
        <v>9650000</v>
      </c>
      <c r="R73" s="242">
        <v>9768705</v>
      </c>
      <c r="S73" s="244">
        <f>R73/Q73</f>
        <v>1.01230103626943</v>
      </c>
      <c r="T73" s="242">
        <v>11000000</v>
      </c>
      <c r="U73" s="242">
        <v>9200770</v>
      </c>
      <c r="V73" s="244">
        <f>U73/T73</f>
        <v>0.83643363636363632</v>
      </c>
      <c r="W73" s="242">
        <v>11200000</v>
      </c>
      <c r="X73" s="242">
        <v>10198701</v>
      </c>
      <c r="Y73" s="244">
        <f>X73/W73</f>
        <v>0.91059830357142857</v>
      </c>
      <c r="Z73" s="242">
        <v>11200000</v>
      </c>
      <c r="AA73" s="242">
        <v>11308331</v>
      </c>
      <c r="AB73" s="244">
        <f>AA73/Z73</f>
        <v>1.0096724107142858</v>
      </c>
      <c r="AC73" s="242">
        <v>11200000</v>
      </c>
      <c r="AD73" s="242">
        <v>11678380</v>
      </c>
      <c r="AE73" s="244">
        <f>AD73/AC73</f>
        <v>1.0427124999999999</v>
      </c>
      <c r="AF73" s="242">
        <v>11200000</v>
      </c>
      <c r="AG73" s="242">
        <v>11238480</v>
      </c>
      <c r="AH73" s="244">
        <f>AG73/AF73</f>
        <v>1.0034357142857142</v>
      </c>
      <c r="AI73" s="242">
        <v>11200000</v>
      </c>
      <c r="AJ73" s="242">
        <v>11348380</v>
      </c>
      <c r="AK73" s="244">
        <f>AJ73/AI73</f>
        <v>1.0132482142857142</v>
      </c>
      <c r="AL73" s="243">
        <f>B73+E73+H73+K73+N73+Q73+T73+W73+Z73+AC73+AF73+AI73</f>
        <v>123420000</v>
      </c>
      <c r="AM73" s="243">
        <f>C73+F73+I73+L73+O73+R73+U73+X73+AA73+AD73+AG73+AJ73</f>
        <v>119688880</v>
      </c>
      <c r="AO73" s="241" t="s">
        <v>4</v>
      </c>
      <c r="AP73" s="260">
        <v>7000000</v>
      </c>
      <c r="AQ73" s="242">
        <v>8154175</v>
      </c>
      <c r="AR73" s="260">
        <v>7700000</v>
      </c>
      <c r="AS73" s="242">
        <v>6949630</v>
      </c>
      <c r="AT73" s="260">
        <v>7500000</v>
      </c>
      <c r="AU73" s="242">
        <v>7347890</v>
      </c>
      <c r="AV73" s="260">
        <v>7200000</v>
      </c>
      <c r="AW73" s="242">
        <v>7231156</v>
      </c>
      <c r="AX73" s="260">
        <v>7200000</v>
      </c>
      <c r="AY73" s="242">
        <v>5934791</v>
      </c>
      <c r="AZ73" s="260">
        <v>7500000</v>
      </c>
      <c r="BA73" s="242">
        <v>7761730</v>
      </c>
      <c r="BB73" s="260">
        <v>7700000</v>
      </c>
      <c r="BC73" s="242">
        <v>11629595</v>
      </c>
      <c r="BD73" s="260">
        <v>8500000</v>
      </c>
      <c r="BE73" s="242">
        <v>10452250</v>
      </c>
      <c r="BF73" s="260">
        <v>9400000</v>
      </c>
      <c r="BG73" s="242">
        <v>8167935</v>
      </c>
      <c r="BH73" s="242">
        <f t="shared" ref="BH73:BH82" si="84">AP73+AR73+AT73+AV73+AX73+AZ73+BB73+BD73+BF73</f>
        <v>69700000</v>
      </c>
      <c r="BI73" s="242">
        <f t="shared" ref="BI73:BI82" si="85">AQ73+AS73+AU73+AW73+AY73+BA73+BC73+BE73+BG73</f>
        <v>73629152</v>
      </c>
      <c r="BJ73" s="260">
        <v>18647180</v>
      </c>
      <c r="BK73" s="242">
        <f t="shared" ref="BK73:BK87" si="86">BI73+BJ73</f>
        <v>92276332</v>
      </c>
    </row>
    <row r="74" spans="1:79" x14ac:dyDescent="0.3">
      <c r="A74" s="241" t="s">
        <v>8</v>
      </c>
      <c r="B74" s="242">
        <v>2582000</v>
      </c>
      <c r="C74" s="242">
        <v>1257520</v>
      </c>
      <c r="D74" s="244">
        <f t="shared" ref="D74:D92" si="87">C74/B74</f>
        <v>0.48703330751355539</v>
      </c>
      <c r="E74" s="242">
        <v>2500000</v>
      </c>
      <c r="F74" s="242">
        <v>1908790</v>
      </c>
      <c r="G74" s="244">
        <f t="shared" ref="G74:G92" si="88">F74/E74</f>
        <v>0.76351599999999997</v>
      </c>
      <c r="H74" s="242">
        <v>3377000</v>
      </c>
      <c r="I74" s="242">
        <v>1579805</v>
      </c>
      <c r="J74" s="244">
        <f t="shared" ref="J74:J92" si="89">I74/H74</f>
        <v>0.46781314776428784</v>
      </c>
      <c r="K74" s="242">
        <v>2450000</v>
      </c>
      <c r="L74" s="242">
        <v>2070190</v>
      </c>
      <c r="M74" s="244">
        <f t="shared" ref="M74:M92" si="90">L74/K74</f>
        <v>0.84497551020408168</v>
      </c>
      <c r="N74" s="242">
        <v>2450000</v>
      </c>
      <c r="O74" s="242">
        <v>2707233</v>
      </c>
      <c r="P74" s="244">
        <f t="shared" ref="P74:P92" si="91">O74/N74</f>
        <v>1.1049930612244898</v>
      </c>
      <c r="Q74" s="242">
        <v>2500000</v>
      </c>
      <c r="R74" s="242">
        <v>2950725</v>
      </c>
      <c r="S74" s="244">
        <f t="shared" ref="S74:S92" si="92">R74/Q74</f>
        <v>1.1802900000000001</v>
      </c>
      <c r="T74" s="242">
        <v>3100000</v>
      </c>
      <c r="U74" s="242">
        <v>3106350</v>
      </c>
      <c r="V74" s="244">
        <f t="shared" ref="V74:V92" si="93">U74/T74</f>
        <v>1.0020483870967742</v>
      </c>
      <c r="W74" s="242">
        <v>3500000</v>
      </c>
      <c r="X74" s="242">
        <v>3677339</v>
      </c>
      <c r="Y74" s="244">
        <f t="shared" ref="Y74:Y92" si="94">X74/W74</f>
        <v>1.0506682857142857</v>
      </c>
      <c r="Z74" s="242">
        <v>3900000</v>
      </c>
      <c r="AA74" s="242">
        <v>2599461</v>
      </c>
      <c r="AB74" s="244">
        <f t="shared" ref="AB74:AB92" si="95">AA74/Z74</f>
        <v>0.66652846153846157</v>
      </c>
      <c r="AC74" s="242">
        <v>3900000</v>
      </c>
      <c r="AD74" s="242">
        <v>2777380</v>
      </c>
      <c r="AE74" s="244">
        <f t="shared" ref="AE74:AE92" si="96">AD74/AC74</f>
        <v>0.71214871794871792</v>
      </c>
      <c r="AF74" s="242">
        <v>3200000</v>
      </c>
      <c r="AG74" s="242">
        <v>3203520</v>
      </c>
      <c r="AH74" s="244">
        <f t="shared" ref="AH74:AH92" si="97">AG74/AF74</f>
        <v>1.0011000000000001</v>
      </c>
      <c r="AI74" s="242">
        <v>3200000</v>
      </c>
      <c r="AJ74" s="242">
        <v>2466760</v>
      </c>
      <c r="AK74" s="244">
        <f t="shared" ref="AK74:AK92" si="98">AJ74/AI74</f>
        <v>0.77086250000000001</v>
      </c>
      <c r="AL74" s="243">
        <f t="shared" ref="AL74:AL91" si="99">B74+E74+H74+K74+N74+Q74+T74+W74+Z74+AC74+AF74+AI74</f>
        <v>36659000</v>
      </c>
      <c r="AM74" s="243">
        <f t="shared" ref="AM74:AM91" si="100">C74+F74+I74+L74+O74+R74+U74+X74+AA74+AD74+AG74+AJ74</f>
        <v>30305073</v>
      </c>
      <c r="AO74" s="241" t="s">
        <v>8</v>
      </c>
      <c r="AP74" s="260">
        <v>1800000</v>
      </c>
      <c r="AQ74" s="242">
        <v>2449000</v>
      </c>
      <c r="AR74" s="260">
        <v>2250000</v>
      </c>
      <c r="AS74" s="242">
        <v>2689350</v>
      </c>
      <c r="AT74" s="260">
        <v>2400000</v>
      </c>
      <c r="AU74" s="242">
        <v>2222200</v>
      </c>
      <c r="AV74" s="260">
        <v>2400000</v>
      </c>
      <c r="AW74" s="242">
        <v>1784500</v>
      </c>
      <c r="AX74" s="260">
        <v>2400000</v>
      </c>
      <c r="AY74" s="242">
        <v>2114600</v>
      </c>
      <c r="AZ74" s="260">
        <v>2500000</v>
      </c>
      <c r="BA74" s="242">
        <v>2833050</v>
      </c>
      <c r="BB74" s="260">
        <v>2500000</v>
      </c>
      <c r="BC74" s="242">
        <v>2168720</v>
      </c>
      <c r="BD74" s="260">
        <v>2200000</v>
      </c>
      <c r="BE74" s="242">
        <v>2418158</v>
      </c>
      <c r="BF74" s="260">
        <v>2500000</v>
      </c>
      <c r="BG74" s="242">
        <v>2590910</v>
      </c>
      <c r="BH74" s="242">
        <f t="shared" si="84"/>
        <v>20950000</v>
      </c>
      <c r="BI74" s="242">
        <f t="shared" si="85"/>
        <v>21270488</v>
      </c>
      <c r="BJ74" s="260">
        <v>5576550</v>
      </c>
      <c r="BK74" s="242">
        <f t="shared" si="86"/>
        <v>26847038</v>
      </c>
    </row>
    <row r="75" spans="1:79" x14ac:dyDescent="0.3">
      <c r="A75" s="241" t="s">
        <v>7</v>
      </c>
      <c r="B75" s="242">
        <v>3048000</v>
      </c>
      <c r="C75" s="242">
        <v>2125300</v>
      </c>
      <c r="D75" s="244">
        <f t="shared" si="87"/>
        <v>0.69727690288713906</v>
      </c>
      <c r="E75" s="242">
        <v>3100000</v>
      </c>
      <c r="F75" s="242">
        <v>2429264</v>
      </c>
      <c r="G75" s="244">
        <f t="shared" si="88"/>
        <v>0.78363354838709676</v>
      </c>
      <c r="H75" s="242">
        <v>3775000</v>
      </c>
      <c r="I75" s="242">
        <v>2581435</v>
      </c>
      <c r="J75" s="244">
        <f t="shared" si="89"/>
        <v>0.6838238410596027</v>
      </c>
      <c r="K75" s="242">
        <v>3300000</v>
      </c>
      <c r="L75" s="242">
        <v>2228765</v>
      </c>
      <c r="M75" s="244">
        <f t="shared" si="90"/>
        <v>0.67538333333333334</v>
      </c>
      <c r="N75" s="242">
        <v>3300000</v>
      </c>
      <c r="O75" s="242">
        <v>2117635</v>
      </c>
      <c r="P75" s="244">
        <f t="shared" si="91"/>
        <v>0.64170757575757575</v>
      </c>
      <c r="Q75" s="242">
        <v>3300000</v>
      </c>
      <c r="R75" s="242">
        <v>3001820</v>
      </c>
      <c r="S75" s="244">
        <f t="shared" si="92"/>
        <v>0.90964242424242425</v>
      </c>
      <c r="T75" s="242">
        <v>2500000</v>
      </c>
      <c r="U75" s="242">
        <v>2257944</v>
      </c>
      <c r="V75" s="244">
        <f t="shared" si="93"/>
        <v>0.90317760000000002</v>
      </c>
      <c r="W75" s="242">
        <v>2800000</v>
      </c>
      <c r="X75" s="242">
        <v>2099920</v>
      </c>
      <c r="Y75" s="244">
        <f t="shared" si="94"/>
        <v>0.74997142857142862</v>
      </c>
      <c r="Z75" s="242">
        <v>2800000</v>
      </c>
      <c r="AA75" s="242">
        <v>2446320</v>
      </c>
      <c r="AB75" s="244">
        <f t="shared" si="95"/>
        <v>0.87368571428571429</v>
      </c>
      <c r="AC75" s="242">
        <v>2800000</v>
      </c>
      <c r="AD75" s="242">
        <v>2601570</v>
      </c>
      <c r="AE75" s="244">
        <f t="shared" si="96"/>
        <v>0.92913214285714285</v>
      </c>
      <c r="AF75" s="242">
        <v>2800000</v>
      </c>
      <c r="AG75" s="242">
        <v>2836500</v>
      </c>
      <c r="AH75" s="244">
        <f t="shared" si="97"/>
        <v>1.0130357142857143</v>
      </c>
      <c r="AI75" s="242">
        <v>2800000</v>
      </c>
      <c r="AJ75" s="242">
        <v>3406130</v>
      </c>
      <c r="AK75" s="244">
        <f t="shared" si="98"/>
        <v>1.216475</v>
      </c>
      <c r="AL75" s="243">
        <f t="shared" si="99"/>
        <v>36323000</v>
      </c>
      <c r="AM75" s="243">
        <f t="shared" si="100"/>
        <v>30132603</v>
      </c>
      <c r="AO75" s="241" t="s">
        <v>7</v>
      </c>
      <c r="AP75" s="260">
        <v>1900000</v>
      </c>
      <c r="AQ75" s="242">
        <v>2564160</v>
      </c>
      <c r="AR75" s="260">
        <v>2300000</v>
      </c>
      <c r="AS75" s="242">
        <v>3785950</v>
      </c>
      <c r="AT75" s="260">
        <v>3400000</v>
      </c>
      <c r="AU75" s="242">
        <v>3359800</v>
      </c>
      <c r="AV75" s="260">
        <v>3400000</v>
      </c>
      <c r="AW75" s="242">
        <v>2851000</v>
      </c>
      <c r="AX75" s="260">
        <v>3400000</v>
      </c>
      <c r="AY75" s="242">
        <v>2439150</v>
      </c>
      <c r="AZ75" s="260">
        <v>3500000</v>
      </c>
      <c r="BA75" s="242">
        <v>2679580</v>
      </c>
      <c r="BB75" s="260">
        <v>3500000</v>
      </c>
      <c r="BC75" s="242">
        <v>3811230</v>
      </c>
      <c r="BD75" s="260">
        <v>3200000</v>
      </c>
      <c r="BE75" s="242">
        <v>2787985</v>
      </c>
      <c r="BF75" s="260">
        <v>3100000</v>
      </c>
      <c r="BG75" s="242">
        <v>3269350</v>
      </c>
      <c r="BH75" s="242">
        <f t="shared" si="84"/>
        <v>27700000</v>
      </c>
      <c r="BI75" s="242">
        <f t="shared" si="85"/>
        <v>27548205</v>
      </c>
      <c r="BJ75" s="260">
        <v>5159180</v>
      </c>
      <c r="BK75" s="242">
        <f t="shared" si="86"/>
        <v>32707385</v>
      </c>
    </row>
    <row r="76" spans="1:79" x14ac:dyDescent="0.3">
      <c r="A76" s="241" t="s">
        <v>13</v>
      </c>
      <c r="B76" s="242">
        <v>1608000</v>
      </c>
      <c r="C76" s="242">
        <v>1257940</v>
      </c>
      <c r="D76" s="244">
        <f t="shared" si="87"/>
        <v>0.7823009950248756</v>
      </c>
      <c r="E76" s="242">
        <v>1600000</v>
      </c>
      <c r="F76" s="242">
        <v>1656318</v>
      </c>
      <c r="G76" s="244">
        <f t="shared" si="88"/>
        <v>1.0351987499999999</v>
      </c>
      <c r="H76" s="242">
        <v>2025000</v>
      </c>
      <c r="I76" s="242">
        <v>1421885</v>
      </c>
      <c r="J76" s="244">
        <f t="shared" si="89"/>
        <v>0.70216543209876547</v>
      </c>
      <c r="K76" s="242">
        <v>1750000</v>
      </c>
      <c r="L76" s="242">
        <v>1926654</v>
      </c>
      <c r="M76" s="244">
        <f t="shared" si="90"/>
        <v>1.1009451428571428</v>
      </c>
      <c r="N76" s="242">
        <v>1900000</v>
      </c>
      <c r="O76" s="242">
        <v>1936080</v>
      </c>
      <c r="P76" s="244">
        <f t="shared" si="91"/>
        <v>1.0189894736842104</v>
      </c>
      <c r="Q76" s="242">
        <v>1900000</v>
      </c>
      <c r="R76" s="242">
        <v>1943570</v>
      </c>
      <c r="S76" s="244">
        <f t="shared" si="92"/>
        <v>1.0229315789473685</v>
      </c>
      <c r="T76" s="242">
        <v>2300000</v>
      </c>
      <c r="U76" s="242">
        <v>1385950</v>
      </c>
      <c r="V76" s="244">
        <f t="shared" si="93"/>
        <v>0.6025869565217391</v>
      </c>
      <c r="W76" s="242">
        <v>2300000</v>
      </c>
      <c r="X76" s="242">
        <v>2301200</v>
      </c>
      <c r="Y76" s="244">
        <f t="shared" si="94"/>
        <v>1.0005217391304349</v>
      </c>
      <c r="Z76" s="242">
        <v>2700000</v>
      </c>
      <c r="AA76" s="242">
        <v>1352850</v>
      </c>
      <c r="AB76" s="244">
        <f t="shared" si="95"/>
        <v>0.50105555555555559</v>
      </c>
      <c r="AC76" s="242">
        <v>2700000</v>
      </c>
      <c r="AD76" s="242">
        <v>2700420</v>
      </c>
      <c r="AE76" s="244">
        <f t="shared" si="96"/>
        <v>1.0001555555555555</v>
      </c>
      <c r="AF76" s="242">
        <v>2700000</v>
      </c>
      <c r="AG76" s="242">
        <v>1581080</v>
      </c>
      <c r="AH76" s="244">
        <f t="shared" si="97"/>
        <v>0.58558518518518521</v>
      </c>
      <c r="AI76" s="242">
        <v>2700000</v>
      </c>
      <c r="AJ76" s="242">
        <v>2831140</v>
      </c>
      <c r="AK76" s="244">
        <f t="shared" si="98"/>
        <v>1.0485703703703704</v>
      </c>
      <c r="AL76" s="243">
        <f t="shared" si="99"/>
        <v>26183000</v>
      </c>
      <c r="AM76" s="243">
        <f t="shared" si="100"/>
        <v>22295087</v>
      </c>
      <c r="AO76" s="241" t="s">
        <v>13</v>
      </c>
      <c r="AP76" s="260">
        <v>900000</v>
      </c>
      <c r="AQ76" s="242">
        <v>905050</v>
      </c>
      <c r="AR76" s="260">
        <v>900000</v>
      </c>
      <c r="AS76" s="242">
        <v>713200</v>
      </c>
      <c r="AT76" s="260">
        <v>700000</v>
      </c>
      <c r="AU76" s="242">
        <v>730090</v>
      </c>
      <c r="AV76" s="260">
        <v>700000</v>
      </c>
      <c r="AW76" s="242">
        <v>704610</v>
      </c>
      <c r="AX76" s="260">
        <v>700000</v>
      </c>
      <c r="AY76" s="242">
        <v>942650</v>
      </c>
      <c r="AZ76" s="260">
        <v>1000000</v>
      </c>
      <c r="BA76" s="242">
        <v>1001180</v>
      </c>
      <c r="BB76" s="260">
        <v>1000000</v>
      </c>
      <c r="BC76" s="242">
        <v>651300</v>
      </c>
      <c r="BD76" s="260">
        <v>800000</v>
      </c>
      <c r="BE76" s="242">
        <v>1070120</v>
      </c>
      <c r="BF76" s="260">
        <v>1100000</v>
      </c>
      <c r="BG76" s="242">
        <v>1323340</v>
      </c>
      <c r="BH76" s="242">
        <f t="shared" si="84"/>
        <v>7800000</v>
      </c>
      <c r="BI76" s="242">
        <f t="shared" si="85"/>
        <v>8041540</v>
      </c>
      <c r="BJ76" s="260">
        <v>2935375</v>
      </c>
      <c r="BK76" s="242">
        <f t="shared" si="86"/>
        <v>10976915</v>
      </c>
    </row>
    <row r="77" spans="1:79" x14ac:dyDescent="0.3">
      <c r="A77" s="241" t="s">
        <v>127</v>
      </c>
      <c r="B77" s="242">
        <v>5059000</v>
      </c>
      <c r="C77" s="242">
        <v>2981080</v>
      </c>
      <c r="D77" s="244">
        <f t="shared" si="87"/>
        <v>0.58926270013836723</v>
      </c>
      <c r="E77" s="242">
        <v>5100000</v>
      </c>
      <c r="F77" s="242">
        <v>5027424</v>
      </c>
      <c r="G77" s="244">
        <f t="shared" si="88"/>
        <v>0.98576941176470589</v>
      </c>
      <c r="H77" s="242">
        <v>6048000</v>
      </c>
      <c r="I77" s="242">
        <v>3916295</v>
      </c>
      <c r="J77" s="244">
        <f t="shared" si="89"/>
        <v>0.64753554894179899</v>
      </c>
      <c r="K77" s="242">
        <v>5450000</v>
      </c>
      <c r="L77" s="242">
        <v>4278935</v>
      </c>
      <c r="M77" s="244">
        <f t="shared" si="90"/>
        <v>0.78512568807339445</v>
      </c>
      <c r="N77" s="242">
        <v>5450000</v>
      </c>
      <c r="O77" s="242">
        <v>4257720</v>
      </c>
      <c r="P77" s="244">
        <f t="shared" si="91"/>
        <v>0.78123302752293577</v>
      </c>
      <c r="Q77" s="242">
        <v>5450000</v>
      </c>
      <c r="R77" s="242">
        <v>4275750</v>
      </c>
      <c r="S77" s="244">
        <f t="shared" si="92"/>
        <v>0.78454128440366977</v>
      </c>
      <c r="T77" s="242">
        <v>4800000</v>
      </c>
      <c r="U77" s="242">
        <v>4122580</v>
      </c>
      <c r="V77" s="244">
        <f t="shared" si="93"/>
        <v>0.85887083333333336</v>
      </c>
      <c r="W77" s="242">
        <v>5100000</v>
      </c>
      <c r="X77" s="242">
        <v>4094742</v>
      </c>
      <c r="Y77" s="244">
        <f t="shared" si="94"/>
        <v>0.80289058823529413</v>
      </c>
      <c r="Z77" s="242">
        <v>5200000</v>
      </c>
      <c r="AA77" s="242">
        <v>4387219</v>
      </c>
      <c r="AB77" s="244">
        <f t="shared" si="95"/>
        <v>0.84369596153846149</v>
      </c>
      <c r="AC77" s="242">
        <v>5200000</v>
      </c>
      <c r="AD77" s="242">
        <v>3952711</v>
      </c>
      <c r="AE77" s="244">
        <f t="shared" si="96"/>
        <v>0.76013673076923072</v>
      </c>
      <c r="AF77" s="242">
        <v>4500000</v>
      </c>
      <c r="AG77" s="242">
        <v>3538981</v>
      </c>
      <c r="AH77" s="244">
        <f t="shared" si="97"/>
        <v>0.78644022222222221</v>
      </c>
      <c r="AI77" s="242">
        <v>4500000</v>
      </c>
      <c r="AJ77" s="242">
        <v>4903100</v>
      </c>
      <c r="AK77" s="244">
        <f t="shared" si="98"/>
        <v>1.0895777777777778</v>
      </c>
      <c r="AL77" s="243">
        <f t="shared" si="99"/>
        <v>61857000</v>
      </c>
      <c r="AM77" s="243">
        <f t="shared" si="100"/>
        <v>49736537</v>
      </c>
      <c r="AO77" s="241" t="s">
        <v>127</v>
      </c>
      <c r="AP77" s="260">
        <v>3750000</v>
      </c>
      <c r="AQ77" s="242">
        <v>5123670</v>
      </c>
      <c r="AR77" s="260">
        <v>4700000</v>
      </c>
      <c r="AS77" s="242">
        <v>5848540</v>
      </c>
      <c r="AT77" s="260">
        <v>5500000</v>
      </c>
      <c r="AU77" s="242">
        <v>5546200</v>
      </c>
      <c r="AV77" s="260">
        <v>5500000</v>
      </c>
      <c r="AW77" s="242">
        <v>5013170</v>
      </c>
      <c r="AX77" s="260">
        <v>5500000</v>
      </c>
      <c r="AY77" s="242">
        <v>5823990</v>
      </c>
      <c r="AZ77" s="260">
        <v>5800000</v>
      </c>
      <c r="BA77" s="242">
        <v>5644480</v>
      </c>
      <c r="BB77" s="260">
        <v>5800000</v>
      </c>
      <c r="BC77" s="242">
        <v>6235590</v>
      </c>
      <c r="BD77" s="260">
        <v>6000000</v>
      </c>
      <c r="BE77" s="242">
        <v>6016840</v>
      </c>
      <c r="BF77" s="260">
        <v>6100000</v>
      </c>
      <c r="BG77" s="242">
        <v>3262585</v>
      </c>
      <c r="BH77" s="242">
        <f t="shared" si="84"/>
        <v>48650000</v>
      </c>
      <c r="BI77" s="242">
        <f t="shared" si="85"/>
        <v>48515065</v>
      </c>
      <c r="BJ77" s="260">
        <v>11174770</v>
      </c>
      <c r="BK77" s="242">
        <f t="shared" si="86"/>
        <v>59689835</v>
      </c>
    </row>
    <row r="78" spans="1:79" x14ac:dyDescent="0.3">
      <c r="A78" s="241" t="s">
        <v>3</v>
      </c>
      <c r="B78" s="242">
        <v>6276000</v>
      </c>
      <c r="C78" s="242">
        <v>4938863</v>
      </c>
      <c r="D78" s="244">
        <f t="shared" si="87"/>
        <v>0.78694439133205862</v>
      </c>
      <c r="E78" s="242">
        <v>6300000</v>
      </c>
      <c r="F78" s="242">
        <v>6513200</v>
      </c>
      <c r="G78" s="244">
        <f t="shared" si="88"/>
        <v>1.0338412698412698</v>
      </c>
      <c r="H78" s="242">
        <v>5946000</v>
      </c>
      <c r="I78" s="242">
        <v>6033388</v>
      </c>
      <c r="J78" s="244">
        <f t="shared" si="89"/>
        <v>1.0146969391187353</v>
      </c>
      <c r="K78" s="242">
        <v>6800000</v>
      </c>
      <c r="L78" s="242">
        <v>4912577</v>
      </c>
      <c r="M78" s="244">
        <f t="shared" si="90"/>
        <v>0.72243779411764708</v>
      </c>
      <c r="N78" s="242">
        <v>6800000</v>
      </c>
      <c r="O78" s="242">
        <v>6856478</v>
      </c>
      <c r="P78" s="244">
        <f t="shared" si="91"/>
        <v>1.008305588235294</v>
      </c>
      <c r="Q78" s="242">
        <v>6800000</v>
      </c>
      <c r="R78" s="242">
        <v>4811295</v>
      </c>
      <c r="S78" s="244">
        <f t="shared" si="92"/>
        <v>0.70754338235294123</v>
      </c>
      <c r="T78" s="242">
        <v>7900000</v>
      </c>
      <c r="U78" s="242">
        <v>4460643</v>
      </c>
      <c r="V78" s="244">
        <f t="shared" si="93"/>
        <v>0.5646383544303798</v>
      </c>
      <c r="W78" s="242">
        <v>7900000</v>
      </c>
      <c r="X78" s="242">
        <v>5083680</v>
      </c>
      <c r="Y78" s="244">
        <f t="shared" si="94"/>
        <v>0.6435037974683544</v>
      </c>
      <c r="Z78" s="242">
        <v>6500000</v>
      </c>
      <c r="AA78" s="242">
        <v>6073707</v>
      </c>
      <c r="AB78" s="244">
        <f t="shared" si="95"/>
        <v>0.93441646153846158</v>
      </c>
      <c r="AC78" s="242">
        <v>6500000</v>
      </c>
      <c r="AD78" s="242">
        <v>4584291</v>
      </c>
      <c r="AE78" s="244">
        <f t="shared" si="96"/>
        <v>0.70527553846153845</v>
      </c>
      <c r="AF78" s="242">
        <v>6000000</v>
      </c>
      <c r="AG78" s="242">
        <v>3872070</v>
      </c>
      <c r="AH78" s="244">
        <f t="shared" si="97"/>
        <v>0.64534499999999995</v>
      </c>
      <c r="AI78" s="242">
        <v>6000000</v>
      </c>
      <c r="AJ78" s="242">
        <v>4019501</v>
      </c>
      <c r="AK78" s="244">
        <f t="shared" si="98"/>
        <v>0.66991683333333329</v>
      </c>
      <c r="AL78" s="243">
        <f t="shared" si="99"/>
        <v>79722000</v>
      </c>
      <c r="AM78" s="243">
        <f t="shared" si="100"/>
        <v>62159693</v>
      </c>
      <c r="AO78" s="241" t="s">
        <v>3</v>
      </c>
      <c r="AP78" s="260">
        <v>5000000</v>
      </c>
      <c r="AQ78" s="242">
        <v>7041895</v>
      </c>
      <c r="AR78" s="260">
        <v>6600000</v>
      </c>
      <c r="AS78" s="242">
        <v>6958480</v>
      </c>
      <c r="AT78" s="260">
        <v>6600000</v>
      </c>
      <c r="AU78" s="242">
        <v>5857190</v>
      </c>
      <c r="AV78" s="260">
        <v>6500000</v>
      </c>
      <c r="AW78" s="242">
        <v>6833565</v>
      </c>
      <c r="AX78" s="260">
        <v>6500000</v>
      </c>
      <c r="AY78" s="242">
        <v>6009660</v>
      </c>
      <c r="AZ78" s="260">
        <v>6600000</v>
      </c>
      <c r="BA78" s="242">
        <v>7074580</v>
      </c>
      <c r="BB78" s="260">
        <v>6700000</v>
      </c>
      <c r="BC78" s="242">
        <v>7557925</v>
      </c>
      <c r="BD78" s="260">
        <v>7200000</v>
      </c>
      <c r="BE78" s="242">
        <v>7730930</v>
      </c>
      <c r="BF78" s="260">
        <v>7400000</v>
      </c>
      <c r="BG78" s="242">
        <v>5825415</v>
      </c>
      <c r="BH78" s="242">
        <f t="shared" si="84"/>
        <v>59100000</v>
      </c>
      <c r="BI78" s="242">
        <f t="shared" si="85"/>
        <v>60889640</v>
      </c>
      <c r="BJ78" s="260">
        <v>12304693</v>
      </c>
      <c r="BK78" s="242">
        <f t="shared" si="86"/>
        <v>73194333</v>
      </c>
    </row>
    <row r="79" spans="1:79" x14ac:dyDescent="0.3">
      <c r="A79" s="241" t="s">
        <v>128</v>
      </c>
      <c r="B79" s="242">
        <v>7830000</v>
      </c>
      <c r="C79" s="242">
        <v>5699760</v>
      </c>
      <c r="D79" s="244">
        <f t="shared" si="87"/>
        <v>0.72793869731800764</v>
      </c>
      <c r="E79" s="242">
        <v>7900000</v>
      </c>
      <c r="F79" s="242">
        <v>6697359</v>
      </c>
      <c r="G79" s="244">
        <f t="shared" si="88"/>
        <v>0.84776696202531643</v>
      </c>
      <c r="H79" s="242">
        <v>7065000</v>
      </c>
      <c r="I79" s="242">
        <v>4671503</v>
      </c>
      <c r="J79" s="244">
        <f t="shared" si="89"/>
        <v>0.66121769285208776</v>
      </c>
      <c r="K79" s="242">
        <v>7700000</v>
      </c>
      <c r="L79" s="242">
        <v>6299655</v>
      </c>
      <c r="M79" s="244">
        <f t="shared" si="90"/>
        <v>0.81813701298701302</v>
      </c>
      <c r="N79" s="242">
        <v>7700000</v>
      </c>
      <c r="O79" s="242">
        <v>6709843</v>
      </c>
      <c r="P79" s="244">
        <f t="shared" si="91"/>
        <v>0.8714081818181818</v>
      </c>
      <c r="Q79" s="242">
        <v>7700000</v>
      </c>
      <c r="R79" s="242">
        <v>5849183</v>
      </c>
      <c r="S79" s="244">
        <f t="shared" si="92"/>
        <v>0.75963415584415583</v>
      </c>
      <c r="T79" s="242">
        <v>7800000</v>
      </c>
      <c r="U79" s="242">
        <v>5643765</v>
      </c>
      <c r="V79" s="244">
        <f t="shared" si="93"/>
        <v>0.72355961538461544</v>
      </c>
      <c r="W79" s="242">
        <v>7800000</v>
      </c>
      <c r="X79" s="242">
        <v>5682566</v>
      </c>
      <c r="Y79" s="244">
        <f t="shared" si="94"/>
        <v>0.72853410256410256</v>
      </c>
      <c r="Z79" s="242">
        <v>6800000</v>
      </c>
      <c r="AA79" s="242">
        <v>7129145</v>
      </c>
      <c r="AB79" s="244">
        <f t="shared" si="95"/>
        <v>1.0484036764705882</v>
      </c>
      <c r="AC79" s="242">
        <v>6800000</v>
      </c>
      <c r="AD79" s="242">
        <v>7005961</v>
      </c>
      <c r="AE79" s="244">
        <f t="shared" si="96"/>
        <v>1.0302883823529412</v>
      </c>
      <c r="AF79" s="242">
        <v>6800000</v>
      </c>
      <c r="AG79" s="242">
        <v>3258930</v>
      </c>
      <c r="AH79" s="244">
        <f t="shared" si="97"/>
        <v>0.4792544117647059</v>
      </c>
      <c r="AI79" s="242">
        <v>6800000</v>
      </c>
      <c r="AJ79" s="242">
        <v>7231320</v>
      </c>
      <c r="AK79" s="244">
        <f t="shared" si="98"/>
        <v>1.0634294117647058</v>
      </c>
      <c r="AL79" s="243">
        <f t="shared" si="99"/>
        <v>88695000</v>
      </c>
      <c r="AM79" s="243">
        <f t="shared" si="100"/>
        <v>71878990</v>
      </c>
      <c r="AO79" s="241" t="s">
        <v>128</v>
      </c>
      <c r="AP79" s="260">
        <v>7700000</v>
      </c>
      <c r="AQ79" s="242">
        <v>8327160</v>
      </c>
      <c r="AR79" s="260">
        <v>7800000</v>
      </c>
      <c r="AS79" s="242">
        <v>7944119</v>
      </c>
      <c r="AT79" s="260">
        <v>7800000</v>
      </c>
      <c r="AU79" s="242">
        <v>7399280</v>
      </c>
      <c r="AV79" s="260">
        <v>7500000</v>
      </c>
      <c r="AW79" s="242">
        <v>7652417</v>
      </c>
      <c r="AX79" s="260">
        <v>7500000</v>
      </c>
      <c r="AY79" s="242">
        <v>7695630</v>
      </c>
      <c r="AZ79" s="260">
        <v>8000000</v>
      </c>
      <c r="BA79" s="242">
        <v>6700473</v>
      </c>
      <c r="BB79" s="260">
        <v>8000000</v>
      </c>
      <c r="BC79" s="242">
        <v>8207835</v>
      </c>
      <c r="BD79" s="260">
        <v>8000000</v>
      </c>
      <c r="BE79" s="242">
        <v>7208611</v>
      </c>
      <c r="BF79" s="260">
        <v>8300000</v>
      </c>
      <c r="BG79" s="242">
        <v>8563808</v>
      </c>
      <c r="BH79" s="242">
        <f t="shared" si="84"/>
        <v>70600000</v>
      </c>
      <c r="BI79" s="242">
        <f t="shared" si="85"/>
        <v>69699333</v>
      </c>
      <c r="BJ79" s="260">
        <v>20923251</v>
      </c>
      <c r="BK79" s="242">
        <f t="shared" si="86"/>
        <v>90622584</v>
      </c>
    </row>
    <row r="80" spans="1:79" x14ac:dyDescent="0.3">
      <c r="A80" s="241" t="s">
        <v>10</v>
      </c>
      <c r="B80" s="242">
        <v>1670000</v>
      </c>
      <c r="C80" s="242">
        <v>1154530</v>
      </c>
      <c r="D80" s="244">
        <f t="shared" si="87"/>
        <v>0.69133532934131736</v>
      </c>
      <c r="E80" s="242">
        <v>1700000</v>
      </c>
      <c r="F80" s="242">
        <v>1260075</v>
      </c>
      <c r="G80" s="244">
        <f t="shared" si="88"/>
        <v>0.74122058823529413</v>
      </c>
      <c r="H80" s="242">
        <v>2950000</v>
      </c>
      <c r="I80" s="242">
        <v>1406315</v>
      </c>
      <c r="J80" s="244">
        <f t="shared" si="89"/>
        <v>0.47671694915254237</v>
      </c>
      <c r="K80" s="242">
        <v>1800000</v>
      </c>
      <c r="L80" s="242">
        <v>1730005</v>
      </c>
      <c r="M80" s="244">
        <f t="shared" si="90"/>
        <v>0.96111388888888893</v>
      </c>
      <c r="N80" s="242">
        <v>2000000</v>
      </c>
      <c r="O80" s="242">
        <v>2021150</v>
      </c>
      <c r="P80" s="244">
        <f t="shared" si="91"/>
        <v>1.010575</v>
      </c>
      <c r="Q80" s="242">
        <v>2000000</v>
      </c>
      <c r="R80" s="242">
        <v>1187080</v>
      </c>
      <c r="S80" s="244">
        <f t="shared" si="92"/>
        <v>0.59353999999999996</v>
      </c>
      <c r="T80" s="242">
        <v>2400000</v>
      </c>
      <c r="U80" s="242">
        <v>1535080</v>
      </c>
      <c r="V80" s="244">
        <f t="shared" si="93"/>
        <v>0.63961666666666661</v>
      </c>
      <c r="W80" s="242">
        <v>2400000</v>
      </c>
      <c r="X80" s="242">
        <v>2409940</v>
      </c>
      <c r="Y80" s="244">
        <f t="shared" si="94"/>
        <v>1.0041416666666667</v>
      </c>
      <c r="Z80" s="242">
        <v>2900000</v>
      </c>
      <c r="AA80" s="242">
        <v>2088661</v>
      </c>
      <c r="AB80" s="244">
        <f t="shared" si="95"/>
        <v>0.72022793103448279</v>
      </c>
      <c r="AC80" s="242">
        <v>2400000</v>
      </c>
      <c r="AD80" s="242">
        <v>2406121</v>
      </c>
      <c r="AE80" s="244">
        <f t="shared" si="96"/>
        <v>1.0025504166666668</v>
      </c>
      <c r="AF80" s="242">
        <v>2400000</v>
      </c>
      <c r="AG80" s="242">
        <v>2444921</v>
      </c>
      <c r="AH80" s="244">
        <f t="shared" si="97"/>
        <v>1.0187170833333334</v>
      </c>
      <c r="AI80" s="242">
        <v>2400000</v>
      </c>
      <c r="AJ80" s="242">
        <v>2403640</v>
      </c>
      <c r="AK80" s="244">
        <f t="shared" si="98"/>
        <v>1.0015166666666666</v>
      </c>
      <c r="AL80" s="243">
        <f t="shared" si="99"/>
        <v>27020000</v>
      </c>
      <c r="AM80" s="243">
        <f t="shared" si="100"/>
        <v>22047518</v>
      </c>
      <c r="AO80" s="241" t="s">
        <v>10</v>
      </c>
      <c r="AP80" s="260">
        <v>1950000</v>
      </c>
      <c r="AQ80" s="242">
        <v>1265530</v>
      </c>
      <c r="AR80" s="260">
        <v>1500000</v>
      </c>
      <c r="AS80" s="242">
        <v>2382600</v>
      </c>
      <c r="AT80" s="260">
        <v>2400000</v>
      </c>
      <c r="AU80" s="242">
        <v>1261120</v>
      </c>
      <c r="AV80" s="260">
        <v>2000000</v>
      </c>
      <c r="AW80" s="242">
        <v>1162610</v>
      </c>
      <c r="AX80" s="260">
        <v>2000000</v>
      </c>
      <c r="AY80" s="242">
        <v>725690</v>
      </c>
      <c r="AZ80" s="260">
        <v>1200000</v>
      </c>
      <c r="BA80" s="242">
        <v>1243960</v>
      </c>
      <c r="BB80" s="260">
        <v>1200000</v>
      </c>
      <c r="BC80" s="242">
        <v>1585880</v>
      </c>
      <c r="BD80" s="260">
        <v>1400000</v>
      </c>
      <c r="BE80" s="242">
        <v>1460100</v>
      </c>
      <c r="BF80" s="260">
        <v>1500000</v>
      </c>
      <c r="BG80" s="242">
        <v>1367520</v>
      </c>
      <c r="BH80" s="242">
        <f t="shared" si="84"/>
        <v>15150000</v>
      </c>
      <c r="BI80" s="242">
        <f t="shared" si="85"/>
        <v>12455010</v>
      </c>
      <c r="BJ80" s="260">
        <v>5543210</v>
      </c>
      <c r="BK80" s="242">
        <f t="shared" si="86"/>
        <v>17998220</v>
      </c>
    </row>
    <row r="81" spans="1:63" x14ac:dyDescent="0.3">
      <c r="A81" s="241" t="s">
        <v>11</v>
      </c>
      <c r="B81" s="242">
        <v>4694000</v>
      </c>
      <c r="C81" s="242">
        <v>4714150</v>
      </c>
      <c r="D81" s="244">
        <f t="shared" si="87"/>
        <v>1.0042927141031104</v>
      </c>
      <c r="E81" s="242">
        <v>4700000</v>
      </c>
      <c r="F81" s="242">
        <v>3873718</v>
      </c>
      <c r="G81" s="244">
        <f t="shared" si="88"/>
        <v>0.82419531914893618</v>
      </c>
      <c r="H81" s="242">
        <v>4100000</v>
      </c>
      <c r="I81" s="242">
        <v>4104315</v>
      </c>
      <c r="J81" s="244">
        <f t="shared" si="89"/>
        <v>1.0010524390243902</v>
      </c>
      <c r="K81" s="242">
        <v>4850000</v>
      </c>
      <c r="L81" s="242">
        <v>3869765</v>
      </c>
      <c r="M81" s="244">
        <f t="shared" si="90"/>
        <v>0.7978896907216495</v>
      </c>
      <c r="N81" s="242">
        <v>4850000</v>
      </c>
      <c r="O81" s="242">
        <v>3527995</v>
      </c>
      <c r="P81" s="244">
        <f t="shared" si="91"/>
        <v>0.72742164948453614</v>
      </c>
      <c r="Q81" s="242">
        <v>4850000</v>
      </c>
      <c r="R81" s="242">
        <v>4152370</v>
      </c>
      <c r="S81" s="244">
        <f t="shared" si="92"/>
        <v>0.85615876288659798</v>
      </c>
      <c r="T81" s="242">
        <v>4000000</v>
      </c>
      <c r="U81" s="242">
        <v>2811367</v>
      </c>
      <c r="V81" s="244">
        <f t="shared" si="93"/>
        <v>0.70284175000000004</v>
      </c>
      <c r="W81" s="242">
        <v>4100000</v>
      </c>
      <c r="X81" s="242">
        <v>2616760</v>
      </c>
      <c r="Y81" s="244">
        <f t="shared" si="94"/>
        <v>0.63823414634146336</v>
      </c>
      <c r="Z81" s="242">
        <v>4100000</v>
      </c>
      <c r="AA81" s="242">
        <v>3757151</v>
      </c>
      <c r="AB81" s="244">
        <f t="shared" si="95"/>
        <v>0.91637829268292681</v>
      </c>
      <c r="AC81" s="242">
        <v>4100000</v>
      </c>
      <c r="AD81" s="242">
        <v>4105780</v>
      </c>
      <c r="AE81" s="244">
        <f t="shared" si="96"/>
        <v>1.001409756097561</v>
      </c>
      <c r="AF81" s="242">
        <v>4100000</v>
      </c>
      <c r="AG81" s="242">
        <v>4180910</v>
      </c>
      <c r="AH81" s="244">
        <f t="shared" si="97"/>
        <v>1.0197341463414633</v>
      </c>
      <c r="AI81" s="242">
        <v>4100000</v>
      </c>
      <c r="AJ81" s="242">
        <v>4110798</v>
      </c>
      <c r="AK81" s="244">
        <f t="shared" si="98"/>
        <v>1.0026336585365854</v>
      </c>
      <c r="AL81" s="243">
        <f t="shared" si="99"/>
        <v>52544000</v>
      </c>
      <c r="AM81" s="243">
        <f t="shared" si="100"/>
        <v>45825079</v>
      </c>
      <c r="AO81" s="241" t="s">
        <v>11</v>
      </c>
      <c r="AP81" s="260">
        <v>2250000</v>
      </c>
      <c r="AQ81" s="242">
        <v>2665650</v>
      </c>
      <c r="AR81" s="260">
        <v>2500000</v>
      </c>
      <c r="AS81" s="242">
        <v>3223050</v>
      </c>
      <c r="AT81" s="260">
        <v>2700000</v>
      </c>
      <c r="AU81" s="242">
        <v>3086750</v>
      </c>
      <c r="AV81" s="260">
        <v>3000000</v>
      </c>
      <c r="AW81" s="242">
        <v>3240250</v>
      </c>
      <c r="AX81" s="260">
        <v>3000000</v>
      </c>
      <c r="AY81" s="242">
        <v>3584050</v>
      </c>
      <c r="AZ81" s="260">
        <v>3600000</v>
      </c>
      <c r="BA81" s="242">
        <v>4378550</v>
      </c>
      <c r="BB81" s="260">
        <v>4000000</v>
      </c>
      <c r="BC81" s="242">
        <v>4001320</v>
      </c>
      <c r="BD81" s="260">
        <v>4000000</v>
      </c>
      <c r="BE81" s="242">
        <v>4017495</v>
      </c>
      <c r="BF81" s="260">
        <v>4300000</v>
      </c>
      <c r="BG81" s="242">
        <v>4353340</v>
      </c>
      <c r="BH81" s="242">
        <f t="shared" si="84"/>
        <v>29350000</v>
      </c>
      <c r="BI81" s="242">
        <f t="shared" si="85"/>
        <v>32550455</v>
      </c>
      <c r="BJ81" s="260">
        <v>5814948</v>
      </c>
      <c r="BK81" s="242">
        <f t="shared" si="86"/>
        <v>38365403</v>
      </c>
    </row>
    <row r="82" spans="1:63" x14ac:dyDescent="0.3">
      <c r="A82" s="241" t="s">
        <v>5</v>
      </c>
      <c r="B82" s="242">
        <v>3790000</v>
      </c>
      <c r="C82" s="242">
        <v>3425680</v>
      </c>
      <c r="D82" s="244">
        <f t="shared" si="87"/>
        <v>0.90387335092348287</v>
      </c>
      <c r="E82" s="242">
        <v>3790000</v>
      </c>
      <c r="F82" s="242">
        <v>3149474</v>
      </c>
      <c r="G82" s="244">
        <f t="shared" si="88"/>
        <v>0.83099577836411609</v>
      </c>
      <c r="H82" s="242">
        <v>3945000</v>
      </c>
      <c r="I82" s="242">
        <v>2939660</v>
      </c>
      <c r="J82" s="244">
        <f t="shared" si="89"/>
        <v>0.74516096324461345</v>
      </c>
      <c r="K82" s="242">
        <v>3800000</v>
      </c>
      <c r="L82" s="242">
        <v>3112190</v>
      </c>
      <c r="M82" s="244">
        <f t="shared" si="90"/>
        <v>0.81899736842105264</v>
      </c>
      <c r="N82" s="242">
        <v>3800000</v>
      </c>
      <c r="O82" s="242">
        <v>3376601</v>
      </c>
      <c r="P82" s="244">
        <f t="shared" si="91"/>
        <v>0.88857921052631583</v>
      </c>
      <c r="Q82" s="242">
        <v>3800000</v>
      </c>
      <c r="R82" s="242">
        <v>3611010</v>
      </c>
      <c r="S82" s="244">
        <f t="shared" si="92"/>
        <v>0.95026578947368423</v>
      </c>
      <c r="T82" s="242">
        <v>3800000</v>
      </c>
      <c r="U82" s="242">
        <v>4695164</v>
      </c>
      <c r="V82" s="244">
        <f t="shared" si="93"/>
        <v>1.2355694736842104</v>
      </c>
      <c r="W82" s="242">
        <v>4500000</v>
      </c>
      <c r="X82" s="242">
        <v>4500338</v>
      </c>
      <c r="Y82" s="244">
        <f t="shared" si="94"/>
        <v>1.000075111111111</v>
      </c>
      <c r="Z82" s="242">
        <v>4900000</v>
      </c>
      <c r="AA82" s="242">
        <v>4298211</v>
      </c>
      <c r="AB82" s="244">
        <f t="shared" si="95"/>
        <v>0.87718591836734694</v>
      </c>
      <c r="AC82" s="242">
        <v>4900000</v>
      </c>
      <c r="AD82" s="242">
        <v>3973885</v>
      </c>
      <c r="AE82" s="244">
        <f t="shared" si="96"/>
        <v>0.81099693877551016</v>
      </c>
      <c r="AF82" s="242">
        <v>4900000</v>
      </c>
      <c r="AG82" s="242">
        <v>3870920</v>
      </c>
      <c r="AH82" s="244">
        <f t="shared" si="97"/>
        <v>0.7899836734693878</v>
      </c>
      <c r="AI82" s="242">
        <v>4900000</v>
      </c>
      <c r="AJ82" s="242">
        <v>4945427</v>
      </c>
      <c r="AK82" s="244">
        <f t="shared" si="98"/>
        <v>1.0092708163265307</v>
      </c>
      <c r="AL82" s="243">
        <f t="shared" si="99"/>
        <v>50825000</v>
      </c>
      <c r="AM82" s="243">
        <f t="shared" si="100"/>
        <v>45898560</v>
      </c>
      <c r="AO82" s="241" t="s">
        <v>5</v>
      </c>
      <c r="AP82" s="260">
        <v>2500000</v>
      </c>
      <c r="AQ82" s="242">
        <v>3809495</v>
      </c>
      <c r="AR82" s="260">
        <v>3000000</v>
      </c>
      <c r="AS82" s="242">
        <v>3683779</v>
      </c>
      <c r="AT82" s="260">
        <v>3000000</v>
      </c>
      <c r="AU82" s="242">
        <v>3311677</v>
      </c>
      <c r="AV82" s="260">
        <v>3000000</v>
      </c>
      <c r="AW82" s="242">
        <v>3007230</v>
      </c>
      <c r="AX82" s="260">
        <v>3000000</v>
      </c>
      <c r="AY82" s="242">
        <v>2897160</v>
      </c>
      <c r="AZ82" s="260">
        <v>3200000</v>
      </c>
      <c r="BA82" s="242">
        <v>2898138</v>
      </c>
      <c r="BB82" s="260">
        <v>3200000</v>
      </c>
      <c r="BC82" s="242">
        <v>4009360</v>
      </c>
      <c r="BD82" s="260">
        <v>3400000</v>
      </c>
      <c r="BE82" s="242">
        <v>3461185</v>
      </c>
      <c r="BF82" s="260">
        <v>3200000</v>
      </c>
      <c r="BG82" s="242">
        <v>3428815</v>
      </c>
      <c r="BH82" s="242">
        <f t="shared" si="84"/>
        <v>27500000</v>
      </c>
      <c r="BI82" s="242">
        <f t="shared" si="85"/>
        <v>30506839</v>
      </c>
      <c r="BJ82" s="260">
        <v>7879530</v>
      </c>
      <c r="BK82" s="242">
        <f t="shared" si="86"/>
        <v>38386369</v>
      </c>
    </row>
    <row r="83" spans="1:63" x14ac:dyDescent="0.3">
      <c r="A83" s="241" t="s">
        <v>23</v>
      </c>
      <c r="B83" s="242">
        <v>3024000</v>
      </c>
      <c r="C83" s="242">
        <v>3090128</v>
      </c>
      <c r="D83" s="244">
        <f t="shared" si="87"/>
        <v>1.0218677248677248</v>
      </c>
      <c r="E83" s="242">
        <v>3200000</v>
      </c>
      <c r="F83" s="242">
        <v>3569555</v>
      </c>
      <c r="G83" s="244">
        <f t="shared" si="88"/>
        <v>1.1154859374999999</v>
      </c>
      <c r="H83" s="242">
        <v>3942000</v>
      </c>
      <c r="I83" s="242">
        <v>3378240</v>
      </c>
      <c r="J83" s="244">
        <f t="shared" si="89"/>
        <v>0.85698630136986298</v>
      </c>
      <c r="K83" s="242">
        <v>4200000</v>
      </c>
      <c r="L83" s="242">
        <v>2778020</v>
      </c>
      <c r="M83" s="244">
        <f t="shared" si="90"/>
        <v>0.66143333333333332</v>
      </c>
      <c r="N83" s="242">
        <v>4200000</v>
      </c>
      <c r="O83" s="242">
        <v>3347845</v>
      </c>
      <c r="P83" s="244">
        <f t="shared" si="91"/>
        <v>0.79710595238095239</v>
      </c>
      <c r="Q83" s="242">
        <v>4200000</v>
      </c>
      <c r="R83" s="242">
        <v>4243670</v>
      </c>
      <c r="S83" s="244">
        <f t="shared" si="92"/>
        <v>1.0103976190476192</v>
      </c>
      <c r="T83" s="242">
        <v>3800000</v>
      </c>
      <c r="U83" s="242">
        <v>3808680</v>
      </c>
      <c r="V83" s="244">
        <f t="shared" si="93"/>
        <v>1.0022842105263159</v>
      </c>
      <c r="W83" s="242">
        <v>4200000</v>
      </c>
      <c r="X83" s="242">
        <v>4208070</v>
      </c>
      <c r="Y83" s="244">
        <f t="shared" si="94"/>
        <v>1.0019214285714286</v>
      </c>
      <c r="Z83" s="242">
        <v>4500000</v>
      </c>
      <c r="AA83" s="242">
        <v>4073980</v>
      </c>
      <c r="AB83" s="244">
        <f t="shared" si="95"/>
        <v>0.90532888888888885</v>
      </c>
      <c r="AC83" s="242">
        <v>4500000</v>
      </c>
      <c r="AD83" s="242">
        <v>3777580</v>
      </c>
      <c r="AE83" s="244">
        <f t="shared" si="96"/>
        <v>0.83946222222222222</v>
      </c>
      <c r="AF83" s="242">
        <v>4500000</v>
      </c>
      <c r="AG83" s="242">
        <v>4500960</v>
      </c>
      <c r="AH83" s="244">
        <f t="shared" si="97"/>
        <v>1.0002133333333334</v>
      </c>
      <c r="AI83" s="242">
        <v>4500000</v>
      </c>
      <c r="AJ83" s="242">
        <v>4523160</v>
      </c>
      <c r="AK83" s="244">
        <f t="shared" si="98"/>
        <v>1.0051466666666666</v>
      </c>
      <c r="AL83" s="243">
        <f t="shared" si="99"/>
        <v>48766000</v>
      </c>
      <c r="AM83" s="243">
        <f t="shared" si="100"/>
        <v>45299888</v>
      </c>
      <c r="AO83" s="241" t="s">
        <v>23</v>
      </c>
      <c r="AP83" s="260" t="s">
        <v>88</v>
      </c>
      <c r="AQ83" s="242">
        <v>0</v>
      </c>
      <c r="AR83" s="260" t="s">
        <v>88</v>
      </c>
      <c r="AS83" s="242">
        <v>1281600</v>
      </c>
      <c r="AT83" s="260">
        <v>1500000</v>
      </c>
      <c r="AU83" s="242">
        <v>1303600</v>
      </c>
      <c r="AV83" s="260">
        <v>1500000</v>
      </c>
      <c r="AW83" s="242">
        <v>1629200</v>
      </c>
      <c r="AX83" s="260">
        <v>1500000</v>
      </c>
      <c r="AY83" s="242">
        <v>1589700</v>
      </c>
      <c r="AZ83" s="260">
        <v>1800000</v>
      </c>
      <c r="BA83" s="242">
        <v>1912440</v>
      </c>
      <c r="BB83" s="260">
        <v>1800000</v>
      </c>
      <c r="BC83" s="242">
        <v>2212380</v>
      </c>
      <c r="BD83" s="260">
        <v>1900000</v>
      </c>
      <c r="BE83" s="242">
        <v>2987367</v>
      </c>
      <c r="BF83" s="260">
        <v>2500000</v>
      </c>
      <c r="BG83" s="242">
        <v>3217625</v>
      </c>
      <c r="BH83" s="242">
        <f>AS83+AT83+AV83+AX83+AZ83+BB83+BD83+BF83</f>
        <v>13781600</v>
      </c>
      <c r="BI83" s="242">
        <f>AT83+AU83+AW83+AY83+BA83+BC83+BE83+BG83</f>
        <v>16352312</v>
      </c>
      <c r="BJ83" s="260">
        <v>0</v>
      </c>
      <c r="BK83" s="242">
        <f t="shared" si="86"/>
        <v>16352312</v>
      </c>
    </row>
    <row r="84" spans="1:63" x14ac:dyDescent="0.3">
      <c r="A84" s="241" t="s">
        <v>129</v>
      </c>
      <c r="B84" s="242">
        <v>7535000</v>
      </c>
      <c r="C84" s="242">
        <v>4616990</v>
      </c>
      <c r="D84" s="244">
        <f t="shared" si="87"/>
        <v>0.6127392169873922</v>
      </c>
      <c r="E84" s="242">
        <v>7500000</v>
      </c>
      <c r="F84" s="242">
        <v>5394155</v>
      </c>
      <c r="G84" s="244">
        <f t="shared" si="88"/>
        <v>0.71922066666666662</v>
      </c>
      <c r="H84" s="242">
        <v>8473000</v>
      </c>
      <c r="I84" s="242">
        <v>4808915</v>
      </c>
      <c r="J84" s="244">
        <f t="shared" si="89"/>
        <v>0.56755753570164047</v>
      </c>
      <c r="K84" s="242">
        <v>7600000</v>
      </c>
      <c r="L84" s="242">
        <v>3717645</v>
      </c>
      <c r="M84" s="244">
        <f t="shared" si="90"/>
        <v>0.48916381578947371</v>
      </c>
      <c r="N84" s="242">
        <v>7600000</v>
      </c>
      <c r="O84" s="242">
        <v>5158745</v>
      </c>
      <c r="P84" s="244">
        <f t="shared" si="91"/>
        <v>0.67878223684210526</v>
      </c>
      <c r="Q84" s="242">
        <v>7600000</v>
      </c>
      <c r="R84" s="242">
        <v>3984228</v>
      </c>
      <c r="S84" s="244">
        <f t="shared" si="92"/>
        <v>0.52424052631578943</v>
      </c>
      <c r="T84" s="242">
        <v>5800000</v>
      </c>
      <c r="U84" s="242">
        <v>2934499</v>
      </c>
      <c r="V84" s="244">
        <f t="shared" si="93"/>
        <v>0.5059481034482759</v>
      </c>
      <c r="W84" s="242">
        <v>5800000</v>
      </c>
      <c r="X84" s="242">
        <v>2988480</v>
      </c>
      <c r="Y84" s="244">
        <f t="shared" si="94"/>
        <v>0.51525517241379315</v>
      </c>
      <c r="Z84" s="242">
        <v>5800000</v>
      </c>
      <c r="AA84" s="242">
        <v>3280160</v>
      </c>
      <c r="AB84" s="244">
        <f t="shared" si="95"/>
        <v>0.56554482758620694</v>
      </c>
      <c r="AC84" s="242">
        <v>4500000</v>
      </c>
      <c r="AD84" s="242">
        <v>4948340</v>
      </c>
      <c r="AE84" s="244">
        <f t="shared" si="96"/>
        <v>1.099631111111111</v>
      </c>
      <c r="AF84" s="242">
        <v>4500000</v>
      </c>
      <c r="AG84" s="242">
        <v>3800480</v>
      </c>
      <c r="AH84" s="244">
        <f t="shared" si="97"/>
        <v>0.84455111111111114</v>
      </c>
      <c r="AI84" s="242">
        <v>4500000</v>
      </c>
      <c r="AJ84" s="242">
        <v>4563690</v>
      </c>
      <c r="AK84" s="244">
        <f t="shared" si="98"/>
        <v>1.0141533333333332</v>
      </c>
      <c r="AL84" s="243">
        <f t="shared" si="99"/>
        <v>77208000</v>
      </c>
      <c r="AM84" s="243">
        <f t="shared" si="100"/>
        <v>50196327</v>
      </c>
      <c r="AO84" s="241" t="s">
        <v>6</v>
      </c>
      <c r="AP84" s="260">
        <v>5100000</v>
      </c>
      <c r="AQ84" s="242">
        <v>7501625</v>
      </c>
      <c r="AR84" s="260">
        <v>7000000</v>
      </c>
      <c r="AS84" s="242">
        <v>7010250</v>
      </c>
      <c r="AT84" s="260">
        <v>7000000</v>
      </c>
      <c r="AU84" s="242">
        <v>6887510</v>
      </c>
      <c r="AV84" s="260">
        <v>7000000</v>
      </c>
      <c r="AW84" s="242">
        <v>6539325</v>
      </c>
      <c r="AX84" s="260">
        <v>7000000</v>
      </c>
      <c r="AY84" s="242">
        <v>8031349</v>
      </c>
      <c r="AZ84" s="260">
        <v>7600000</v>
      </c>
      <c r="BA84" s="242">
        <v>7840250</v>
      </c>
      <c r="BB84" s="260">
        <v>7700000</v>
      </c>
      <c r="BC84" s="242">
        <v>7412960</v>
      </c>
      <c r="BD84" s="260">
        <v>7700000</v>
      </c>
      <c r="BE84" s="242">
        <v>7283360</v>
      </c>
      <c r="BF84" s="260">
        <v>8000000</v>
      </c>
      <c r="BG84" s="242">
        <v>6417365</v>
      </c>
      <c r="BH84" s="242">
        <f t="shared" ref="BH84:BI87" si="101">AP84+AR84+AT84+AV84+AX84+AZ84+BB84+BD84+BF84</f>
        <v>64100000</v>
      </c>
      <c r="BI84" s="242">
        <f t="shared" si="101"/>
        <v>64923994</v>
      </c>
      <c r="BJ84" s="260">
        <v>14865166</v>
      </c>
      <c r="BK84" s="242">
        <f t="shared" si="86"/>
        <v>79789160</v>
      </c>
    </row>
    <row r="85" spans="1:63" x14ac:dyDescent="0.3">
      <c r="A85" s="241" t="s">
        <v>9</v>
      </c>
      <c r="B85" s="242">
        <v>1309000</v>
      </c>
      <c r="C85" s="242">
        <v>1115800</v>
      </c>
      <c r="D85" s="244">
        <f t="shared" si="87"/>
        <v>0.85240641711229947</v>
      </c>
      <c r="E85" s="242">
        <v>1300000</v>
      </c>
      <c r="F85" s="242">
        <v>1506153</v>
      </c>
      <c r="G85" s="244">
        <f t="shared" si="88"/>
        <v>1.1585792307692309</v>
      </c>
      <c r="H85" s="242">
        <v>1841000</v>
      </c>
      <c r="I85" s="242">
        <v>1044020</v>
      </c>
      <c r="J85" s="244">
        <f t="shared" si="89"/>
        <v>0.56709397066811518</v>
      </c>
      <c r="K85" s="242">
        <v>1750000</v>
      </c>
      <c r="L85" s="242">
        <v>1040020</v>
      </c>
      <c r="M85" s="244">
        <f t="shared" si="90"/>
        <v>0.59429714285714286</v>
      </c>
      <c r="N85" s="242">
        <v>1750000</v>
      </c>
      <c r="O85" s="242">
        <v>791545</v>
      </c>
      <c r="P85" s="244">
        <f t="shared" si="91"/>
        <v>0.45231142857142859</v>
      </c>
      <c r="Q85" s="242">
        <v>1750000</v>
      </c>
      <c r="R85" s="242">
        <v>1742320</v>
      </c>
      <c r="S85" s="244">
        <f t="shared" si="92"/>
        <v>0.99561142857142859</v>
      </c>
      <c r="T85" s="242">
        <v>900000</v>
      </c>
      <c r="U85" s="242">
        <v>1136172</v>
      </c>
      <c r="V85" s="244">
        <f t="shared" si="93"/>
        <v>1.2624133333333334</v>
      </c>
      <c r="W85" s="242">
        <v>1200000</v>
      </c>
      <c r="X85" s="242">
        <v>1368480</v>
      </c>
      <c r="Y85" s="244">
        <f t="shared" si="94"/>
        <v>1.1404000000000001</v>
      </c>
      <c r="Z85" s="242">
        <v>1600000</v>
      </c>
      <c r="AA85" s="242">
        <v>1428800</v>
      </c>
      <c r="AB85" s="244">
        <f t="shared" si="95"/>
        <v>0.89300000000000002</v>
      </c>
      <c r="AC85" s="242">
        <v>1600000</v>
      </c>
      <c r="AD85" s="242">
        <v>1609890</v>
      </c>
      <c r="AE85" s="244">
        <f t="shared" si="96"/>
        <v>1.00618125</v>
      </c>
      <c r="AF85" s="242">
        <v>1600000</v>
      </c>
      <c r="AG85" s="242">
        <v>1290600</v>
      </c>
      <c r="AH85" s="244">
        <f t="shared" si="97"/>
        <v>0.80662500000000004</v>
      </c>
      <c r="AI85" s="242">
        <v>1600000</v>
      </c>
      <c r="AJ85" s="242">
        <v>1613030</v>
      </c>
      <c r="AK85" s="244">
        <f t="shared" si="98"/>
        <v>1.0081437499999999</v>
      </c>
      <c r="AL85" s="243">
        <f t="shared" si="99"/>
        <v>18200000</v>
      </c>
      <c r="AM85" s="243">
        <f t="shared" si="100"/>
        <v>15686830</v>
      </c>
      <c r="AO85" s="241" t="s">
        <v>9</v>
      </c>
      <c r="AP85" s="260">
        <v>1300000</v>
      </c>
      <c r="AQ85" s="242">
        <v>1725760</v>
      </c>
      <c r="AR85" s="260">
        <v>1500000</v>
      </c>
      <c r="AS85" s="242">
        <v>1758840</v>
      </c>
      <c r="AT85" s="260">
        <v>1500000</v>
      </c>
      <c r="AU85" s="242">
        <v>1556110</v>
      </c>
      <c r="AV85" s="260">
        <v>1500000</v>
      </c>
      <c r="AW85" s="242">
        <v>1028450</v>
      </c>
      <c r="AX85" s="260">
        <v>1500000</v>
      </c>
      <c r="AY85" s="242">
        <v>1055500</v>
      </c>
      <c r="AZ85" s="260">
        <v>1000000</v>
      </c>
      <c r="BA85" s="242">
        <v>1092470</v>
      </c>
      <c r="BB85" s="260">
        <v>1000000</v>
      </c>
      <c r="BC85" s="242">
        <v>764400</v>
      </c>
      <c r="BD85" s="260">
        <v>900000</v>
      </c>
      <c r="BE85" s="242">
        <v>1169065</v>
      </c>
      <c r="BF85" s="260">
        <v>1200000</v>
      </c>
      <c r="BG85" s="242">
        <v>1221180</v>
      </c>
      <c r="BH85" s="242">
        <f t="shared" si="101"/>
        <v>11400000</v>
      </c>
      <c r="BI85" s="242">
        <f t="shared" si="101"/>
        <v>11371775</v>
      </c>
      <c r="BJ85" s="260">
        <v>4223000</v>
      </c>
      <c r="BK85" s="242">
        <f t="shared" si="86"/>
        <v>15594775</v>
      </c>
    </row>
    <row r="86" spans="1:63" x14ac:dyDescent="0.3">
      <c r="A86" s="241" t="s">
        <v>12</v>
      </c>
      <c r="B86" s="242">
        <v>1444000</v>
      </c>
      <c r="C86" s="242">
        <v>952395</v>
      </c>
      <c r="D86" s="244">
        <f t="shared" si="87"/>
        <v>0.659553324099723</v>
      </c>
      <c r="E86" s="242">
        <v>1400000</v>
      </c>
      <c r="F86" s="242">
        <v>2112485</v>
      </c>
      <c r="G86" s="244">
        <f t="shared" si="88"/>
        <v>1.5089178571428572</v>
      </c>
      <c r="H86" s="242">
        <v>1962000</v>
      </c>
      <c r="I86" s="242">
        <v>945930</v>
      </c>
      <c r="J86" s="244">
        <f t="shared" si="89"/>
        <v>0.48212538226299695</v>
      </c>
      <c r="K86" s="242">
        <v>1900000</v>
      </c>
      <c r="L86" s="242">
        <v>1568090</v>
      </c>
      <c r="M86" s="244">
        <f t="shared" si="90"/>
        <v>0.82531052631578949</v>
      </c>
      <c r="N86" s="242">
        <v>1900000</v>
      </c>
      <c r="O86" s="242">
        <v>1951060</v>
      </c>
      <c r="P86" s="244">
        <f t="shared" si="91"/>
        <v>1.0268736842105264</v>
      </c>
      <c r="Q86" s="242">
        <v>1900000</v>
      </c>
      <c r="R86" s="242">
        <v>1733515</v>
      </c>
      <c r="S86" s="244">
        <f t="shared" si="92"/>
        <v>0.91237631578947365</v>
      </c>
      <c r="T86" s="242">
        <v>2200000</v>
      </c>
      <c r="U86" s="242">
        <v>1524675</v>
      </c>
      <c r="V86" s="244">
        <f t="shared" si="93"/>
        <v>0.69303409090909096</v>
      </c>
      <c r="W86" s="242">
        <v>2300000</v>
      </c>
      <c r="X86" s="242">
        <v>1146920</v>
      </c>
      <c r="Y86" s="244">
        <f t="shared" si="94"/>
        <v>0.49866086956521738</v>
      </c>
      <c r="Z86" s="242">
        <v>2300000</v>
      </c>
      <c r="AA86" s="242">
        <v>1538660</v>
      </c>
      <c r="AB86" s="244">
        <f t="shared" si="95"/>
        <v>0.66898260869565218</v>
      </c>
      <c r="AC86" s="242">
        <v>2300000</v>
      </c>
      <c r="AD86" s="242">
        <v>1779970</v>
      </c>
      <c r="AE86" s="244">
        <f t="shared" si="96"/>
        <v>0.77390000000000003</v>
      </c>
      <c r="AF86" s="242">
        <v>2000000</v>
      </c>
      <c r="AG86" s="242">
        <v>874990</v>
      </c>
      <c r="AH86" s="244">
        <f t="shared" si="97"/>
        <v>0.43749500000000002</v>
      </c>
      <c r="AI86" s="242">
        <v>2000000</v>
      </c>
      <c r="AJ86" s="242">
        <v>2105800</v>
      </c>
      <c r="AK86" s="244">
        <f t="shared" si="98"/>
        <v>1.0528999999999999</v>
      </c>
      <c r="AL86" s="243">
        <f t="shared" si="99"/>
        <v>23606000</v>
      </c>
      <c r="AM86" s="243">
        <f t="shared" si="100"/>
        <v>18234490</v>
      </c>
      <c r="AO86" s="241" t="s">
        <v>12</v>
      </c>
      <c r="AP86" s="260">
        <v>850000</v>
      </c>
      <c r="AQ86" s="242">
        <v>852700</v>
      </c>
      <c r="AR86" s="260">
        <v>850000</v>
      </c>
      <c r="AS86" s="242">
        <v>1376300</v>
      </c>
      <c r="AT86" s="260">
        <v>1200000</v>
      </c>
      <c r="AU86" s="242">
        <v>1536450</v>
      </c>
      <c r="AV86" s="260">
        <v>1500000</v>
      </c>
      <c r="AW86" s="242">
        <v>1432100</v>
      </c>
      <c r="AX86" s="260">
        <v>1500000</v>
      </c>
      <c r="AY86" s="242">
        <v>950700</v>
      </c>
      <c r="AZ86" s="260">
        <v>1200000</v>
      </c>
      <c r="BA86" s="242">
        <v>1315600</v>
      </c>
      <c r="BB86" s="260">
        <v>1200000</v>
      </c>
      <c r="BC86" s="242">
        <v>1203880</v>
      </c>
      <c r="BD86" s="260">
        <v>800000</v>
      </c>
      <c r="BE86" s="242">
        <v>1445900</v>
      </c>
      <c r="BF86" s="260">
        <v>1200000</v>
      </c>
      <c r="BG86" s="242">
        <v>1374635</v>
      </c>
      <c r="BH86" s="242">
        <f t="shared" si="101"/>
        <v>10300000</v>
      </c>
      <c r="BI86" s="242">
        <f t="shared" si="101"/>
        <v>11488265</v>
      </c>
      <c r="BJ86" s="260">
        <v>2652900</v>
      </c>
      <c r="BK86" s="242">
        <f t="shared" si="86"/>
        <v>14141165</v>
      </c>
    </row>
    <row r="87" spans="1:63" x14ac:dyDescent="0.3">
      <c r="A87" s="245" t="s">
        <v>86</v>
      </c>
      <c r="B87" s="242">
        <v>0</v>
      </c>
      <c r="C87" s="242">
        <v>0</v>
      </c>
      <c r="D87" s="244" t="e">
        <f t="shared" si="87"/>
        <v>#DIV/0!</v>
      </c>
      <c r="E87" s="242">
        <v>700000</v>
      </c>
      <c r="F87" s="242">
        <v>1703394</v>
      </c>
      <c r="G87" s="244">
        <f t="shared" si="88"/>
        <v>2.4334199999999999</v>
      </c>
      <c r="H87" s="242">
        <v>1500000</v>
      </c>
      <c r="I87" s="242">
        <v>1767790</v>
      </c>
      <c r="J87" s="244">
        <f t="shared" si="89"/>
        <v>1.1785266666666667</v>
      </c>
      <c r="K87" s="242">
        <v>1700000</v>
      </c>
      <c r="L87" s="242">
        <v>1883300</v>
      </c>
      <c r="M87" s="244">
        <f t="shared" si="90"/>
        <v>1.1078235294117647</v>
      </c>
      <c r="N87" s="242">
        <v>2200000</v>
      </c>
      <c r="O87" s="242">
        <v>2215303</v>
      </c>
      <c r="P87" s="244">
        <f t="shared" si="91"/>
        <v>1.006955909090909</v>
      </c>
      <c r="Q87" s="242">
        <v>2200000</v>
      </c>
      <c r="R87" s="242">
        <v>2321815</v>
      </c>
      <c r="S87" s="244">
        <f t="shared" si="92"/>
        <v>1.0553704545454545</v>
      </c>
      <c r="T87" s="242">
        <v>2500000</v>
      </c>
      <c r="U87" s="242">
        <v>2244502</v>
      </c>
      <c r="V87" s="244">
        <f t="shared" si="93"/>
        <v>0.89780079999999995</v>
      </c>
      <c r="W87" s="242">
        <v>2800000</v>
      </c>
      <c r="X87" s="242">
        <v>1450274</v>
      </c>
      <c r="Y87" s="244">
        <f t="shared" si="94"/>
        <v>0.51795500000000005</v>
      </c>
      <c r="Z87" s="242">
        <v>2800000</v>
      </c>
      <c r="AA87" s="242">
        <v>2034760</v>
      </c>
      <c r="AB87" s="244">
        <f t="shared" si="95"/>
        <v>0.72670000000000001</v>
      </c>
      <c r="AC87" s="242">
        <v>2800000</v>
      </c>
      <c r="AD87" s="242">
        <v>2424682</v>
      </c>
      <c r="AE87" s="244">
        <f t="shared" si="96"/>
        <v>0.86595785714285711</v>
      </c>
      <c r="AF87" s="242">
        <v>2800000</v>
      </c>
      <c r="AG87" s="242">
        <v>2037650</v>
      </c>
      <c r="AH87" s="244">
        <f t="shared" si="97"/>
        <v>0.72773214285714283</v>
      </c>
      <c r="AI87" s="242">
        <v>2800000</v>
      </c>
      <c r="AJ87" s="242">
        <v>3074701</v>
      </c>
      <c r="AK87" s="244">
        <f t="shared" si="98"/>
        <v>1.0981075</v>
      </c>
      <c r="AL87" s="243">
        <f t="shared" si="99"/>
        <v>24800000</v>
      </c>
      <c r="AM87" s="243">
        <f t="shared" si="100"/>
        <v>23158171</v>
      </c>
      <c r="AO87" s="245" t="s">
        <v>103</v>
      </c>
      <c r="AP87" s="260">
        <v>2000000</v>
      </c>
      <c r="AQ87" s="242">
        <v>1805630</v>
      </c>
      <c r="AR87" s="260">
        <v>1900000</v>
      </c>
      <c r="AS87" s="242">
        <v>1581140</v>
      </c>
      <c r="AT87" s="260">
        <v>1800000</v>
      </c>
      <c r="AU87" s="242">
        <v>1240890</v>
      </c>
      <c r="AV87" s="260">
        <v>1800000</v>
      </c>
      <c r="AW87" s="242">
        <v>762221</v>
      </c>
      <c r="AX87" s="260">
        <v>1800000</v>
      </c>
      <c r="AY87" s="242">
        <v>262600</v>
      </c>
      <c r="AZ87" s="260">
        <v>1500000</v>
      </c>
      <c r="BA87" s="242">
        <v>142700</v>
      </c>
      <c r="BB87" s="260">
        <v>1000000</v>
      </c>
      <c r="BC87" s="242">
        <v>193400</v>
      </c>
      <c r="BD87" s="260">
        <v>1000000</v>
      </c>
      <c r="BE87" s="242">
        <v>126300</v>
      </c>
      <c r="BF87" s="260">
        <v>1200000</v>
      </c>
      <c r="BG87" s="242">
        <v>78300</v>
      </c>
      <c r="BH87" s="242">
        <f t="shared" si="101"/>
        <v>14000000</v>
      </c>
      <c r="BI87" s="242">
        <f t="shared" si="101"/>
        <v>6193181</v>
      </c>
      <c r="BJ87" s="260">
        <v>5918270</v>
      </c>
      <c r="BK87" s="242">
        <f t="shared" si="86"/>
        <v>12111451</v>
      </c>
    </row>
    <row r="88" spans="1:63" x14ac:dyDescent="0.3">
      <c r="A88" s="245" t="s">
        <v>130</v>
      </c>
      <c r="B88" s="242">
        <v>0</v>
      </c>
      <c r="C88" s="242">
        <v>0</v>
      </c>
      <c r="D88" s="244" t="e">
        <f t="shared" si="87"/>
        <v>#DIV/0!</v>
      </c>
      <c r="E88" s="242">
        <v>0</v>
      </c>
      <c r="F88" s="242">
        <v>0</v>
      </c>
      <c r="G88" s="244" t="e">
        <f t="shared" si="88"/>
        <v>#DIV/0!</v>
      </c>
      <c r="H88" s="242">
        <v>700000</v>
      </c>
      <c r="I88" s="242">
        <v>1325960</v>
      </c>
      <c r="J88" s="244">
        <f t="shared" si="89"/>
        <v>1.8942285714285714</v>
      </c>
      <c r="K88" s="242">
        <v>1500000</v>
      </c>
      <c r="L88" s="242">
        <v>1667615</v>
      </c>
      <c r="M88" s="244">
        <f t="shared" si="90"/>
        <v>1.1117433333333333</v>
      </c>
      <c r="N88" s="242">
        <v>2200000</v>
      </c>
      <c r="O88" s="242">
        <v>2422180</v>
      </c>
      <c r="P88" s="244">
        <f t="shared" si="91"/>
        <v>1.1009909090909091</v>
      </c>
      <c r="Q88" s="242">
        <v>2500000</v>
      </c>
      <c r="R88" s="242">
        <v>2716860</v>
      </c>
      <c r="S88" s="244">
        <f t="shared" si="92"/>
        <v>1.0867439999999999</v>
      </c>
      <c r="T88" s="242">
        <v>2700000</v>
      </c>
      <c r="U88" s="242">
        <v>2699452</v>
      </c>
      <c r="V88" s="244">
        <f t="shared" si="93"/>
        <v>0.99979703703703704</v>
      </c>
      <c r="W88" s="242">
        <v>3100000</v>
      </c>
      <c r="X88" s="242">
        <v>1625680</v>
      </c>
      <c r="Y88" s="244">
        <f t="shared" si="94"/>
        <v>0.52441290322580647</v>
      </c>
      <c r="Z88" s="242">
        <v>3100000</v>
      </c>
      <c r="AA88" s="242">
        <v>3224109</v>
      </c>
      <c r="AB88" s="244">
        <f t="shared" si="95"/>
        <v>1.0400351612903225</v>
      </c>
      <c r="AC88" s="242">
        <v>3100000</v>
      </c>
      <c r="AD88" s="242">
        <v>3668161</v>
      </c>
      <c r="AE88" s="244">
        <f t="shared" si="96"/>
        <v>1.1832777419354839</v>
      </c>
      <c r="AF88" s="242">
        <v>3100000</v>
      </c>
      <c r="AG88" s="242">
        <v>3113364</v>
      </c>
      <c r="AH88" s="244">
        <f t="shared" si="97"/>
        <v>1.0043109677419355</v>
      </c>
      <c r="AI88" s="242">
        <v>3100000</v>
      </c>
      <c r="AJ88" s="242">
        <v>3111261</v>
      </c>
      <c r="AK88" s="244">
        <f t="shared" si="98"/>
        <v>1.0036325806451614</v>
      </c>
      <c r="AL88" s="243">
        <f t="shared" si="99"/>
        <v>25100000</v>
      </c>
      <c r="AM88" s="243">
        <f t="shared" si="100"/>
        <v>25574642</v>
      </c>
      <c r="AO88" s="247" t="s">
        <v>14</v>
      </c>
      <c r="AP88" s="261">
        <f>SUM(AP73:AP87)</f>
        <v>44000000</v>
      </c>
      <c r="AQ88" s="261">
        <f t="shared" ref="AQ88:BK88" si="102">SUM(AQ73:AQ87)</f>
        <v>54191500</v>
      </c>
      <c r="AR88" s="261">
        <f t="shared" si="102"/>
        <v>50500000</v>
      </c>
      <c r="AS88" s="261">
        <f t="shared" si="102"/>
        <v>57186828</v>
      </c>
      <c r="AT88" s="261">
        <f t="shared" si="102"/>
        <v>55000000</v>
      </c>
      <c r="AU88" s="261">
        <f t="shared" si="102"/>
        <v>52646757</v>
      </c>
      <c r="AV88" s="261">
        <f t="shared" si="102"/>
        <v>54500000</v>
      </c>
      <c r="AW88" s="261">
        <f t="shared" si="102"/>
        <v>50871804</v>
      </c>
      <c r="AX88" s="261">
        <f t="shared" si="102"/>
        <v>54500000</v>
      </c>
      <c r="AY88" s="261">
        <f t="shared" si="102"/>
        <v>50057220</v>
      </c>
      <c r="AZ88" s="261">
        <f t="shared" si="102"/>
        <v>56000000</v>
      </c>
      <c r="BA88" s="261">
        <f t="shared" si="102"/>
        <v>54519181</v>
      </c>
      <c r="BB88" s="261">
        <f t="shared" si="102"/>
        <v>56300000</v>
      </c>
      <c r="BC88" s="261">
        <f t="shared" si="102"/>
        <v>61645775</v>
      </c>
      <c r="BD88" s="261">
        <f t="shared" si="102"/>
        <v>57000000</v>
      </c>
      <c r="BE88" s="261">
        <f t="shared" si="102"/>
        <v>59635666</v>
      </c>
      <c r="BF88" s="261">
        <f t="shared" si="102"/>
        <v>61000000</v>
      </c>
      <c r="BG88" s="261">
        <f t="shared" si="102"/>
        <v>54462123</v>
      </c>
      <c r="BH88" s="261">
        <f t="shared" si="102"/>
        <v>490081600</v>
      </c>
      <c r="BI88" s="261">
        <f>SUM(BI73:BI87)</f>
        <v>495435254</v>
      </c>
      <c r="BJ88" s="261">
        <f t="shared" si="102"/>
        <v>123618023</v>
      </c>
      <c r="BK88" s="261">
        <f t="shared" si="102"/>
        <v>619053277</v>
      </c>
    </row>
    <row r="89" spans="1:63" x14ac:dyDescent="0.3">
      <c r="A89" s="246" t="s">
        <v>87</v>
      </c>
      <c r="B89" s="242">
        <v>0</v>
      </c>
      <c r="C89" s="242">
        <v>0</v>
      </c>
      <c r="D89" s="244" t="e">
        <f t="shared" si="87"/>
        <v>#DIV/0!</v>
      </c>
      <c r="E89" s="242">
        <v>0</v>
      </c>
      <c r="F89" s="242">
        <v>0</v>
      </c>
      <c r="G89" s="244" t="e">
        <f t="shared" si="88"/>
        <v>#DIV/0!</v>
      </c>
      <c r="H89" s="242">
        <v>0</v>
      </c>
      <c r="I89" s="242">
        <v>365765</v>
      </c>
      <c r="J89" s="244" t="e">
        <f t="shared" si="89"/>
        <v>#DIV/0!</v>
      </c>
      <c r="K89" s="242">
        <v>700000</v>
      </c>
      <c r="L89" s="242">
        <v>496995</v>
      </c>
      <c r="M89" s="244">
        <f t="shared" si="90"/>
        <v>0.70999285714285709</v>
      </c>
      <c r="N89" s="242">
        <v>1200000</v>
      </c>
      <c r="O89" s="242">
        <v>1153960</v>
      </c>
      <c r="P89" s="244">
        <f t="shared" si="91"/>
        <v>0.96163333333333334</v>
      </c>
      <c r="Q89" s="242">
        <v>1200000</v>
      </c>
      <c r="R89" s="242">
        <v>1234115</v>
      </c>
      <c r="S89" s="244">
        <f t="shared" si="92"/>
        <v>1.0284291666666667</v>
      </c>
      <c r="T89" s="242">
        <v>1500000</v>
      </c>
      <c r="U89" s="242">
        <v>984710</v>
      </c>
      <c r="V89" s="244">
        <f t="shared" si="93"/>
        <v>0.65647333333333335</v>
      </c>
      <c r="W89" s="242">
        <v>1500000</v>
      </c>
      <c r="X89" s="242">
        <v>683570</v>
      </c>
      <c r="Y89" s="244">
        <f t="shared" si="94"/>
        <v>0.45571333333333336</v>
      </c>
      <c r="Z89" s="242">
        <v>1500000</v>
      </c>
      <c r="AA89" s="242">
        <v>1032260</v>
      </c>
      <c r="AB89" s="244">
        <f t="shared" si="95"/>
        <v>0.6881733333333333</v>
      </c>
      <c r="AC89" s="242">
        <v>1500000</v>
      </c>
      <c r="AD89" s="242">
        <v>862030</v>
      </c>
      <c r="AE89" s="244">
        <f t="shared" si="96"/>
        <v>0.57468666666666668</v>
      </c>
      <c r="AF89" s="242">
        <v>1500000</v>
      </c>
      <c r="AG89" s="242">
        <v>1880570</v>
      </c>
      <c r="AH89" s="244">
        <f t="shared" si="97"/>
        <v>1.2537133333333332</v>
      </c>
      <c r="AI89" s="242">
        <v>1500000</v>
      </c>
      <c r="AJ89" s="242">
        <v>977830</v>
      </c>
      <c r="AK89" s="244">
        <f t="shared" si="98"/>
        <v>0.65188666666666661</v>
      </c>
      <c r="AL89" s="243">
        <f t="shared" si="99"/>
        <v>12100000</v>
      </c>
      <c r="AM89" s="243">
        <f t="shared" si="100"/>
        <v>9671805</v>
      </c>
    </row>
    <row r="90" spans="1:63" x14ac:dyDescent="0.3">
      <c r="A90" s="246" t="s">
        <v>95</v>
      </c>
      <c r="B90" s="242"/>
      <c r="C90" s="242"/>
      <c r="D90" s="244" t="e">
        <f t="shared" si="87"/>
        <v>#DIV/0!</v>
      </c>
      <c r="E90" s="242"/>
      <c r="F90" s="242"/>
      <c r="G90" s="244" t="e">
        <f t="shared" si="88"/>
        <v>#DIV/0!</v>
      </c>
      <c r="H90" s="242"/>
      <c r="I90" s="242"/>
      <c r="J90" s="244" t="e">
        <f t="shared" si="89"/>
        <v>#DIV/0!</v>
      </c>
      <c r="K90" s="242"/>
      <c r="L90" s="242"/>
      <c r="M90" s="244" t="e">
        <f t="shared" si="90"/>
        <v>#DIV/0!</v>
      </c>
      <c r="N90" s="242">
        <v>1500000</v>
      </c>
      <c r="O90" s="242">
        <v>1323865</v>
      </c>
      <c r="P90" s="244">
        <f t="shared" si="91"/>
        <v>0.88257666666666668</v>
      </c>
      <c r="Q90" s="242">
        <v>1500000</v>
      </c>
      <c r="R90" s="242">
        <v>2185385</v>
      </c>
      <c r="S90" s="244">
        <f t="shared" si="92"/>
        <v>1.4569233333333333</v>
      </c>
      <c r="T90" s="242">
        <v>1600000</v>
      </c>
      <c r="U90" s="242">
        <v>1476700</v>
      </c>
      <c r="V90" s="244">
        <f t="shared" si="93"/>
        <v>0.92293749999999997</v>
      </c>
      <c r="W90" s="242">
        <v>1800000</v>
      </c>
      <c r="X90" s="242">
        <v>1312300</v>
      </c>
      <c r="Y90" s="244">
        <f t="shared" si="94"/>
        <v>0.72905555555555557</v>
      </c>
      <c r="Z90" s="242">
        <v>1900000</v>
      </c>
      <c r="AA90" s="242">
        <v>1554950</v>
      </c>
      <c r="AB90" s="244">
        <f t="shared" si="95"/>
        <v>0.81839473684210529</v>
      </c>
      <c r="AC90" s="242">
        <v>1900000</v>
      </c>
      <c r="AD90" s="242">
        <v>1479840</v>
      </c>
      <c r="AE90" s="244">
        <f t="shared" si="96"/>
        <v>0.77886315789473681</v>
      </c>
      <c r="AF90" s="242">
        <v>1900000</v>
      </c>
      <c r="AG90" s="242">
        <v>1642740</v>
      </c>
      <c r="AH90" s="244">
        <f t="shared" si="97"/>
        <v>0.86460000000000004</v>
      </c>
      <c r="AI90" s="242">
        <v>1900000</v>
      </c>
      <c r="AJ90" s="242">
        <v>2210380</v>
      </c>
      <c r="AK90" s="244">
        <f t="shared" si="98"/>
        <v>1.1633578947368421</v>
      </c>
      <c r="AL90" s="243">
        <f t="shared" si="99"/>
        <v>14000000</v>
      </c>
      <c r="AM90" s="243">
        <f t="shared" si="100"/>
        <v>13186160</v>
      </c>
    </row>
    <row r="91" spans="1:63" x14ac:dyDescent="0.3">
      <c r="A91" s="245" t="s">
        <v>103</v>
      </c>
      <c r="B91" s="242">
        <v>0</v>
      </c>
      <c r="C91" s="242">
        <v>110100</v>
      </c>
      <c r="D91" s="244" t="e">
        <f t="shared" si="87"/>
        <v>#DIV/0!</v>
      </c>
      <c r="E91" s="242">
        <v>0</v>
      </c>
      <c r="F91" s="242">
        <v>4800</v>
      </c>
      <c r="G91" s="244" t="e">
        <f t="shared" si="88"/>
        <v>#DIV/0!</v>
      </c>
      <c r="H91" s="242">
        <v>0</v>
      </c>
      <c r="I91" s="242">
        <v>0</v>
      </c>
      <c r="J91" s="244" t="e">
        <f t="shared" si="89"/>
        <v>#DIV/0!</v>
      </c>
      <c r="K91" s="242">
        <v>0</v>
      </c>
      <c r="L91" s="242">
        <v>0</v>
      </c>
      <c r="M91" s="244" t="e">
        <f t="shared" si="90"/>
        <v>#DIV/0!</v>
      </c>
      <c r="N91" s="242">
        <f>K91</f>
        <v>0</v>
      </c>
      <c r="O91" s="242">
        <f>L91</f>
        <v>0</v>
      </c>
      <c r="P91" s="244" t="e">
        <f t="shared" si="91"/>
        <v>#DIV/0!</v>
      </c>
      <c r="Q91" s="242">
        <f>N91</f>
        <v>0</v>
      </c>
      <c r="R91" s="242">
        <f>O91</f>
        <v>0</v>
      </c>
      <c r="S91" s="244" t="e">
        <f t="shared" si="92"/>
        <v>#DIV/0!</v>
      </c>
      <c r="T91" s="242">
        <f>Q91</f>
        <v>0</v>
      </c>
      <c r="U91" s="242">
        <f>R91</f>
        <v>0</v>
      </c>
      <c r="V91" s="244" t="e">
        <f t="shared" si="93"/>
        <v>#DIV/0!</v>
      </c>
      <c r="W91" s="242">
        <f>T91</f>
        <v>0</v>
      </c>
      <c r="X91" s="242">
        <f>U91</f>
        <v>0</v>
      </c>
      <c r="Y91" s="244" t="e">
        <f t="shared" si="94"/>
        <v>#DIV/0!</v>
      </c>
      <c r="Z91" s="242">
        <v>0</v>
      </c>
      <c r="AA91" s="242">
        <v>0</v>
      </c>
      <c r="AB91" s="244">
        <v>0</v>
      </c>
      <c r="AC91" s="242">
        <v>0</v>
      </c>
      <c r="AD91" s="242">
        <v>0</v>
      </c>
      <c r="AE91" s="244">
        <v>0</v>
      </c>
      <c r="AF91" s="242">
        <v>0</v>
      </c>
      <c r="AG91" s="242">
        <v>0</v>
      </c>
      <c r="AH91" s="244">
        <v>0</v>
      </c>
      <c r="AI91" s="242">
        <v>5000000</v>
      </c>
      <c r="AJ91" s="242">
        <v>1738080</v>
      </c>
      <c r="AK91" s="244">
        <f t="shared" si="98"/>
        <v>0.34761599999999998</v>
      </c>
      <c r="AL91" s="243">
        <f t="shared" si="99"/>
        <v>5000000</v>
      </c>
      <c r="AM91" s="243">
        <f t="shared" si="100"/>
        <v>1852980</v>
      </c>
    </row>
    <row r="92" spans="1:63" x14ac:dyDescent="0.3">
      <c r="A92" s="247" t="s">
        <v>14</v>
      </c>
      <c r="B92" s="262">
        <f>SUM(B73:B91)</f>
        <v>58769000</v>
      </c>
      <c r="C92" s="262">
        <f t="shared" ref="C92:O92" si="103">SUM(C73:C91)</f>
        <v>44752136</v>
      </c>
      <c r="D92" s="249">
        <f t="shared" si="87"/>
        <v>0.76149221528356792</v>
      </c>
      <c r="E92" s="262">
        <f t="shared" si="103"/>
        <v>59590000</v>
      </c>
      <c r="F92" s="262">
        <f t="shared" si="103"/>
        <v>55230524</v>
      </c>
      <c r="G92" s="249">
        <f t="shared" si="88"/>
        <v>0.92684215472394693</v>
      </c>
      <c r="H92" s="262">
        <f t="shared" si="103"/>
        <v>67419000</v>
      </c>
      <c r="I92" s="262">
        <f>SUM(I73:I91)</f>
        <v>52113966</v>
      </c>
      <c r="J92" s="249">
        <f t="shared" si="89"/>
        <v>0.77298633916255066</v>
      </c>
      <c r="K92" s="262">
        <f t="shared" si="103"/>
        <v>66900000</v>
      </c>
      <c r="L92" s="262">
        <f t="shared" si="103"/>
        <v>53842191</v>
      </c>
      <c r="M92" s="249">
        <f t="shared" si="90"/>
        <v>0.80481600896860983</v>
      </c>
      <c r="N92" s="262">
        <f t="shared" si="103"/>
        <v>70450000</v>
      </c>
      <c r="O92" s="262">
        <f t="shared" si="103"/>
        <v>61001596</v>
      </c>
      <c r="P92" s="249">
        <f t="shared" si="91"/>
        <v>0.86588496806245563</v>
      </c>
      <c r="Q92" s="262">
        <f>SUM(Q73:Q91)</f>
        <v>70800000</v>
      </c>
      <c r="R92" s="262">
        <f>SUM(R73:R91)</f>
        <v>61713416</v>
      </c>
      <c r="S92" s="249">
        <f t="shared" si="92"/>
        <v>0.87165841807909605</v>
      </c>
      <c r="T92" s="262">
        <f t="shared" ref="T92:AM92" si="104">SUM(T73:T91)</f>
        <v>70600000</v>
      </c>
      <c r="U92" s="262">
        <f t="shared" si="104"/>
        <v>56029003</v>
      </c>
      <c r="V92" s="249">
        <f t="shared" si="93"/>
        <v>0.79361194050991501</v>
      </c>
      <c r="W92" s="262">
        <f t="shared" si="104"/>
        <v>74300000</v>
      </c>
      <c r="X92" s="262">
        <f t="shared" si="104"/>
        <v>57448960</v>
      </c>
      <c r="Y92" s="249">
        <f t="shared" si="94"/>
        <v>0.77320269179004042</v>
      </c>
      <c r="Z92" s="248">
        <f>SUM(Z73:Z91)</f>
        <v>74500000</v>
      </c>
      <c r="AA92" s="248">
        <f>SUM(AA73:AA91)</f>
        <v>63608735</v>
      </c>
      <c r="AB92" s="249">
        <f t="shared" si="95"/>
        <v>0.85380852348993286</v>
      </c>
      <c r="AC92" s="248">
        <v>72700000</v>
      </c>
      <c r="AD92" s="248">
        <v>66336993</v>
      </c>
      <c r="AE92" s="249">
        <f t="shared" si="96"/>
        <v>0.91247583218707018</v>
      </c>
      <c r="AF92" s="248">
        <f>SUM(AF73:AF91)</f>
        <v>70500000</v>
      </c>
      <c r="AG92" s="248">
        <f t="shared" ref="AG92" si="105">SUM(AG73:AG91)</f>
        <v>59167666</v>
      </c>
      <c r="AH92" s="249">
        <f t="shared" si="97"/>
        <v>0.83925767375886529</v>
      </c>
      <c r="AI92" s="248">
        <f>SUM(AI73:AI91)</f>
        <v>75500000</v>
      </c>
      <c r="AJ92" s="248">
        <f>SUM(AJ73:AJ91)</f>
        <v>71584128</v>
      </c>
      <c r="AK92" s="249">
        <f t="shared" si="98"/>
        <v>0.94813414569536425</v>
      </c>
      <c r="AL92" s="262">
        <f t="shared" si="104"/>
        <v>832028000</v>
      </c>
      <c r="AM92" s="262">
        <f t="shared" si="104"/>
        <v>702829313</v>
      </c>
    </row>
  </sheetData>
  <dataConsolidate/>
  <mergeCells count="57">
    <mergeCell ref="BW38:BY38"/>
    <mergeCell ref="BZ38:CA38"/>
    <mergeCell ref="BQ38:BS38"/>
    <mergeCell ref="BN38:BP38"/>
    <mergeCell ref="AI38:AK38"/>
    <mergeCell ref="AL38:AM38"/>
    <mergeCell ref="BK38:BM38"/>
    <mergeCell ref="BH38:BJ38"/>
    <mergeCell ref="AP38:AR38"/>
    <mergeCell ref="AS38:AU38"/>
    <mergeCell ref="AV38:AX38"/>
    <mergeCell ref="AY38:BA38"/>
    <mergeCell ref="BB38:BD38"/>
    <mergeCell ref="BT38:BV38"/>
    <mergeCell ref="BE38:BG38"/>
    <mergeCell ref="AI71:AK71"/>
    <mergeCell ref="W38:Y38"/>
    <mergeCell ref="Z38:AB38"/>
    <mergeCell ref="AC38:AE38"/>
    <mergeCell ref="AF38:AH38"/>
    <mergeCell ref="T38:V38"/>
    <mergeCell ref="W71:Y71"/>
    <mergeCell ref="AC71:AE71"/>
    <mergeCell ref="BH71:BI71"/>
    <mergeCell ref="BD71:BE71"/>
    <mergeCell ref="BF71:BG71"/>
    <mergeCell ref="AP71:AQ71"/>
    <mergeCell ref="AR71:AS71"/>
    <mergeCell ref="AT71:AU71"/>
    <mergeCell ref="AV71:AW71"/>
    <mergeCell ref="AX71:AY71"/>
    <mergeCell ref="Z71:AB71"/>
    <mergeCell ref="AZ71:BA71"/>
    <mergeCell ref="BB71:BC71"/>
    <mergeCell ref="AL71:AM71"/>
    <mergeCell ref="AF71:AH71"/>
    <mergeCell ref="T71:V71"/>
    <mergeCell ref="B71:D71"/>
    <mergeCell ref="E71:G71"/>
    <mergeCell ref="K71:M71"/>
    <mergeCell ref="H71:J71"/>
    <mergeCell ref="N71:P71"/>
    <mergeCell ref="B38:D38"/>
    <mergeCell ref="E38:G38"/>
    <mergeCell ref="Q71:S71"/>
    <mergeCell ref="H38:J38"/>
    <mergeCell ref="K38:M38"/>
    <mergeCell ref="N38:P38"/>
    <mergeCell ref="Q38:S38"/>
    <mergeCell ref="AY1:BA1"/>
    <mergeCell ref="AV1:AX1"/>
    <mergeCell ref="AS1:AT1"/>
    <mergeCell ref="AP1:AQ1"/>
    <mergeCell ref="B1:D1"/>
    <mergeCell ref="E1:G1"/>
    <mergeCell ref="H1:J1"/>
    <mergeCell ref="K1:M1"/>
  </mergeCells>
  <phoneticPr fontId="22" type="noConversion"/>
  <conditionalFormatting sqref="A3:A34">
    <cfRule type="duplicateValues" dxfId="19" priority="1"/>
  </conditionalFormatting>
  <conditionalFormatting sqref="A40:A67">
    <cfRule type="duplicateValues" dxfId="18" priority="11"/>
  </conditionalFormatting>
  <conditionalFormatting sqref="D3:D34">
    <cfRule type="cellIs" dxfId="17" priority="3" operator="greaterThan">
      <formula>0.99</formula>
    </cfRule>
  </conditionalFormatting>
  <conditionalFormatting sqref="D40:D67">
    <cfRule type="cellIs" dxfId="16" priority="6" operator="greaterThan">
      <formula>0.99</formula>
    </cfRule>
  </conditionalFormatting>
  <conditionalFormatting sqref="D73:D91">
    <cfRule type="cellIs" dxfId="15" priority="12" operator="greaterThan">
      <formula>0.99</formula>
    </cfRule>
  </conditionalFormatting>
  <conditionalFormatting sqref="G3:G34">
    <cfRule type="cellIs" dxfId="14" priority="2" operator="greaterThan">
      <formula>0.99</formula>
    </cfRule>
  </conditionalFormatting>
  <conditionalFormatting sqref="G40:G61">
    <cfRule type="cellIs" dxfId="13" priority="7" operator="greaterThan">
      <formula>0.99</formula>
    </cfRule>
  </conditionalFormatting>
  <conditionalFormatting sqref="G73:G91">
    <cfRule type="cellIs" dxfId="12" priority="13" operator="greaterThan">
      <formula>0.99</formula>
    </cfRule>
  </conditionalFormatting>
  <conditionalFormatting sqref="J40:J61">
    <cfRule type="cellIs" dxfId="11" priority="8" operator="greaterThan">
      <formula>0.99</formula>
    </cfRule>
  </conditionalFormatting>
  <conditionalFormatting sqref="J73:J91">
    <cfRule type="cellIs" dxfId="10" priority="14" operator="greaterThan">
      <formula>0.99</formula>
    </cfRule>
  </conditionalFormatting>
  <conditionalFormatting sqref="M40:M62">
    <cfRule type="cellIs" dxfId="9" priority="10" operator="greaterThan">
      <formula>0.99</formula>
    </cfRule>
  </conditionalFormatting>
  <conditionalFormatting sqref="M73:M91">
    <cfRule type="cellIs" dxfId="8" priority="15" operator="greaterThan">
      <formula>0.99</formula>
    </cfRule>
  </conditionalFormatting>
  <conditionalFormatting sqref="P40:P62">
    <cfRule type="cellIs" dxfId="7" priority="9" operator="greaterThan">
      <formula>0.99</formula>
    </cfRule>
  </conditionalFormatting>
  <conditionalFormatting sqref="P73:P91">
    <cfRule type="cellIs" dxfId="6" priority="16" operator="greaterThan">
      <formula>0.99</formula>
    </cfRule>
  </conditionalFormatting>
  <conditionalFormatting sqref="S73:S91">
    <cfRule type="cellIs" dxfId="5" priority="17" operator="greaterThan">
      <formula>0.99</formula>
    </cfRule>
  </conditionalFormatting>
  <conditionalFormatting sqref="V73:V91">
    <cfRule type="cellIs" dxfId="4" priority="18" operator="greaterThan">
      <formula>0.99</formula>
    </cfRule>
  </conditionalFormatting>
  <conditionalFormatting sqref="Y73:Y91">
    <cfRule type="cellIs" dxfId="3" priority="19" operator="greaterThan">
      <formula>0.99</formula>
    </cfRule>
  </conditionalFormatting>
  <conditionalFormatting sqref="AB73:AB91">
    <cfRule type="cellIs" dxfId="2" priority="20" operator="greaterThan">
      <formula>0.99</formula>
    </cfRule>
  </conditionalFormatting>
  <conditionalFormatting sqref="AE73:AE91">
    <cfRule type="cellIs" dxfId="1" priority="21" operator="greaterThan">
      <formula>0.99</formula>
    </cfRule>
  </conditionalFormatting>
  <conditionalFormatting sqref="AH73:AH91 AK73:AK91">
    <cfRule type="cellIs" dxfId="0" priority="22" operator="greaterThan">
      <formula>0.99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FA4F-DB53-4E23-A87B-FAA6EAB10EDB}">
  <dimension ref="A1:ET33"/>
  <sheetViews>
    <sheetView workbookViewId="0">
      <pane xSplit="1" ySplit="3" topLeftCell="BZ4" activePane="bottomRight" state="frozen"/>
      <selection pane="topRight" activeCell="B1" sqref="B1"/>
      <selection pane="bottomLeft" activeCell="A4" sqref="A4"/>
      <selection pane="bottomRight" activeCell="BZ2" sqref="BZ2:CC2"/>
    </sheetView>
  </sheetViews>
  <sheetFormatPr defaultRowHeight="14.4" x14ac:dyDescent="0.3"/>
  <cols>
    <col min="1" max="1" width="15.109375" bestFit="1" customWidth="1"/>
    <col min="2" max="3" width="4.77734375" bestFit="1" customWidth="1"/>
    <col min="4" max="4" width="5.77734375" bestFit="1" customWidth="1"/>
    <col min="5" max="5" width="9.21875" bestFit="1" customWidth="1"/>
    <col min="6" max="6" width="4.77734375" bestFit="1" customWidth="1"/>
    <col min="7" max="7" width="4.33203125" bestFit="1" customWidth="1"/>
    <col min="8" max="8" width="5.77734375" bestFit="1" customWidth="1"/>
    <col min="9" max="9" width="9.21875" bestFit="1" customWidth="1"/>
    <col min="10" max="11" width="4.77734375" bestFit="1" customWidth="1"/>
    <col min="12" max="12" width="5.77734375" bestFit="1" customWidth="1"/>
    <col min="13" max="13" width="9.21875" bestFit="1" customWidth="1"/>
    <col min="14" max="15" width="4.77734375" bestFit="1" customWidth="1"/>
    <col min="16" max="16" width="5.77734375" bestFit="1" customWidth="1"/>
    <col min="17" max="17" width="9.21875" bestFit="1" customWidth="1"/>
    <col min="18" max="18" width="4.77734375" bestFit="1" customWidth="1"/>
    <col min="19" max="19" width="4.33203125" bestFit="1" customWidth="1"/>
    <col min="20" max="20" width="5.77734375" bestFit="1" customWidth="1"/>
    <col min="21" max="21" width="9.21875" bestFit="1" customWidth="1"/>
    <col min="22" max="23" width="4.77734375" bestFit="1" customWidth="1"/>
    <col min="24" max="24" width="5.77734375" bestFit="1" customWidth="1"/>
    <col min="25" max="25" width="9.21875" bestFit="1" customWidth="1"/>
    <col min="26" max="27" width="4.77734375" bestFit="1" customWidth="1"/>
    <col min="28" max="28" width="5.77734375" bestFit="1" customWidth="1"/>
    <col min="29" max="29" width="9.5546875" bestFit="1" customWidth="1"/>
    <col min="30" max="30" width="4.77734375" bestFit="1" customWidth="1"/>
    <col min="31" max="31" width="4.33203125" bestFit="1" customWidth="1"/>
    <col min="32" max="32" width="5.77734375" bestFit="1" customWidth="1"/>
    <col min="33" max="33" width="9.5546875" bestFit="1" customWidth="1"/>
    <col min="34" max="35" width="4.77734375" bestFit="1" customWidth="1"/>
    <col min="36" max="36" width="5.77734375" bestFit="1" customWidth="1"/>
    <col min="37" max="37" width="10.5546875" bestFit="1" customWidth="1"/>
    <col min="38" max="39" width="4.77734375" bestFit="1" customWidth="1"/>
    <col min="40" max="40" width="5.77734375" bestFit="1" customWidth="1"/>
    <col min="41" max="41" width="10.6640625" bestFit="1" customWidth="1"/>
    <col min="42" max="42" width="4.77734375" bestFit="1" customWidth="1"/>
    <col min="43" max="43" width="4.33203125" bestFit="1" customWidth="1"/>
    <col min="44" max="44" width="5.77734375" bestFit="1" customWidth="1"/>
    <col min="45" max="45" width="10.6640625" bestFit="1" customWidth="1"/>
    <col min="46" max="46" width="5.6640625" bestFit="1" customWidth="1"/>
    <col min="47" max="47" width="4.77734375" bestFit="1" customWidth="1"/>
    <col min="48" max="48" width="5.77734375" bestFit="1" customWidth="1"/>
    <col min="49" max="49" width="10.6640625" bestFit="1" customWidth="1"/>
    <col min="50" max="51" width="4.77734375" bestFit="1" customWidth="1"/>
    <col min="52" max="52" width="5.77734375" bestFit="1" customWidth="1"/>
    <col min="53" max="53" width="9.5546875" bestFit="1" customWidth="1"/>
    <col min="54" max="54" width="4.77734375" bestFit="1" customWidth="1"/>
    <col min="55" max="55" width="4.33203125" bestFit="1" customWidth="1"/>
    <col min="56" max="56" width="5.77734375" bestFit="1" customWidth="1"/>
    <col min="57" max="57" width="9.5546875" bestFit="1" customWidth="1"/>
    <col min="58" max="58" width="5.6640625" bestFit="1" customWidth="1"/>
    <col min="59" max="59" width="4.77734375" bestFit="1" customWidth="1"/>
    <col min="60" max="60" width="5.77734375" bestFit="1" customWidth="1"/>
    <col min="61" max="61" width="9.5546875" bestFit="1" customWidth="1"/>
    <col min="62" max="63" width="4.77734375" bestFit="1" customWidth="1"/>
    <col min="64" max="64" width="5.77734375" bestFit="1" customWidth="1"/>
    <col min="65" max="65" width="9.5546875" bestFit="1" customWidth="1"/>
    <col min="66" max="66" width="4.77734375" bestFit="1" customWidth="1"/>
    <col min="67" max="67" width="4.33203125" bestFit="1" customWidth="1"/>
    <col min="68" max="68" width="5.77734375" bestFit="1" customWidth="1"/>
    <col min="69" max="69" width="9.5546875" bestFit="1" customWidth="1"/>
    <col min="70" max="70" width="5.6640625" bestFit="1" customWidth="1"/>
    <col min="71" max="71" width="4.77734375" bestFit="1" customWidth="1"/>
    <col min="72" max="72" width="5.77734375" bestFit="1" customWidth="1"/>
    <col min="73" max="73" width="10.5546875" bestFit="1" customWidth="1"/>
    <col min="74" max="75" width="4.77734375" bestFit="1" customWidth="1"/>
    <col min="76" max="76" width="5.77734375" bestFit="1" customWidth="1"/>
    <col min="77" max="77" width="9.5546875" bestFit="1" customWidth="1"/>
    <col min="78" max="78" width="4.77734375" bestFit="1" customWidth="1"/>
    <col min="79" max="79" width="4.33203125" bestFit="1" customWidth="1"/>
    <col min="80" max="80" width="5.77734375" bestFit="1" customWidth="1"/>
    <col min="81" max="81" width="10.5546875" bestFit="1" customWidth="1"/>
    <col min="82" max="82" width="5.6640625" bestFit="1" customWidth="1"/>
    <col min="83" max="83" width="4.77734375" bestFit="1" customWidth="1"/>
    <col min="84" max="84" width="5.77734375" bestFit="1" customWidth="1"/>
    <col min="85" max="85" width="10.5546875" bestFit="1" customWidth="1"/>
    <col min="86" max="87" width="4.77734375" bestFit="1" customWidth="1"/>
    <col min="88" max="88" width="5.77734375" bestFit="1" customWidth="1"/>
    <col min="89" max="89" width="9.5546875" bestFit="1" customWidth="1"/>
    <col min="90" max="90" width="4.77734375" bestFit="1" customWidth="1"/>
    <col min="91" max="91" width="4.33203125" bestFit="1" customWidth="1"/>
    <col min="92" max="92" width="5.77734375" bestFit="1" customWidth="1"/>
    <col min="93" max="93" width="9.5546875" bestFit="1" customWidth="1"/>
    <col min="94" max="94" width="5.6640625" bestFit="1" customWidth="1"/>
    <col min="95" max="95" width="4.77734375" bestFit="1" customWidth="1"/>
    <col min="96" max="96" width="5.77734375" bestFit="1" customWidth="1"/>
    <col min="97" max="97" width="11.5546875" bestFit="1" customWidth="1"/>
    <col min="98" max="99" width="4.77734375" bestFit="1" customWidth="1"/>
    <col min="100" max="100" width="5.77734375" bestFit="1" customWidth="1"/>
    <col min="101" max="101" width="9.5546875" bestFit="1" customWidth="1"/>
    <col min="102" max="102" width="4.77734375" bestFit="1" customWidth="1"/>
    <col min="103" max="103" width="4.33203125" bestFit="1" customWidth="1"/>
    <col min="104" max="104" width="5.77734375" bestFit="1" customWidth="1"/>
    <col min="105" max="105" width="9.5546875" bestFit="1" customWidth="1"/>
    <col min="106" max="106" width="5.6640625" bestFit="1" customWidth="1"/>
    <col min="107" max="107" width="4.77734375" bestFit="1" customWidth="1"/>
    <col min="108" max="108" width="5.77734375" bestFit="1" customWidth="1"/>
    <col min="109" max="109" width="11.5546875" bestFit="1" customWidth="1"/>
    <col min="110" max="111" width="4.77734375" bestFit="1" customWidth="1"/>
    <col min="112" max="112" width="5.77734375" bestFit="1" customWidth="1"/>
    <col min="113" max="113" width="9.5546875" bestFit="1" customWidth="1"/>
    <col min="114" max="114" width="4.77734375" bestFit="1" customWidth="1"/>
    <col min="115" max="115" width="4.5546875" bestFit="1" customWidth="1"/>
    <col min="116" max="116" width="5.77734375" bestFit="1" customWidth="1"/>
    <col min="117" max="117" width="9.5546875" bestFit="1" customWidth="1"/>
    <col min="118" max="118" width="5.6640625" bestFit="1" customWidth="1"/>
    <col min="119" max="119" width="4.77734375" bestFit="1" customWidth="1"/>
    <col min="120" max="120" width="5.77734375" bestFit="1" customWidth="1"/>
    <col min="121" max="121" width="9.5546875" bestFit="1" customWidth="1"/>
    <col min="122" max="123" width="4.77734375" bestFit="1" customWidth="1"/>
    <col min="124" max="124" width="5.77734375" bestFit="1" customWidth="1"/>
    <col min="125" max="125" width="9.5546875" bestFit="1" customWidth="1"/>
    <col min="126" max="126" width="4.77734375" bestFit="1" customWidth="1"/>
    <col min="127" max="127" width="4.33203125" bestFit="1" customWidth="1"/>
    <col min="128" max="128" width="5.77734375" bestFit="1" customWidth="1"/>
    <col min="129" max="129" width="9.5546875" bestFit="1" customWidth="1"/>
    <col min="130" max="130" width="5.6640625" bestFit="1" customWidth="1"/>
    <col min="131" max="131" width="4.77734375" bestFit="1" customWidth="1"/>
    <col min="132" max="132" width="5.77734375" bestFit="1" customWidth="1"/>
    <col min="133" max="133" width="9.5546875" bestFit="1" customWidth="1"/>
    <col min="134" max="135" width="4.77734375" bestFit="1" customWidth="1"/>
    <col min="136" max="136" width="5.77734375" bestFit="1" customWidth="1"/>
    <col min="137" max="137" width="9.5546875" bestFit="1" customWidth="1"/>
    <col min="138" max="138" width="4.77734375" bestFit="1" customWidth="1"/>
    <col min="139" max="139" width="4.33203125" bestFit="1" customWidth="1"/>
    <col min="140" max="140" width="5.77734375" bestFit="1" customWidth="1"/>
    <col min="141" max="141" width="9.5546875" bestFit="1" customWidth="1"/>
    <col min="142" max="142" width="5.6640625" bestFit="1" customWidth="1"/>
    <col min="143" max="143" width="4.77734375" bestFit="1" customWidth="1"/>
    <col min="144" max="144" width="5.77734375" bestFit="1" customWidth="1"/>
    <col min="145" max="145" width="9.5546875" bestFit="1" customWidth="1"/>
    <col min="146" max="146" width="11.5546875" bestFit="1" customWidth="1"/>
    <col min="147" max="147" width="6.5546875" bestFit="1" customWidth="1"/>
    <col min="148" max="148" width="28.33203125" bestFit="1" customWidth="1"/>
    <col min="149" max="149" width="9.109375" bestFit="1" customWidth="1"/>
    <col min="150" max="150" width="11.5546875" bestFit="1" customWidth="1"/>
  </cols>
  <sheetData>
    <row r="1" spans="1:150" s="290" customFormat="1" x14ac:dyDescent="0.3">
      <c r="A1" s="289" t="s">
        <v>96</v>
      </c>
      <c r="B1" s="360">
        <v>45748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>
        <v>45778</v>
      </c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>
        <v>45809</v>
      </c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>
        <v>45839</v>
      </c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>
        <v>45870</v>
      </c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>
        <v>45901</v>
      </c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BU1" s="360"/>
      <c r="BV1" s="360">
        <v>45931</v>
      </c>
      <c r="BW1" s="360"/>
      <c r="BX1" s="360"/>
      <c r="BY1" s="360"/>
      <c r="BZ1" s="360"/>
      <c r="CA1" s="360"/>
      <c r="CB1" s="360"/>
      <c r="CC1" s="360"/>
      <c r="CD1" s="360"/>
      <c r="CE1" s="360"/>
      <c r="CF1" s="360"/>
      <c r="CG1" s="360"/>
      <c r="CH1" s="360">
        <v>45962</v>
      </c>
      <c r="CI1" s="360"/>
      <c r="CJ1" s="360"/>
      <c r="CK1" s="360"/>
      <c r="CL1" s="360"/>
      <c r="CM1" s="360"/>
      <c r="CN1" s="360"/>
      <c r="CO1" s="360"/>
      <c r="CP1" s="360"/>
      <c r="CQ1" s="360"/>
      <c r="CR1" s="360"/>
      <c r="CS1" s="360"/>
      <c r="CT1" s="360">
        <v>45992</v>
      </c>
      <c r="CU1" s="360"/>
      <c r="CV1" s="360"/>
      <c r="CW1" s="360"/>
      <c r="CX1" s="360"/>
      <c r="CY1" s="360"/>
      <c r="CZ1" s="360"/>
      <c r="DA1" s="360"/>
      <c r="DB1" s="360"/>
      <c r="DC1" s="360"/>
      <c r="DD1" s="360"/>
      <c r="DE1" s="360"/>
      <c r="DF1" s="360">
        <v>46023</v>
      </c>
      <c r="DG1" s="360"/>
      <c r="DH1" s="360"/>
      <c r="DI1" s="360"/>
      <c r="DJ1" s="360"/>
      <c r="DK1" s="360"/>
      <c r="DL1" s="360"/>
      <c r="DM1" s="360"/>
      <c r="DN1" s="360"/>
      <c r="DO1" s="360"/>
      <c r="DP1" s="360"/>
      <c r="DQ1" s="360"/>
      <c r="DR1" s="360">
        <v>46054</v>
      </c>
      <c r="DS1" s="360"/>
      <c r="DT1" s="360"/>
      <c r="DU1" s="360"/>
      <c r="DV1" s="360"/>
      <c r="DW1" s="360"/>
      <c r="DX1" s="360"/>
      <c r="DY1" s="360"/>
      <c r="DZ1" s="360"/>
      <c r="EA1" s="360"/>
      <c r="EB1" s="360"/>
      <c r="EC1" s="360"/>
      <c r="ED1" s="360">
        <v>46082</v>
      </c>
      <c r="EE1" s="360"/>
      <c r="EF1" s="360"/>
      <c r="EG1" s="360"/>
      <c r="EH1" s="360"/>
      <c r="EI1" s="360"/>
      <c r="EJ1" s="360"/>
      <c r="EK1" s="360"/>
      <c r="EL1" s="360"/>
      <c r="EM1" s="360"/>
      <c r="EN1" s="360"/>
      <c r="EO1" s="360"/>
    </row>
    <row r="2" spans="1:150" x14ac:dyDescent="0.3">
      <c r="A2" s="278" t="s">
        <v>112</v>
      </c>
      <c r="B2" s="355" t="s">
        <v>17</v>
      </c>
      <c r="C2" s="355"/>
      <c r="D2" s="355"/>
      <c r="E2" s="355"/>
      <c r="F2" s="355" t="s">
        <v>18</v>
      </c>
      <c r="G2" s="355"/>
      <c r="H2" s="355"/>
      <c r="I2" s="355"/>
      <c r="J2" s="355" t="s">
        <v>14</v>
      </c>
      <c r="K2" s="355"/>
      <c r="L2" s="355"/>
      <c r="M2" s="355"/>
      <c r="N2" s="355" t="s">
        <v>17</v>
      </c>
      <c r="O2" s="355"/>
      <c r="P2" s="355"/>
      <c r="Q2" s="355"/>
      <c r="R2" s="355" t="s">
        <v>18</v>
      </c>
      <c r="S2" s="355"/>
      <c r="T2" s="355"/>
      <c r="U2" s="355"/>
      <c r="V2" s="355" t="s">
        <v>14</v>
      </c>
      <c r="W2" s="355"/>
      <c r="X2" s="355"/>
      <c r="Y2" s="355"/>
      <c r="Z2" s="355" t="s">
        <v>17</v>
      </c>
      <c r="AA2" s="355"/>
      <c r="AB2" s="355"/>
      <c r="AC2" s="355"/>
      <c r="AD2" s="355" t="s">
        <v>18</v>
      </c>
      <c r="AE2" s="355"/>
      <c r="AF2" s="355"/>
      <c r="AG2" s="355"/>
      <c r="AH2" s="355" t="s">
        <v>14</v>
      </c>
      <c r="AI2" s="355"/>
      <c r="AJ2" s="355"/>
      <c r="AK2" s="355"/>
      <c r="AL2" s="355" t="s">
        <v>17</v>
      </c>
      <c r="AM2" s="355"/>
      <c r="AN2" s="355"/>
      <c r="AO2" s="355"/>
      <c r="AP2" s="355" t="s">
        <v>18</v>
      </c>
      <c r="AQ2" s="355"/>
      <c r="AR2" s="355"/>
      <c r="AS2" s="355"/>
      <c r="AT2" s="355" t="s">
        <v>14</v>
      </c>
      <c r="AU2" s="355"/>
      <c r="AV2" s="355"/>
      <c r="AW2" s="355"/>
      <c r="AX2" s="355" t="s">
        <v>17</v>
      </c>
      <c r="AY2" s="355"/>
      <c r="AZ2" s="355"/>
      <c r="BA2" s="355"/>
      <c r="BB2" s="355" t="s">
        <v>18</v>
      </c>
      <c r="BC2" s="355"/>
      <c r="BD2" s="355"/>
      <c r="BE2" s="355"/>
      <c r="BF2" s="355" t="s">
        <v>14</v>
      </c>
      <c r="BG2" s="355"/>
      <c r="BH2" s="355"/>
      <c r="BI2" s="355"/>
      <c r="BJ2" s="355" t="s">
        <v>17</v>
      </c>
      <c r="BK2" s="355"/>
      <c r="BL2" s="355"/>
      <c r="BM2" s="355"/>
      <c r="BN2" s="355" t="s">
        <v>18</v>
      </c>
      <c r="BO2" s="355"/>
      <c r="BP2" s="355"/>
      <c r="BQ2" s="355"/>
      <c r="BR2" s="355" t="s">
        <v>14</v>
      </c>
      <c r="BS2" s="355"/>
      <c r="BT2" s="355"/>
      <c r="BU2" s="355"/>
      <c r="BV2" s="355" t="s">
        <v>17</v>
      </c>
      <c r="BW2" s="355"/>
      <c r="BX2" s="355"/>
      <c r="BY2" s="355"/>
      <c r="BZ2" s="355" t="s">
        <v>18</v>
      </c>
      <c r="CA2" s="355"/>
      <c r="CB2" s="355"/>
      <c r="CC2" s="355"/>
      <c r="CD2" s="355" t="s">
        <v>14</v>
      </c>
      <c r="CE2" s="355"/>
      <c r="CF2" s="355"/>
      <c r="CG2" s="355"/>
      <c r="CH2" s="355" t="s">
        <v>17</v>
      </c>
      <c r="CI2" s="355"/>
      <c r="CJ2" s="355"/>
      <c r="CK2" s="355"/>
      <c r="CL2" s="355" t="s">
        <v>18</v>
      </c>
      <c r="CM2" s="355"/>
      <c r="CN2" s="355"/>
      <c r="CO2" s="355"/>
      <c r="CP2" s="355" t="s">
        <v>14</v>
      </c>
      <c r="CQ2" s="355"/>
      <c r="CR2" s="355"/>
      <c r="CS2" s="355"/>
      <c r="CT2" s="355" t="s">
        <v>17</v>
      </c>
      <c r="CU2" s="355"/>
      <c r="CV2" s="355"/>
      <c r="CW2" s="355"/>
      <c r="CX2" s="355" t="s">
        <v>18</v>
      </c>
      <c r="CY2" s="355"/>
      <c r="CZ2" s="355"/>
      <c r="DA2" s="355"/>
      <c r="DB2" s="355" t="s">
        <v>14</v>
      </c>
      <c r="DC2" s="355"/>
      <c r="DD2" s="355"/>
      <c r="DE2" s="355"/>
      <c r="DF2" s="355" t="s">
        <v>17</v>
      </c>
      <c r="DG2" s="355"/>
      <c r="DH2" s="355"/>
      <c r="DI2" s="355"/>
      <c r="DJ2" s="355" t="s">
        <v>18</v>
      </c>
      <c r="DK2" s="355"/>
      <c r="DL2" s="355"/>
      <c r="DM2" s="355"/>
      <c r="DN2" s="355" t="s">
        <v>14</v>
      </c>
      <c r="DO2" s="355"/>
      <c r="DP2" s="355"/>
      <c r="DQ2" s="355"/>
      <c r="DR2" s="355" t="s">
        <v>17</v>
      </c>
      <c r="DS2" s="355"/>
      <c r="DT2" s="355"/>
      <c r="DU2" s="355"/>
      <c r="DV2" s="355" t="s">
        <v>18</v>
      </c>
      <c r="DW2" s="355"/>
      <c r="DX2" s="355"/>
      <c r="DY2" s="355"/>
      <c r="DZ2" s="355" t="s">
        <v>14</v>
      </c>
      <c r="EA2" s="355"/>
      <c r="EB2" s="355"/>
      <c r="EC2" s="355"/>
      <c r="ED2" s="355" t="s">
        <v>17</v>
      </c>
      <c r="EE2" s="355"/>
      <c r="EF2" s="355"/>
      <c r="EG2" s="355"/>
      <c r="EH2" s="355" t="s">
        <v>18</v>
      </c>
      <c r="EI2" s="355"/>
      <c r="EJ2" s="355"/>
      <c r="EK2" s="355"/>
      <c r="EL2" s="355" t="s">
        <v>14</v>
      </c>
      <c r="EM2" s="355"/>
      <c r="EN2" s="355"/>
      <c r="EO2" s="355"/>
      <c r="EP2" s="271" t="s">
        <v>14</v>
      </c>
      <c r="EQ2" s="271"/>
      <c r="ER2" s="271"/>
      <c r="ES2" s="271"/>
      <c r="ET2" s="271"/>
    </row>
    <row r="3" spans="1:150" x14ac:dyDescent="0.3">
      <c r="A3" s="279" t="s">
        <v>102</v>
      </c>
      <c r="B3" s="277" t="s">
        <v>15</v>
      </c>
      <c r="C3" s="277" t="s">
        <v>16</v>
      </c>
      <c r="D3" s="277" t="s">
        <v>14</v>
      </c>
      <c r="E3" s="277" t="s">
        <v>22</v>
      </c>
      <c r="F3" s="277" t="s">
        <v>15</v>
      </c>
      <c r="G3" s="277" t="s">
        <v>16</v>
      </c>
      <c r="H3" s="277" t="s">
        <v>14</v>
      </c>
      <c r="I3" s="277" t="s">
        <v>22</v>
      </c>
      <c r="J3" s="277" t="s">
        <v>15</v>
      </c>
      <c r="K3" s="277" t="s">
        <v>16</v>
      </c>
      <c r="L3" s="277" t="s">
        <v>14</v>
      </c>
      <c r="M3" s="277" t="s">
        <v>22</v>
      </c>
      <c r="N3" s="277" t="s">
        <v>15</v>
      </c>
      <c r="O3" s="277" t="s">
        <v>16</v>
      </c>
      <c r="P3" s="277" t="s">
        <v>14</v>
      </c>
      <c r="Q3" s="277" t="s">
        <v>22</v>
      </c>
      <c r="R3" s="277" t="s">
        <v>15</v>
      </c>
      <c r="S3" s="277" t="s">
        <v>16</v>
      </c>
      <c r="T3" s="277" t="s">
        <v>14</v>
      </c>
      <c r="U3" s="277" t="s">
        <v>22</v>
      </c>
      <c r="V3" s="277" t="s">
        <v>15</v>
      </c>
      <c r="W3" s="277" t="s">
        <v>16</v>
      </c>
      <c r="X3" s="277" t="s">
        <v>14</v>
      </c>
      <c r="Y3" s="277" t="s">
        <v>22</v>
      </c>
      <c r="Z3" s="277" t="s">
        <v>15</v>
      </c>
      <c r="AA3" s="277" t="s">
        <v>16</v>
      </c>
      <c r="AB3" s="277" t="s">
        <v>14</v>
      </c>
      <c r="AC3" s="277" t="s">
        <v>22</v>
      </c>
      <c r="AD3" s="277" t="s">
        <v>15</v>
      </c>
      <c r="AE3" s="277" t="s">
        <v>16</v>
      </c>
      <c r="AF3" s="277" t="s">
        <v>14</v>
      </c>
      <c r="AG3" s="277" t="s">
        <v>22</v>
      </c>
      <c r="AH3" s="277" t="s">
        <v>15</v>
      </c>
      <c r="AI3" s="277" t="s">
        <v>16</v>
      </c>
      <c r="AJ3" s="277" t="s">
        <v>14</v>
      </c>
      <c r="AK3" s="277" t="s">
        <v>22</v>
      </c>
      <c r="AL3" s="277" t="s">
        <v>15</v>
      </c>
      <c r="AM3" s="277" t="s">
        <v>16</v>
      </c>
      <c r="AN3" s="277" t="s">
        <v>14</v>
      </c>
      <c r="AO3" s="277" t="s">
        <v>22</v>
      </c>
      <c r="AP3" s="277" t="s">
        <v>15</v>
      </c>
      <c r="AQ3" s="277" t="s">
        <v>16</v>
      </c>
      <c r="AR3" s="277" t="s">
        <v>14</v>
      </c>
      <c r="AS3" s="277" t="s">
        <v>22</v>
      </c>
      <c r="AT3" s="277" t="s">
        <v>15</v>
      </c>
      <c r="AU3" s="277" t="s">
        <v>16</v>
      </c>
      <c r="AV3" s="277" t="s">
        <v>14</v>
      </c>
      <c r="AW3" s="277" t="s">
        <v>22</v>
      </c>
      <c r="AX3" s="277" t="s">
        <v>15</v>
      </c>
      <c r="AY3" s="277" t="s">
        <v>16</v>
      </c>
      <c r="AZ3" s="277" t="s">
        <v>14</v>
      </c>
      <c r="BA3" s="277" t="s">
        <v>22</v>
      </c>
      <c r="BB3" s="277" t="s">
        <v>15</v>
      </c>
      <c r="BC3" s="277" t="s">
        <v>16</v>
      </c>
      <c r="BD3" s="277" t="s">
        <v>14</v>
      </c>
      <c r="BE3" s="277" t="s">
        <v>22</v>
      </c>
      <c r="BF3" s="277" t="s">
        <v>15</v>
      </c>
      <c r="BG3" s="277" t="s">
        <v>16</v>
      </c>
      <c r="BH3" s="277" t="s">
        <v>14</v>
      </c>
      <c r="BI3" s="277" t="s">
        <v>22</v>
      </c>
      <c r="BJ3" s="277" t="s">
        <v>15</v>
      </c>
      <c r="BK3" s="277" t="s">
        <v>16</v>
      </c>
      <c r="BL3" s="277" t="s">
        <v>14</v>
      </c>
      <c r="BM3" s="277" t="s">
        <v>22</v>
      </c>
      <c r="BN3" s="277" t="s">
        <v>15</v>
      </c>
      <c r="BO3" s="277" t="s">
        <v>16</v>
      </c>
      <c r="BP3" s="277" t="s">
        <v>14</v>
      </c>
      <c r="BQ3" s="277" t="s">
        <v>22</v>
      </c>
      <c r="BR3" s="277" t="s">
        <v>15</v>
      </c>
      <c r="BS3" s="277" t="s">
        <v>16</v>
      </c>
      <c r="BT3" s="277" t="s">
        <v>14</v>
      </c>
      <c r="BU3" s="277" t="s">
        <v>22</v>
      </c>
      <c r="BV3" s="277" t="s">
        <v>15</v>
      </c>
      <c r="BW3" s="277" t="s">
        <v>16</v>
      </c>
      <c r="BX3" s="277" t="s">
        <v>14</v>
      </c>
      <c r="BY3" s="277" t="s">
        <v>22</v>
      </c>
      <c r="BZ3" s="277" t="s">
        <v>15</v>
      </c>
      <c r="CA3" s="277" t="s">
        <v>16</v>
      </c>
      <c r="CB3" s="277" t="s">
        <v>14</v>
      </c>
      <c r="CC3" s="277" t="s">
        <v>22</v>
      </c>
      <c r="CD3" s="277" t="s">
        <v>15</v>
      </c>
      <c r="CE3" s="277" t="s">
        <v>16</v>
      </c>
      <c r="CF3" s="277" t="s">
        <v>14</v>
      </c>
      <c r="CG3" s="277" t="s">
        <v>22</v>
      </c>
      <c r="CH3" s="277" t="s">
        <v>15</v>
      </c>
      <c r="CI3" s="277" t="s">
        <v>16</v>
      </c>
      <c r="CJ3" s="277" t="s">
        <v>14</v>
      </c>
      <c r="CK3" s="277" t="s">
        <v>22</v>
      </c>
      <c r="CL3" s="277" t="s">
        <v>15</v>
      </c>
      <c r="CM3" s="277" t="s">
        <v>16</v>
      </c>
      <c r="CN3" s="277" t="s">
        <v>14</v>
      </c>
      <c r="CO3" s="277" t="s">
        <v>22</v>
      </c>
      <c r="CP3" s="277" t="s">
        <v>15</v>
      </c>
      <c r="CQ3" s="277" t="s">
        <v>16</v>
      </c>
      <c r="CR3" s="277" t="s">
        <v>14</v>
      </c>
      <c r="CS3" s="277" t="s">
        <v>22</v>
      </c>
      <c r="CT3" s="277" t="s">
        <v>15</v>
      </c>
      <c r="CU3" s="277" t="s">
        <v>16</v>
      </c>
      <c r="CV3" s="277" t="s">
        <v>14</v>
      </c>
      <c r="CW3" s="277" t="s">
        <v>22</v>
      </c>
      <c r="CX3" s="277" t="s">
        <v>15</v>
      </c>
      <c r="CY3" s="277" t="s">
        <v>16</v>
      </c>
      <c r="CZ3" s="277" t="s">
        <v>14</v>
      </c>
      <c r="DA3" s="277" t="s">
        <v>22</v>
      </c>
      <c r="DB3" s="277" t="s">
        <v>15</v>
      </c>
      <c r="DC3" s="277" t="s">
        <v>16</v>
      </c>
      <c r="DD3" s="277" t="s">
        <v>14</v>
      </c>
      <c r="DE3" s="277" t="s">
        <v>22</v>
      </c>
      <c r="DF3" s="277" t="s">
        <v>15</v>
      </c>
      <c r="DG3" s="277" t="s">
        <v>16</v>
      </c>
      <c r="DH3" s="277" t="s">
        <v>14</v>
      </c>
      <c r="DI3" s="277" t="s">
        <v>22</v>
      </c>
      <c r="DJ3" s="277" t="s">
        <v>15</v>
      </c>
      <c r="DK3" s="277" t="s">
        <v>16</v>
      </c>
      <c r="DL3" s="277" t="s">
        <v>14</v>
      </c>
      <c r="DM3" s="277" t="s">
        <v>22</v>
      </c>
      <c r="DN3" s="277" t="s">
        <v>15</v>
      </c>
      <c r="DO3" s="277" t="s">
        <v>16</v>
      </c>
      <c r="DP3" s="277" t="s">
        <v>14</v>
      </c>
      <c r="DQ3" s="277" t="s">
        <v>22</v>
      </c>
      <c r="DR3" s="277" t="s">
        <v>15</v>
      </c>
      <c r="DS3" s="277" t="s">
        <v>16</v>
      </c>
      <c r="DT3" s="277" t="s">
        <v>14</v>
      </c>
      <c r="DU3" s="277" t="s">
        <v>22</v>
      </c>
      <c r="DV3" s="277" t="s">
        <v>15</v>
      </c>
      <c r="DW3" s="277" t="s">
        <v>16</v>
      </c>
      <c r="DX3" s="277" t="s">
        <v>14</v>
      </c>
      <c r="DY3" s="277" t="s">
        <v>22</v>
      </c>
      <c r="DZ3" s="277" t="s">
        <v>15</v>
      </c>
      <c r="EA3" s="277" t="s">
        <v>16</v>
      </c>
      <c r="EB3" s="277" t="s">
        <v>14</v>
      </c>
      <c r="EC3" s="277" t="s">
        <v>22</v>
      </c>
      <c r="ED3" s="277" t="s">
        <v>15</v>
      </c>
      <c r="EE3" s="277" t="s">
        <v>16</v>
      </c>
      <c r="EF3" s="277" t="s">
        <v>14</v>
      </c>
      <c r="EG3" s="277" t="s">
        <v>22</v>
      </c>
      <c r="EH3" s="277" t="s">
        <v>15</v>
      </c>
      <c r="EI3" s="277" t="s">
        <v>16</v>
      </c>
      <c r="EJ3" s="277" t="s">
        <v>14</v>
      </c>
      <c r="EK3" s="277" t="s">
        <v>22</v>
      </c>
      <c r="EL3" s="277" t="s">
        <v>15</v>
      </c>
      <c r="EM3" s="277" t="s">
        <v>16</v>
      </c>
      <c r="EN3" s="277" t="s">
        <v>14</v>
      </c>
      <c r="EO3" s="277" t="s">
        <v>22</v>
      </c>
      <c r="EP3" s="280" t="s">
        <v>122</v>
      </c>
      <c r="EQ3" s="271" t="s">
        <v>32</v>
      </c>
      <c r="ER3" s="271" t="s">
        <v>32</v>
      </c>
      <c r="ES3" s="271" t="s">
        <v>124</v>
      </c>
      <c r="ET3" s="281" t="s">
        <v>123</v>
      </c>
    </row>
    <row r="4" spans="1:150" x14ac:dyDescent="0.3">
      <c r="A4" s="282" t="s">
        <v>4</v>
      </c>
      <c r="B4" s="253">
        <v>29</v>
      </c>
      <c r="C4" s="253">
        <v>36</v>
      </c>
      <c r="D4" s="283">
        <f>B4+C4</f>
        <v>65</v>
      </c>
      <c r="E4" s="253">
        <v>4998490</v>
      </c>
      <c r="F4" s="253">
        <v>60</v>
      </c>
      <c r="G4" s="253">
        <v>1</v>
      </c>
      <c r="H4" s="283">
        <f>F4+G4</f>
        <v>61</v>
      </c>
      <c r="I4" s="253">
        <v>9167970</v>
      </c>
      <c r="J4" s="283">
        <f>B4+F4</f>
        <v>89</v>
      </c>
      <c r="K4" s="283">
        <f t="shared" ref="K4:M4" si="0">C4+G4</f>
        <v>37</v>
      </c>
      <c r="L4" s="283">
        <f t="shared" si="0"/>
        <v>126</v>
      </c>
      <c r="M4" s="283">
        <f t="shared" si="0"/>
        <v>14166460</v>
      </c>
      <c r="N4" s="253">
        <v>32</v>
      </c>
      <c r="O4" s="253">
        <v>29</v>
      </c>
      <c r="P4" s="283">
        <f>N4+O4</f>
        <v>61</v>
      </c>
      <c r="Q4" s="253">
        <v>2998730</v>
      </c>
      <c r="R4" s="253">
        <v>49</v>
      </c>
      <c r="S4" s="253">
        <v>1</v>
      </c>
      <c r="T4" s="283">
        <f>R4+S4</f>
        <v>50</v>
      </c>
      <c r="U4" s="253">
        <v>7516760</v>
      </c>
      <c r="V4" s="283">
        <f>N4+R4</f>
        <v>81</v>
      </c>
      <c r="W4" s="283">
        <f t="shared" ref="W4" si="1">O4+S4</f>
        <v>30</v>
      </c>
      <c r="X4" s="283">
        <f t="shared" ref="X4" si="2">P4+T4</f>
        <v>111</v>
      </c>
      <c r="Y4" s="283">
        <f t="shared" ref="Y4" si="3">Q4+U4</f>
        <v>10515490</v>
      </c>
      <c r="Z4" s="253">
        <v>27</v>
      </c>
      <c r="AA4" s="250">
        <v>17</v>
      </c>
      <c r="AB4" s="237">
        <f>Z4+AA4</f>
        <v>44</v>
      </c>
      <c r="AC4" s="250">
        <v>3212750</v>
      </c>
      <c r="AD4" s="250">
        <v>61</v>
      </c>
      <c r="AE4" s="250">
        <v>0</v>
      </c>
      <c r="AF4" s="237">
        <f>AD4+AE4</f>
        <v>61</v>
      </c>
      <c r="AG4" s="250">
        <v>8641384</v>
      </c>
      <c r="AH4" s="250">
        <f>Z4+AD4</f>
        <v>88</v>
      </c>
      <c r="AI4" s="250">
        <f t="shared" ref="AI4:AK4" si="4">AA4+AE4</f>
        <v>17</v>
      </c>
      <c r="AJ4" s="237">
        <f t="shared" si="4"/>
        <v>105</v>
      </c>
      <c r="AK4" s="237">
        <f t="shared" si="4"/>
        <v>11854134</v>
      </c>
      <c r="AL4" s="253">
        <v>28</v>
      </c>
      <c r="AM4" s="250">
        <v>24</v>
      </c>
      <c r="AN4" s="237">
        <f>AL4+AM4</f>
        <v>52</v>
      </c>
      <c r="AO4" s="250">
        <v>3325100</v>
      </c>
      <c r="AP4" s="250">
        <v>64</v>
      </c>
      <c r="AQ4" s="250">
        <v>4</v>
      </c>
      <c r="AR4" s="237">
        <f>AP4+AQ4</f>
        <v>68</v>
      </c>
      <c r="AS4" s="250">
        <v>9694321</v>
      </c>
      <c r="AT4" s="250">
        <f>AL4+AP4</f>
        <v>92</v>
      </c>
      <c r="AU4" s="250">
        <f>AM4+AQ4</f>
        <v>28</v>
      </c>
      <c r="AV4" s="237">
        <f>AN4+AR4</f>
        <v>120</v>
      </c>
      <c r="AW4" s="237">
        <f>AO4+AS4</f>
        <v>13019421</v>
      </c>
      <c r="AX4" s="253">
        <v>27</v>
      </c>
      <c r="AY4" s="250">
        <v>28</v>
      </c>
      <c r="AZ4" s="237">
        <f>AX4+AY4</f>
        <v>55</v>
      </c>
      <c r="BA4" s="250">
        <v>2111740</v>
      </c>
      <c r="BB4" s="250">
        <v>49</v>
      </c>
      <c r="BC4" s="250">
        <v>0</v>
      </c>
      <c r="BD4" s="237">
        <f>BB4+BC4</f>
        <v>49</v>
      </c>
      <c r="BE4" s="250">
        <v>7455320</v>
      </c>
      <c r="BF4" s="250">
        <f>AX4+BB4</f>
        <v>76</v>
      </c>
      <c r="BG4" s="250">
        <f t="shared" ref="BG4:BI4" si="5">AY4+BC4</f>
        <v>28</v>
      </c>
      <c r="BH4" s="237">
        <f t="shared" si="5"/>
        <v>104</v>
      </c>
      <c r="BI4" s="237">
        <f t="shared" si="5"/>
        <v>9567060</v>
      </c>
      <c r="BJ4" s="253">
        <v>32</v>
      </c>
      <c r="BK4" s="250">
        <v>31</v>
      </c>
      <c r="BL4" s="237">
        <f>BJ4+BK4</f>
        <v>63</v>
      </c>
      <c r="BM4" s="250">
        <v>3480510</v>
      </c>
      <c r="BN4" s="250">
        <v>57</v>
      </c>
      <c r="BO4" s="250">
        <v>0</v>
      </c>
      <c r="BP4" s="237">
        <f>SUM(BN4:BO4)</f>
        <v>57</v>
      </c>
      <c r="BQ4" s="250">
        <v>8603474</v>
      </c>
      <c r="BR4" s="250">
        <f>BJ4+BN4</f>
        <v>89</v>
      </c>
      <c r="BS4" s="250">
        <f>BK4+BO4</f>
        <v>31</v>
      </c>
      <c r="BT4" s="237">
        <f>BR4+BS4</f>
        <v>120</v>
      </c>
      <c r="BU4" s="237">
        <f>BM4+BQ4</f>
        <v>12083984</v>
      </c>
      <c r="BV4" s="253">
        <v>38</v>
      </c>
      <c r="BW4" s="250">
        <v>44</v>
      </c>
      <c r="BX4" s="237">
        <f>BV4+BW4</f>
        <v>82</v>
      </c>
      <c r="BY4" s="250">
        <v>3903620</v>
      </c>
      <c r="BZ4" s="250">
        <v>62</v>
      </c>
      <c r="CA4" s="250">
        <v>1</v>
      </c>
      <c r="CB4" s="237">
        <f>SUM(BZ4:CA4)</f>
        <v>63</v>
      </c>
      <c r="CC4" s="250">
        <v>10113920</v>
      </c>
      <c r="CD4" s="250">
        <f>BV4+BZ4</f>
        <v>100</v>
      </c>
      <c r="CE4" s="250">
        <f>BW4+CA4</f>
        <v>45</v>
      </c>
      <c r="CF4" s="237">
        <f>CD4+CE4</f>
        <v>145</v>
      </c>
      <c r="CG4" s="237">
        <f>BY4+CC4</f>
        <v>14017540</v>
      </c>
      <c r="CH4" s="253">
        <v>25</v>
      </c>
      <c r="CI4" s="250">
        <v>38</v>
      </c>
      <c r="CJ4" s="237">
        <f>CH4+CI4</f>
        <v>63</v>
      </c>
      <c r="CK4" s="250">
        <v>2738350</v>
      </c>
      <c r="CL4" s="250">
        <v>60</v>
      </c>
      <c r="CM4" s="250">
        <v>1</v>
      </c>
      <c r="CN4" s="237">
        <f>SUM(CL4:CM4)</f>
        <v>61</v>
      </c>
      <c r="CO4" s="250">
        <v>5355130</v>
      </c>
      <c r="CP4" s="250">
        <f>CH4+CL4</f>
        <v>85</v>
      </c>
      <c r="CQ4" s="250">
        <f>CI4+CM4</f>
        <v>39</v>
      </c>
      <c r="CR4" s="237">
        <f>CP4+CQ4</f>
        <v>124</v>
      </c>
      <c r="CS4" s="237">
        <f>CK4+CO4</f>
        <v>8093480</v>
      </c>
      <c r="CT4" s="253">
        <v>26</v>
      </c>
      <c r="CU4" s="250">
        <v>25</v>
      </c>
      <c r="CV4" s="237">
        <f>CT4+CU4</f>
        <v>51</v>
      </c>
      <c r="CW4" s="250">
        <v>2020020</v>
      </c>
      <c r="CX4" s="250">
        <v>64</v>
      </c>
      <c r="CY4" s="250">
        <v>1</v>
      </c>
      <c r="CZ4" s="237">
        <f>SUM(CX4:CY4)</f>
        <v>65</v>
      </c>
      <c r="DA4" s="250">
        <v>7268370</v>
      </c>
      <c r="DB4" s="250">
        <f>CT4+CX4</f>
        <v>90</v>
      </c>
      <c r="DC4" s="250">
        <f>CU4+CY4</f>
        <v>26</v>
      </c>
      <c r="DD4" s="237">
        <f>DB4+DC4</f>
        <v>116</v>
      </c>
      <c r="DE4" s="237">
        <f>CW4+DA4</f>
        <v>9288390</v>
      </c>
      <c r="DF4" s="250">
        <v>19</v>
      </c>
      <c r="DG4" s="250">
        <v>31</v>
      </c>
      <c r="DH4" s="237">
        <f>DF4+DG4</f>
        <v>50</v>
      </c>
      <c r="DI4" s="250">
        <v>1566720</v>
      </c>
      <c r="DJ4" s="250">
        <v>52</v>
      </c>
      <c r="DK4" s="250">
        <v>3</v>
      </c>
      <c r="DL4" s="237">
        <f>SUM(DJ4:DK4)</f>
        <v>55</v>
      </c>
      <c r="DM4" s="250">
        <v>6236120</v>
      </c>
      <c r="DN4" s="250">
        <f>DF4+DJ4</f>
        <v>71</v>
      </c>
      <c r="DO4" s="250">
        <f>DG4+DK4</f>
        <v>34</v>
      </c>
      <c r="DP4" s="237">
        <f t="shared" ref="DP4:DQ4" si="6">DH4+DL4</f>
        <v>105</v>
      </c>
      <c r="DQ4" s="237">
        <f t="shared" si="6"/>
        <v>7802840</v>
      </c>
      <c r="DR4" s="250">
        <v>24</v>
      </c>
      <c r="DS4" s="250">
        <v>41</v>
      </c>
      <c r="DT4" s="237">
        <f>DR4+DS4</f>
        <v>65</v>
      </c>
      <c r="DU4" s="250">
        <v>2247150</v>
      </c>
      <c r="DV4" s="250">
        <v>47</v>
      </c>
      <c r="DW4" s="250">
        <v>1</v>
      </c>
      <c r="DX4" s="237">
        <f>DV4+DW4</f>
        <v>48</v>
      </c>
      <c r="DY4" s="250">
        <v>6610724</v>
      </c>
      <c r="DZ4" s="237">
        <f>DR4+DV4</f>
        <v>71</v>
      </c>
      <c r="EA4" s="237">
        <f t="shared" ref="EA4:EC4" si="7">DS4+DW4</f>
        <v>42</v>
      </c>
      <c r="EB4" s="237">
        <f t="shared" si="7"/>
        <v>113</v>
      </c>
      <c r="EC4" s="237">
        <f t="shared" si="7"/>
        <v>8857874</v>
      </c>
      <c r="ED4" s="237">
        <v>21</v>
      </c>
      <c r="EE4" s="237">
        <v>20</v>
      </c>
      <c r="EF4" s="237">
        <f>ED4+EE4</f>
        <v>41</v>
      </c>
      <c r="EG4" s="237">
        <v>1671800</v>
      </c>
      <c r="EH4" s="237">
        <v>52</v>
      </c>
      <c r="EI4" s="237">
        <v>1</v>
      </c>
      <c r="EJ4" s="237">
        <f>EH4+EI4</f>
        <v>53</v>
      </c>
      <c r="EK4" s="237">
        <v>7680050</v>
      </c>
      <c r="EL4" s="237">
        <f>ED4+EH4</f>
        <v>73</v>
      </c>
      <c r="EM4" s="237">
        <f t="shared" ref="EM4:EO4" si="8">EE4+EI4</f>
        <v>21</v>
      </c>
      <c r="EN4" s="237">
        <f t="shared" si="8"/>
        <v>94</v>
      </c>
      <c r="EO4" s="237">
        <f t="shared" si="8"/>
        <v>9351850</v>
      </c>
      <c r="EP4" s="271">
        <f>M4+Y4+AK4+AW4+BI4+BU4+CG4+CS4+DE4+DQ4+EC4+EO4</f>
        <v>128618523</v>
      </c>
      <c r="EQ4" s="284">
        <f>J4+V4+AH4+AT4+BF4+BR4+CD4+CP4+DB4+DN4+DZ4+EH4</f>
        <v>984</v>
      </c>
      <c r="ER4" s="271">
        <f>L4+X4+AJ4+AV4+BH4+BT4+CF4+CR4+DD4+DP4+EB4+EN4</f>
        <v>1383</v>
      </c>
      <c r="ES4" s="271">
        <v>1</v>
      </c>
      <c r="ET4" s="271" t="e">
        <f>#REF!*ER4*ES4</f>
        <v>#REF!</v>
      </c>
    </row>
    <row r="5" spans="1:150" x14ac:dyDescent="0.3">
      <c r="A5" s="282" t="s">
        <v>8</v>
      </c>
      <c r="B5" s="253">
        <v>14</v>
      </c>
      <c r="C5" s="253">
        <v>11</v>
      </c>
      <c r="D5" s="283">
        <f t="shared" ref="D5:D22" si="9">B5+C5</f>
        <v>25</v>
      </c>
      <c r="E5" s="253">
        <v>1091880</v>
      </c>
      <c r="F5" s="253">
        <v>16</v>
      </c>
      <c r="G5" s="253">
        <v>1</v>
      </c>
      <c r="H5" s="283">
        <f t="shared" ref="H5:H22" si="10">F5+G5</f>
        <v>17</v>
      </c>
      <c r="I5" s="253">
        <v>1637040</v>
      </c>
      <c r="J5" s="283">
        <f t="shared" ref="J5:J22" si="11">B5+F5</f>
        <v>30</v>
      </c>
      <c r="K5" s="283">
        <f t="shared" ref="K5:K22" si="12">C5+G5</f>
        <v>12</v>
      </c>
      <c r="L5" s="283">
        <f t="shared" ref="L5:L22" si="13">D5+H5</f>
        <v>42</v>
      </c>
      <c r="M5" s="283">
        <f t="shared" ref="M5:M22" si="14">E5+I5</f>
        <v>2728920</v>
      </c>
      <c r="N5" s="253">
        <v>14</v>
      </c>
      <c r="O5" s="253">
        <v>11</v>
      </c>
      <c r="P5" s="283">
        <f t="shared" ref="P5:P22" si="15">N5+O5</f>
        <v>25</v>
      </c>
      <c r="Q5" s="253">
        <v>1132580</v>
      </c>
      <c r="R5" s="253">
        <v>22</v>
      </c>
      <c r="S5" s="253">
        <v>1</v>
      </c>
      <c r="T5" s="283">
        <f t="shared" ref="T5:T22" si="16">R5+S5</f>
        <v>23</v>
      </c>
      <c r="U5" s="253">
        <v>2199380</v>
      </c>
      <c r="V5" s="283">
        <f t="shared" ref="V5:V22" si="17">N5+R5</f>
        <v>36</v>
      </c>
      <c r="W5" s="283">
        <f t="shared" ref="W5:W22" si="18">O5+S5</f>
        <v>12</v>
      </c>
      <c r="X5" s="283">
        <f t="shared" ref="X5:X22" si="19">P5+T5</f>
        <v>48</v>
      </c>
      <c r="Y5" s="283">
        <f t="shared" ref="Y5:Y22" si="20">Q5+U5</f>
        <v>3331960</v>
      </c>
      <c r="Z5" s="253">
        <v>7</v>
      </c>
      <c r="AA5" s="250">
        <v>13</v>
      </c>
      <c r="AB5" s="237">
        <f t="shared" ref="AB5:AB25" si="21">Z5+AA5</f>
        <v>20</v>
      </c>
      <c r="AC5" s="250">
        <v>383760</v>
      </c>
      <c r="AD5" s="250">
        <v>16</v>
      </c>
      <c r="AE5" s="250">
        <v>1</v>
      </c>
      <c r="AF5" s="237">
        <f t="shared" ref="AF5:AF25" si="22">AD5+AE5</f>
        <v>17</v>
      </c>
      <c r="AG5" s="250">
        <v>1326220</v>
      </c>
      <c r="AH5" s="250">
        <f t="shared" ref="AH5:AH25" si="23">Z5+AD5</f>
        <v>23</v>
      </c>
      <c r="AI5" s="250">
        <f t="shared" ref="AI5:AI25" si="24">AA5+AE5</f>
        <v>14</v>
      </c>
      <c r="AJ5" s="237">
        <f t="shared" ref="AJ5:AJ25" si="25">AB5+AF5</f>
        <v>37</v>
      </c>
      <c r="AK5" s="237">
        <f t="shared" ref="AK5:AK25" si="26">AC5+AG5</f>
        <v>1709980</v>
      </c>
      <c r="AL5" s="253">
        <v>17</v>
      </c>
      <c r="AM5" s="250">
        <v>17</v>
      </c>
      <c r="AN5" s="237">
        <f t="shared" ref="AN5:AN26" si="27">AL5+AM5</f>
        <v>34</v>
      </c>
      <c r="AO5" s="250">
        <v>1031880.23</v>
      </c>
      <c r="AP5" s="250">
        <v>18</v>
      </c>
      <c r="AQ5" s="250">
        <v>1</v>
      </c>
      <c r="AR5" s="237">
        <f t="shared" ref="AR5:AR26" si="28">AP5+AQ5</f>
        <v>19</v>
      </c>
      <c r="AS5" s="250">
        <v>1364450.28</v>
      </c>
      <c r="AT5" s="250">
        <f t="shared" ref="AT5:AT26" si="29">AL5+AP5</f>
        <v>35</v>
      </c>
      <c r="AU5" s="250">
        <f t="shared" ref="AU5:AU26" si="30">AM5+AQ5</f>
        <v>18</v>
      </c>
      <c r="AV5" s="237">
        <f t="shared" ref="AV5:AV26" si="31">AN5+AR5</f>
        <v>53</v>
      </c>
      <c r="AW5" s="237">
        <f t="shared" ref="AW5:AW26" si="32">AO5+AS5</f>
        <v>2396330.5099999998</v>
      </c>
      <c r="AX5" s="253">
        <v>16</v>
      </c>
      <c r="AY5" s="250">
        <v>19</v>
      </c>
      <c r="AZ5" s="237">
        <f t="shared" ref="AZ5:AZ26" si="33">AX5+AY5</f>
        <v>35</v>
      </c>
      <c r="BA5" s="250">
        <v>1141860</v>
      </c>
      <c r="BB5" s="250">
        <v>24</v>
      </c>
      <c r="BC5" s="250">
        <v>4</v>
      </c>
      <c r="BD5" s="237">
        <f t="shared" ref="BD5:BD26" si="34">BB5+BC5</f>
        <v>28</v>
      </c>
      <c r="BE5" s="250">
        <v>1817950</v>
      </c>
      <c r="BF5" s="250">
        <f t="shared" ref="BF5:BF26" si="35">AX5+BB5</f>
        <v>40</v>
      </c>
      <c r="BG5" s="250">
        <f t="shared" ref="BG5:BG26" si="36">AY5+BC5</f>
        <v>23</v>
      </c>
      <c r="BH5" s="237">
        <f t="shared" ref="BH5:BH26" si="37">AZ5+BD5</f>
        <v>63</v>
      </c>
      <c r="BI5" s="237">
        <f t="shared" ref="BI5:BI26" si="38">BA5+BE5</f>
        <v>2959810</v>
      </c>
      <c r="BJ5" s="253">
        <v>21</v>
      </c>
      <c r="BK5" s="250">
        <v>20</v>
      </c>
      <c r="BL5" s="237">
        <f t="shared" ref="BL5:BL26" si="39">BJ5+BK5</f>
        <v>41</v>
      </c>
      <c r="BM5" s="250">
        <v>1187820</v>
      </c>
      <c r="BN5" s="250">
        <v>21</v>
      </c>
      <c r="BO5" s="250">
        <v>1</v>
      </c>
      <c r="BP5" s="237">
        <f t="shared" ref="BP5:BP26" si="40">SUM(BN5:BO5)</f>
        <v>22</v>
      </c>
      <c r="BQ5" s="250">
        <v>1689320</v>
      </c>
      <c r="BR5" s="250">
        <f t="shared" ref="BR5:BR26" si="41">BJ5+BN5</f>
        <v>42</v>
      </c>
      <c r="BS5" s="250">
        <f t="shared" ref="BS5:BS26" si="42">BK5+BO5</f>
        <v>21</v>
      </c>
      <c r="BT5" s="237">
        <f t="shared" ref="BT5:BT26" si="43">BR5+BS5</f>
        <v>63</v>
      </c>
      <c r="BU5" s="237">
        <f t="shared" ref="BU5:BU26" si="44">BM5+BQ5</f>
        <v>2877140</v>
      </c>
      <c r="BV5" s="253">
        <v>18</v>
      </c>
      <c r="BW5" s="250">
        <v>14</v>
      </c>
      <c r="BX5" s="237">
        <f t="shared" ref="BX5:BX27" si="45">BV5+BW5</f>
        <v>32</v>
      </c>
      <c r="BY5" s="250">
        <v>1374020</v>
      </c>
      <c r="BZ5" s="250">
        <v>17</v>
      </c>
      <c r="CA5" s="250">
        <v>0</v>
      </c>
      <c r="CB5" s="237">
        <f t="shared" ref="CB5:CB27" si="46">SUM(BZ5:CA5)</f>
        <v>17</v>
      </c>
      <c r="CC5" s="250">
        <v>1644120</v>
      </c>
      <c r="CD5" s="250">
        <f t="shared" ref="CD5:CD27" si="47">BV5+BZ5</f>
        <v>35</v>
      </c>
      <c r="CE5" s="250">
        <f t="shared" ref="CE5:CE27" si="48">BW5+CA5</f>
        <v>14</v>
      </c>
      <c r="CF5" s="237">
        <f t="shared" ref="CF5:CF27" si="49">CD5+CE5</f>
        <v>49</v>
      </c>
      <c r="CG5" s="237">
        <f t="shared" ref="CG5:CG27" si="50">BY5+CC5</f>
        <v>3018140</v>
      </c>
      <c r="CH5" s="253">
        <v>18</v>
      </c>
      <c r="CI5" s="250">
        <v>24</v>
      </c>
      <c r="CJ5" s="237">
        <f t="shared" ref="CJ5:CJ28" si="51">CH5+CI5</f>
        <v>42</v>
      </c>
      <c r="CK5" s="250">
        <v>1385980</v>
      </c>
      <c r="CL5" s="250">
        <v>22</v>
      </c>
      <c r="CM5" s="250">
        <v>0</v>
      </c>
      <c r="CN5" s="237">
        <f t="shared" ref="CN5:CN28" si="52">SUM(CL5:CM5)</f>
        <v>22</v>
      </c>
      <c r="CO5" s="250">
        <v>1963550</v>
      </c>
      <c r="CP5" s="250">
        <f t="shared" ref="CP5:CP28" si="53">CH5+CL5</f>
        <v>40</v>
      </c>
      <c r="CQ5" s="250">
        <f t="shared" ref="CQ5:CQ28" si="54">CI5+CM5</f>
        <v>24</v>
      </c>
      <c r="CR5" s="237">
        <f t="shared" ref="CR5:CR28" si="55">CP5+CQ5</f>
        <v>64</v>
      </c>
      <c r="CS5" s="237">
        <f t="shared" ref="CS5:CS28" si="56">CK5+CO5</f>
        <v>3349530</v>
      </c>
      <c r="CT5" s="253">
        <v>13</v>
      </c>
      <c r="CU5" s="250">
        <v>16</v>
      </c>
      <c r="CV5" s="237">
        <f t="shared" ref="CV5:CV30" si="57">CT5+CU5</f>
        <v>29</v>
      </c>
      <c r="CW5" s="250">
        <v>1310330</v>
      </c>
      <c r="CX5" s="250">
        <v>31</v>
      </c>
      <c r="CY5" s="250">
        <v>3</v>
      </c>
      <c r="CZ5" s="237">
        <f t="shared" ref="CZ5:CZ30" si="58">SUM(CX5:CY5)</f>
        <v>34</v>
      </c>
      <c r="DA5" s="250">
        <v>3043120</v>
      </c>
      <c r="DB5" s="250">
        <f t="shared" ref="DB5:DB30" si="59">CT5+CX5</f>
        <v>44</v>
      </c>
      <c r="DC5" s="250">
        <f t="shared" ref="DC5:DC30" si="60">CU5+CY5</f>
        <v>19</v>
      </c>
      <c r="DD5" s="237">
        <f t="shared" ref="DD5:DD30" si="61">DB5+DC5</f>
        <v>63</v>
      </c>
      <c r="DE5" s="237">
        <f t="shared" ref="DE5:DE30" si="62">CW5+DA5</f>
        <v>4353450</v>
      </c>
      <c r="DF5" s="250">
        <v>14</v>
      </c>
      <c r="DG5" s="250">
        <v>15</v>
      </c>
      <c r="DH5" s="237">
        <f t="shared" ref="DH5:DH30" si="63">DF5+DG5</f>
        <v>29</v>
      </c>
      <c r="DI5" s="250">
        <v>1411800</v>
      </c>
      <c r="DJ5" s="250">
        <v>22</v>
      </c>
      <c r="DK5" s="250">
        <v>2</v>
      </c>
      <c r="DL5" s="237">
        <f t="shared" ref="DL5:DL30" si="64">SUM(DJ5:DK5)</f>
        <v>24</v>
      </c>
      <c r="DM5" s="250">
        <f>1900315-43200</f>
        <v>1857115</v>
      </c>
      <c r="DN5" s="250">
        <f t="shared" ref="DN5:DN30" si="65">DF5+DJ5</f>
        <v>36</v>
      </c>
      <c r="DO5" s="250">
        <f t="shared" ref="DO5:DO30" si="66">DG5+DK5</f>
        <v>17</v>
      </c>
      <c r="DP5" s="237">
        <f t="shared" ref="DP5:DP30" si="67">DH5+DL5</f>
        <v>53</v>
      </c>
      <c r="DQ5" s="237">
        <f t="shared" ref="DQ5:DQ30" si="68">DI5+DM5</f>
        <v>3268915</v>
      </c>
      <c r="DR5" s="250">
        <v>13</v>
      </c>
      <c r="DS5" s="250">
        <v>19</v>
      </c>
      <c r="DT5" s="237">
        <f t="shared" ref="DT5:DT30" si="69">DR5+DS5</f>
        <v>32</v>
      </c>
      <c r="DU5" s="250">
        <v>609390</v>
      </c>
      <c r="DV5" s="250">
        <v>27</v>
      </c>
      <c r="DW5" s="250">
        <v>1</v>
      </c>
      <c r="DX5" s="237">
        <f t="shared" ref="DX5:DX30" si="70">DV5+DW5</f>
        <v>28</v>
      </c>
      <c r="DY5" s="250">
        <v>3031460</v>
      </c>
      <c r="DZ5" s="237">
        <f t="shared" ref="DZ5:DZ30" si="71">DR5+DV5</f>
        <v>40</v>
      </c>
      <c r="EA5" s="237">
        <f t="shared" ref="EA5:EA30" si="72">DS5+DW5</f>
        <v>20</v>
      </c>
      <c r="EB5" s="237">
        <f t="shared" ref="EB5:EB30" si="73">DT5+DX5</f>
        <v>60</v>
      </c>
      <c r="EC5" s="237">
        <f t="shared" ref="EC5:EC30" si="74">DU5+DY5</f>
        <v>3640850</v>
      </c>
      <c r="ED5" s="237">
        <v>12</v>
      </c>
      <c r="EE5" s="237">
        <v>18</v>
      </c>
      <c r="EF5" s="237">
        <f t="shared" ref="EF5:EF31" si="75">ED5+EE5</f>
        <v>30</v>
      </c>
      <c r="EG5" s="237">
        <v>998888</v>
      </c>
      <c r="EH5" s="237">
        <v>22</v>
      </c>
      <c r="EI5" s="237">
        <v>2</v>
      </c>
      <c r="EJ5" s="237">
        <f t="shared" ref="EJ5:EJ31" si="76">EH5+EI5</f>
        <v>24</v>
      </c>
      <c r="EK5" s="237">
        <v>1725430</v>
      </c>
      <c r="EL5" s="237">
        <f t="shared" ref="EL5:EL31" si="77">ED5+EH5</f>
        <v>34</v>
      </c>
      <c r="EM5" s="237">
        <f t="shared" ref="EM5:EM31" si="78">EE5+EI5</f>
        <v>20</v>
      </c>
      <c r="EN5" s="237">
        <f t="shared" ref="EN5:EN31" si="79">EF5+EJ5</f>
        <v>54</v>
      </c>
      <c r="EO5" s="237">
        <f t="shared" ref="EO5:EO31" si="80">EG5+EK5</f>
        <v>2724318</v>
      </c>
      <c r="EP5" s="271">
        <f t="shared" ref="EP5:EP31" si="81">M5+Y5+AK5+AW5+BI5+BU5+CG5+CS5+DE5+DQ5+EC5+EO5</f>
        <v>36359343.509999998</v>
      </c>
      <c r="EQ5" s="284">
        <f t="shared" ref="EQ5:EQ31" si="82">J5+V5+AH5+AT5+BF5+BR5+CD5+CP5+DB5+DN5+DZ5+EH5</f>
        <v>423</v>
      </c>
      <c r="ER5" s="271">
        <f t="shared" ref="ER5:ER31" si="83">L5+X5+AJ5+AV5+BH5+BT5+CF5+CR5+DD5+DP5+EB5+EN5</f>
        <v>649</v>
      </c>
      <c r="ES5" s="271"/>
      <c r="ET5" s="271"/>
    </row>
    <row r="6" spans="1:150" x14ac:dyDescent="0.3">
      <c r="A6" s="282" t="s">
        <v>7</v>
      </c>
      <c r="B6" s="253">
        <v>9</v>
      </c>
      <c r="C6" s="253">
        <v>6</v>
      </c>
      <c r="D6" s="283">
        <f t="shared" si="9"/>
        <v>15</v>
      </c>
      <c r="E6" s="253">
        <v>578300</v>
      </c>
      <c r="F6" s="253">
        <v>21</v>
      </c>
      <c r="G6" s="253">
        <v>0</v>
      </c>
      <c r="H6" s="283">
        <f t="shared" si="10"/>
        <v>21</v>
      </c>
      <c r="I6" s="253">
        <v>2107000</v>
      </c>
      <c r="J6" s="283">
        <f t="shared" si="11"/>
        <v>30</v>
      </c>
      <c r="K6" s="283">
        <f t="shared" si="12"/>
        <v>6</v>
      </c>
      <c r="L6" s="283">
        <f t="shared" si="13"/>
        <v>36</v>
      </c>
      <c r="M6" s="283">
        <f t="shared" si="14"/>
        <v>2685300</v>
      </c>
      <c r="N6" s="253">
        <v>16</v>
      </c>
      <c r="O6" s="253">
        <v>13</v>
      </c>
      <c r="P6" s="283">
        <f t="shared" si="15"/>
        <v>29</v>
      </c>
      <c r="Q6" s="253">
        <v>592860</v>
      </c>
      <c r="R6" s="253">
        <v>25</v>
      </c>
      <c r="S6" s="253">
        <v>0</v>
      </c>
      <c r="T6" s="283">
        <f t="shared" si="16"/>
        <v>25</v>
      </c>
      <c r="U6" s="253">
        <v>3278100</v>
      </c>
      <c r="V6" s="283">
        <f t="shared" si="17"/>
        <v>41</v>
      </c>
      <c r="W6" s="283">
        <f t="shared" si="18"/>
        <v>13</v>
      </c>
      <c r="X6" s="283">
        <f t="shared" si="19"/>
        <v>54</v>
      </c>
      <c r="Y6" s="283">
        <f t="shared" si="20"/>
        <v>3870960</v>
      </c>
      <c r="Z6" s="253">
        <v>17</v>
      </c>
      <c r="AA6" s="250">
        <v>15</v>
      </c>
      <c r="AB6" s="237">
        <f t="shared" si="21"/>
        <v>32</v>
      </c>
      <c r="AC6" s="250">
        <v>657100</v>
      </c>
      <c r="AD6" s="250">
        <v>25</v>
      </c>
      <c r="AE6" s="250">
        <v>1</v>
      </c>
      <c r="AF6" s="237">
        <f t="shared" si="22"/>
        <v>26</v>
      </c>
      <c r="AG6" s="250">
        <v>2785232</v>
      </c>
      <c r="AH6" s="250">
        <f t="shared" si="23"/>
        <v>42</v>
      </c>
      <c r="AI6" s="250">
        <f t="shared" si="24"/>
        <v>16</v>
      </c>
      <c r="AJ6" s="237">
        <f t="shared" si="25"/>
        <v>58</v>
      </c>
      <c r="AK6" s="237">
        <f t="shared" si="26"/>
        <v>3442332</v>
      </c>
      <c r="AL6" s="253">
        <v>15</v>
      </c>
      <c r="AM6" s="250">
        <v>9</v>
      </c>
      <c r="AN6" s="237">
        <f t="shared" si="27"/>
        <v>24</v>
      </c>
      <c r="AO6" s="250">
        <v>622960.04</v>
      </c>
      <c r="AP6" s="250">
        <v>26</v>
      </c>
      <c r="AQ6" s="250">
        <v>1</v>
      </c>
      <c r="AR6" s="237">
        <f t="shared" si="28"/>
        <v>27</v>
      </c>
      <c r="AS6" s="250">
        <v>2461120</v>
      </c>
      <c r="AT6" s="250">
        <f t="shared" si="29"/>
        <v>41</v>
      </c>
      <c r="AU6" s="250">
        <f t="shared" si="30"/>
        <v>10</v>
      </c>
      <c r="AV6" s="237">
        <f t="shared" si="31"/>
        <v>51</v>
      </c>
      <c r="AW6" s="237">
        <f t="shared" si="32"/>
        <v>3084080.04</v>
      </c>
      <c r="AX6" s="253">
        <v>19</v>
      </c>
      <c r="AY6" s="250">
        <v>15</v>
      </c>
      <c r="AZ6" s="237">
        <f t="shared" si="33"/>
        <v>34</v>
      </c>
      <c r="BA6" s="250">
        <v>715400</v>
      </c>
      <c r="BB6" s="250">
        <v>37</v>
      </c>
      <c r="BC6" s="250">
        <v>1</v>
      </c>
      <c r="BD6" s="237">
        <f t="shared" si="34"/>
        <v>38</v>
      </c>
      <c r="BE6" s="250">
        <v>2618700</v>
      </c>
      <c r="BF6" s="250">
        <f t="shared" si="35"/>
        <v>56</v>
      </c>
      <c r="BG6" s="250">
        <f t="shared" si="36"/>
        <v>16</v>
      </c>
      <c r="BH6" s="237">
        <f t="shared" si="37"/>
        <v>72</v>
      </c>
      <c r="BI6" s="237">
        <f t="shared" si="38"/>
        <v>3334100</v>
      </c>
      <c r="BJ6" s="253">
        <v>22</v>
      </c>
      <c r="BK6" s="250">
        <v>18</v>
      </c>
      <c r="BL6" s="237">
        <f t="shared" si="39"/>
        <v>40</v>
      </c>
      <c r="BM6" s="250">
        <v>1181360</v>
      </c>
      <c r="BN6" s="250">
        <v>38</v>
      </c>
      <c r="BO6" s="250">
        <v>0</v>
      </c>
      <c r="BP6" s="237">
        <f t="shared" si="40"/>
        <v>38</v>
      </c>
      <c r="BQ6" s="250">
        <v>2953880</v>
      </c>
      <c r="BR6" s="250">
        <f t="shared" si="41"/>
        <v>60</v>
      </c>
      <c r="BS6" s="250">
        <f t="shared" si="42"/>
        <v>18</v>
      </c>
      <c r="BT6" s="237">
        <f t="shared" si="43"/>
        <v>78</v>
      </c>
      <c r="BU6" s="237">
        <f t="shared" si="44"/>
        <v>4135240</v>
      </c>
      <c r="BV6" s="253">
        <v>18</v>
      </c>
      <c r="BW6" s="250">
        <v>10</v>
      </c>
      <c r="BX6" s="237">
        <f t="shared" si="45"/>
        <v>28</v>
      </c>
      <c r="BY6" s="250">
        <v>705200</v>
      </c>
      <c r="BZ6" s="250">
        <v>41</v>
      </c>
      <c r="CA6" s="250">
        <v>3</v>
      </c>
      <c r="CB6" s="237">
        <f t="shared" si="46"/>
        <v>44</v>
      </c>
      <c r="CC6" s="250">
        <v>3101820</v>
      </c>
      <c r="CD6" s="250">
        <f t="shared" si="47"/>
        <v>59</v>
      </c>
      <c r="CE6" s="250">
        <f t="shared" si="48"/>
        <v>13</v>
      </c>
      <c r="CF6" s="237">
        <f t="shared" si="49"/>
        <v>72</v>
      </c>
      <c r="CG6" s="237">
        <f t="shared" si="50"/>
        <v>3807020</v>
      </c>
      <c r="CH6" s="253">
        <v>16</v>
      </c>
      <c r="CI6" s="250">
        <v>19</v>
      </c>
      <c r="CJ6" s="237">
        <f t="shared" si="51"/>
        <v>35</v>
      </c>
      <c r="CK6" s="250">
        <v>774800</v>
      </c>
      <c r="CL6" s="250">
        <v>34</v>
      </c>
      <c r="CM6" s="250">
        <v>1</v>
      </c>
      <c r="CN6" s="237">
        <f t="shared" si="52"/>
        <v>35</v>
      </c>
      <c r="CO6" s="250">
        <v>2755282</v>
      </c>
      <c r="CP6" s="250">
        <f t="shared" si="53"/>
        <v>50</v>
      </c>
      <c r="CQ6" s="250">
        <f t="shared" si="54"/>
        <v>20</v>
      </c>
      <c r="CR6" s="237">
        <f t="shared" si="55"/>
        <v>70</v>
      </c>
      <c r="CS6" s="237">
        <f t="shared" si="56"/>
        <v>3530082</v>
      </c>
      <c r="CT6" s="253">
        <v>18</v>
      </c>
      <c r="CU6" s="250">
        <v>11</v>
      </c>
      <c r="CV6" s="237">
        <f t="shared" si="57"/>
        <v>29</v>
      </c>
      <c r="CW6" s="250">
        <v>690160</v>
      </c>
      <c r="CX6" s="250">
        <v>42</v>
      </c>
      <c r="CY6" s="250">
        <v>0</v>
      </c>
      <c r="CZ6" s="237">
        <f t="shared" si="58"/>
        <v>42</v>
      </c>
      <c r="DA6" s="250">
        <v>3779388</v>
      </c>
      <c r="DB6" s="250">
        <f t="shared" si="59"/>
        <v>60</v>
      </c>
      <c r="DC6" s="250">
        <f t="shared" si="60"/>
        <v>11</v>
      </c>
      <c r="DD6" s="237">
        <f t="shared" si="61"/>
        <v>71</v>
      </c>
      <c r="DE6" s="237">
        <f t="shared" si="62"/>
        <v>4469548</v>
      </c>
      <c r="DF6" s="250">
        <v>21</v>
      </c>
      <c r="DG6" s="250">
        <v>15</v>
      </c>
      <c r="DH6" s="237">
        <f t="shared" si="63"/>
        <v>36</v>
      </c>
      <c r="DI6" s="250">
        <v>1165120</v>
      </c>
      <c r="DJ6" s="250">
        <v>38</v>
      </c>
      <c r="DK6" s="250">
        <v>0</v>
      </c>
      <c r="DL6" s="237">
        <f t="shared" si="64"/>
        <v>38</v>
      </c>
      <c r="DM6" s="250">
        <v>2943970</v>
      </c>
      <c r="DN6" s="250">
        <f t="shared" si="65"/>
        <v>59</v>
      </c>
      <c r="DO6" s="250">
        <f t="shared" si="66"/>
        <v>15</v>
      </c>
      <c r="DP6" s="237">
        <f t="shared" si="67"/>
        <v>74</v>
      </c>
      <c r="DQ6" s="237">
        <f t="shared" si="68"/>
        <v>4109090</v>
      </c>
      <c r="DR6" s="250">
        <v>12</v>
      </c>
      <c r="DS6" s="250">
        <v>16</v>
      </c>
      <c r="DT6" s="237">
        <f t="shared" si="69"/>
        <v>28</v>
      </c>
      <c r="DU6" s="250">
        <v>716510</v>
      </c>
      <c r="DV6" s="250">
        <v>38</v>
      </c>
      <c r="DW6" s="250">
        <v>0</v>
      </c>
      <c r="DX6" s="237">
        <f t="shared" si="70"/>
        <v>38</v>
      </c>
      <c r="DY6" s="250">
        <v>2478480</v>
      </c>
      <c r="DZ6" s="237">
        <f t="shared" si="71"/>
        <v>50</v>
      </c>
      <c r="EA6" s="237">
        <f t="shared" si="72"/>
        <v>16</v>
      </c>
      <c r="EB6" s="237">
        <f t="shared" si="73"/>
        <v>66</v>
      </c>
      <c r="EC6" s="237">
        <f t="shared" si="74"/>
        <v>3194990</v>
      </c>
      <c r="ED6" s="237">
        <v>16</v>
      </c>
      <c r="EE6" s="237">
        <v>18</v>
      </c>
      <c r="EF6" s="237">
        <f t="shared" si="75"/>
        <v>34</v>
      </c>
      <c r="EG6" s="237">
        <v>802160</v>
      </c>
      <c r="EH6" s="237">
        <v>35</v>
      </c>
      <c r="EI6" s="237">
        <v>0</v>
      </c>
      <c r="EJ6" s="237">
        <f t="shared" si="76"/>
        <v>35</v>
      </c>
      <c r="EK6" s="237">
        <v>2198140</v>
      </c>
      <c r="EL6" s="237">
        <f t="shared" si="77"/>
        <v>51</v>
      </c>
      <c r="EM6" s="237">
        <f t="shared" si="78"/>
        <v>18</v>
      </c>
      <c r="EN6" s="237">
        <f t="shared" si="79"/>
        <v>69</v>
      </c>
      <c r="EO6" s="237">
        <f t="shared" si="80"/>
        <v>3000300</v>
      </c>
      <c r="EP6" s="271">
        <f t="shared" si="81"/>
        <v>42663042.039999999</v>
      </c>
      <c r="EQ6" s="284">
        <f t="shared" si="82"/>
        <v>583</v>
      </c>
      <c r="ER6" s="271">
        <f t="shared" si="83"/>
        <v>771</v>
      </c>
      <c r="ES6" s="271"/>
      <c r="ET6" s="271"/>
    </row>
    <row r="7" spans="1:150" x14ac:dyDescent="0.3">
      <c r="A7" s="282" t="s">
        <v>13</v>
      </c>
      <c r="B7" s="253">
        <v>8</v>
      </c>
      <c r="C7" s="253">
        <v>9</v>
      </c>
      <c r="D7" s="283">
        <f t="shared" si="9"/>
        <v>17</v>
      </c>
      <c r="E7" s="253">
        <v>434300</v>
      </c>
      <c r="F7" s="253">
        <v>9</v>
      </c>
      <c r="G7" s="253">
        <v>0</v>
      </c>
      <c r="H7" s="283">
        <f t="shared" si="10"/>
        <v>9</v>
      </c>
      <c r="I7" s="253">
        <v>768400</v>
      </c>
      <c r="J7" s="283">
        <f t="shared" si="11"/>
        <v>17</v>
      </c>
      <c r="K7" s="283">
        <f t="shared" si="12"/>
        <v>9</v>
      </c>
      <c r="L7" s="283">
        <f t="shared" si="13"/>
        <v>26</v>
      </c>
      <c r="M7" s="283">
        <f t="shared" si="14"/>
        <v>1202700</v>
      </c>
      <c r="N7" s="253">
        <v>10</v>
      </c>
      <c r="O7" s="253">
        <v>9</v>
      </c>
      <c r="P7" s="283">
        <f t="shared" si="15"/>
        <v>19</v>
      </c>
      <c r="Q7" s="253">
        <v>779080</v>
      </c>
      <c r="R7" s="253">
        <v>17</v>
      </c>
      <c r="S7" s="253">
        <v>0</v>
      </c>
      <c r="T7" s="283">
        <f t="shared" si="16"/>
        <v>17</v>
      </c>
      <c r="U7" s="253">
        <v>1736560</v>
      </c>
      <c r="V7" s="283">
        <f t="shared" si="17"/>
        <v>27</v>
      </c>
      <c r="W7" s="283">
        <f t="shared" si="18"/>
        <v>9</v>
      </c>
      <c r="X7" s="283">
        <f t="shared" si="19"/>
        <v>36</v>
      </c>
      <c r="Y7" s="283">
        <f t="shared" si="20"/>
        <v>2515640</v>
      </c>
      <c r="Z7" s="253">
        <v>5</v>
      </c>
      <c r="AA7" s="250">
        <v>7</v>
      </c>
      <c r="AB7" s="237">
        <f t="shared" si="21"/>
        <v>12</v>
      </c>
      <c r="AC7" s="250">
        <f>362900-6000</f>
        <v>356900</v>
      </c>
      <c r="AD7" s="250">
        <v>14</v>
      </c>
      <c r="AE7" s="250">
        <v>1</v>
      </c>
      <c r="AF7" s="237">
        <f t="shared" si="22"/>
        <v>15</v>
      </c>
      <c r="AG7" s="250">
        <v>899760</v>
      </c>
      <c r="AH7" s="250">
        <f t="shared" si="23"/>
        <v>19</v>
      </c>
      <c r="AI7" s="250">
        <f t="shared" si="24"/>
        <v>8</v>
      </c>
      <c r="AJ7" s="237">
        <f t="shared" si="25"/>
        <v>27</v>
      </c>
      <c r="AK7" s="237">
        <f t="shared" si="26"/>
        <v>1256660</v>
      </c>
      <c r="AL7" s="253">
        <v>7</v>
      </c>
      <c r="AM7" s="250">
        <v>13</v>
      </c>
      <c r="AN7" s="237">
        <f t="shared" si="27"/>
        <v>20</v>
      </c>
      <c r="AO7" s="250">
        <v>280400</v>
      </c>
      <c r="AP7" s="250">
        <v>13</v>
      </c>
      <c r="AQ7" s="250">
        <v>0</v>
      </c>
      <c r="AR7" s="237">
        <f t="shared" si="28"/>
        <v>13</v>
      </c>
      <c r="AS7" s="250">
        <v>879120</v>
      </c>
      <c r="AT7" s="250">
        <f t="shared" si="29"/>
        <v>20</v>
      </c>
      <c r="AU7" s="250">
        <f t="shared" si="30"/>
        <v>13</v>
      </c>
      <c r="AV7" s="237">
        <f t="shared" si="31"/>
        <v>33</v>
      </c>
      <c r="AW7" s="237">
        <f t="shared" si="32"/>
        <v>1159520</v>
      </c>
      <c r="AX7" s="253">
        <v>14</v>
      </c>
      <c r="AY7" s="250">
        <v>13</v>
      </c>
      <c r="AZ7" s="237">
        <f t="shared" si="33"/>
        <v>27</v>
      </c>
      <c r="BA7" s="250">
        <v>988940</v>
      </c>
      <c r="BB7" s="250">
        <v>13</v>
      </c>
      <c r="BC7" s="250">
        <v>0</v>
      </c>
      <c r="BD7" s="237">
        <f t="shared" si="34"/>
        <v>13</v>
      </c>
      <c r="BE7" s="250">
        <v>725160</v>
      </c>
      <c r="BF7" s="250">
        <f t="shared" si="35"/>
        <v>27</v>
      </c>
      <c r="BG7" s="250">
        <f t="shared" si="36"/>
        <v>13</v>
      </c>
      <c r="BH7" s="237">
        <f t="shared" si="37"/>
        <v>40</v>
      </c>
      <c r="BI7" s="237">
        <f t="shared" si="38"/>
        <v>1714100</v>
      </c>
      <c r="BJ7" s="253">
        <v>9</v>
      </c>
      <c r="BK7" s="250">
        <v>13</v>
      </c>
      <c r="BL7" s="237">
        <f t="shared" si="39"/>
        <v>22</v>
      </c>
      <c r="BM7" s="250">
        <v>489560</v>
      </c>
      <c r="BN7" s="250">
        <v>20</v>
      </c>
      <c r="BO7" s="250">
        <v>1</v>
      </c>
      <c r="BP7" s="237">
        <f t="shared" si="40"/>
        <v>21</v>
      </c>
      <c r="BQ7" s="250">
        <v>1224320</v>
      </c>
      <c r="BR7" s="250">
        <f t="shared" si="41"/>
        <v>29</v>
      </c>
      <c r="BS7" s="250">
        <f t="shared" si="42"/>
        <v>14</v>
      </c>
      <c r="BT7" s="237">
        <f t="shared" si="43"/>
        <v>43</v>
      </c>
      <c r="BU7" s="237">
        <f t="shared" si="44"/>
        <v>1713880</v>
      </c>
      <c r="BV7" s="253">
        <v>6</v>
      </c>
      <c r="BW7" s="250">
        <v>11</v>
      </c>
      <c r="BX7" s="237">
        <f t="shared" si="45"/>
        <v>17</v>
      </c>
      <c r="BY7" s="250">
        <v>298800</v>
      </c>
      <c r="BZ7" s="250">
        <v>20</v>
      </c>
      <c r="CA7" s="250">
        <v>0</v>
      </c>
      <c r="CB7" s="237">
        <f t="shared" si="46"/>
        <v>20</v>
      </c>
      <c r="CC7" s="250">
        <v>1215820</v>
      </c>
      <c r="CD7" s="250">
        <f t="shared" si="47"/>
        <v>26</v>
      </c>
      <c r="CE7" s="250">
        <f t="shared" si="48"/>
        <v>11</v>
      </c>
      <c r="CF7" s="237">
        <f t="shared" si="49"/>
        <v>37</v>
      </c>
      <c r="CG7" s="237">
        <f t="shared" si="50"/>
        <v>1514620</v>
      </c>
      <c r="CH7" s="253">
        <v>6</v>
      </c>
      <c r="CI7" s="250">
        <v>9</v>
      </c>
      <c r="CJ7" s="237">
        <f t="shared" si="51"/>
        <v>15</v>
      </c>
      <c r="CK7" s="250">
        <v>162100</v>
      </c>
      <c r="CL7" s="250">
        <v>13</v>
      </c>
      <c r="CM7" s="250">
        <v>2</v>
      </c>
      <c r="CN7" s="237">
        <f t="shared" si="52"/>
        <v>15</v>
      </c>
      <c r="CO7" s="250">
        <v>773650</v>
      </c>
      <c r="CP7" s="250">
        <f t="shared" si="53"/>
        <v>19</v>
      </c>
      <c r="CQ7" s="250">
        <f t="shared" si="54"/>
        <v>11</v>
      </c>
      <c r="CR7" s="237">
        <f t="shared" si="55"/>
        <v>30</v>
      </c>
      <c r="CS7" s="237">
        <f t="shared" si="56"/>
        <v>935750</v>
      </c>
      <c r="CT7" s="253">
        <v>9</v>
      </c>
      <c r="CU7" s="250">
        <v>7</v>
      </c>
      <c r="CV7" s="237">
        <f t="shared" si="57"/>
        <v>16</v>
      </c>
      <c r="CW7" s="250">
        <v>558860</v>
      </c>
      <c r="CX7" s="250">
        <v>15</v>
      </c>
      <c r="CY7" s="250">
        <v>0</v>
      </c>
      <c r="CZ7" s="237">
        <f t="shared" si="58"/>
        <v>15</v>
      </c>
      <c r="DA7" s="250">
        <v>817780</v>
      </c>
      <c r="DB7" s="250">
        <f t="shared" si="59"/>
        <v>24</v>
      </c>
      <c r="DC7" s="250">
        <f t="shared" si="60"/>
        <v>7</v>
      </c>
      <c r="DD7" s="237">
        <f t="shared" si="61"/>
        <v>31</v>
      </c>
      <c r="DE7" s="237">
        <f t="shared" si="62"/>
        <v>1376640</v>
      </c>
      <c r="DF7" s="250">
        <v>4</v>
      </c>
      <c r="DG7" s="250">
        <v>8</v>
      </c>
      <c r="DH7" s="237">
        <f t="shared" si="63"/>
        <v>12</v>
      </c>
      <c r="DI7" s="250">
        <v>170400</v>
      </c>
      <c r="DJ7" s="250">
        <v>15</v>
      </c>
      <c r="DK7" s="250">
        <v>0</v>
      </c>
      <c r="DL7" s="237">
        <f t="shared" si="64"/>
        <v>15</v>
      </c>
      <c r="DM7" s="250">
        <v>834180</v>
      </c>
      <c r="DN7" s="250">
        <f t="shared" si="65"/>
        <v>19</v>
      </c>
      <c r="DO7" s="250">
        <f t="shared" si="66"/>
        <v>8</v>
      </c>
      <c r="DP7" s="237">
        <f t="shared" si="67"/>
        <v>27</v>
      </c>
      <c r="DQ7" s="237">
        <f t="shared" si="68"/>
        <v>1004580</v>
      </c>
      <c r="DR7" s="250">
        <v>5</v>
      </c>
      <c r="DS7" s="250">
        <v>8</v>
      </c>
      <c r="DT7" s="237">
        <f t="shared" si="69"/>
        <v>13</v>
      </c>
      <c r="DU7" s="250">
        <v>262260</v>
      </c>
      <c r="DV7" s="250">
        <v>8</v>
      </c>
      <c r="DW7" s="250">
        <v>0</v>
      </c>
      <c r="DX7" s="237">
        <f t="shared" si="70"/>
        <v>8</v>
      </c>
      <c r="DY7" s="250">
        <v>612440</v>
      </c>
      <c r="DZ7" s="237">
        <f t="shared" si="71"/>
        <v>13</v>
      </c>
      <c r="EA7" s="237">
        <f t="shared" si="72"/>
        <v>8</v>
      </c>
      <c r="EB7" s="237">
        <f t="shared" si="73"/>
        <v>21</v>
      </c>
      <c r="EC7" s="237">
        <f t="shared" si="74"/>
        <v>874700</v>
      </c>
      <c r="ED7" s="237">
        <v>13</v>
      </c>
      <c r="EE7" s="237">
        <v>9</v>
      </c>
      <c r="EF7" s="237">
        <f t="shared" si="75"/>
        <v>22</v>
      </c>
      <c r="EG7" s="237">
        <v>699400</v>
      </c>
      <c r="EH7" s="237">
        <v>10</v>
      </c>
      <c r="EI7" s="237">
        <v>0</v>
      </c>
      <c r="EJ7" s="237">
        <f t="shared" si="76"/>
        <v>10</v>
      </c>
      <c r="EK7" s="237">
        <v>778920</v>
      </c>
      <c r="EL7" s="237">
        <f t="shared" si="77"/>
        <v>23</v>
      </c>
      <c r="EM7" s="237">
        <f t="shared" si="78"/>
        <v>9</v>
      </c>
      <c r="EN7" s="237">
        <f t="shared" si="79"/>
        <v>32</v>
      </c>
      <c r="EO7" s="237">
        <f t="shared" si="80"/>
        <v>1478320</v>
      </c>
      <c r="EP7" s="271">
        <f t="shared" si="81"/>
        <v>16747110</v>
      </c>
      <c r="EQ7" s="284">
        <f t="shared" si="82"/>
        <v>250</v>
      </c>
      <c r="ER7" s="271">
        <f t="shared" si="83"/>
        <v>383</v>
      </c>
      <c r="ES7" s="271"/>
      <c r="ET7" s="271"/>
    </row>
    <row r="8" spans="1:150" x14ac:dyDescent="0.3">
      <c r="A8" s="285" t="s">
        <v>127</v>
      </c>
      <c r="B8" s="253">
        <v>27</v>
      </c>
      <c r="C8" s="253">
        <v>31</v>
      </c>
      <c r="D8" s="283">
        <f t="shared" si="9"/>
        <v>58</v>
      </c>
      <c r="E8" s="253">
        <v>1274960</v>
      </c>
      <c r="F8" s="253">
        <v>36</v>
      </c>
      <c r="G8" s="253">
        <v>2</v>
      </c>
      <c r="H8" s="283">
        <f t="shared" si="10"/>
        <v>38</v>
      </c>
      <c r="I8" s="253">
        <f>3433691+183600</f>
        <v>3617291</v>
      </c>
      <c r="J8" s="283">
        <f t="shared" si="11"/>
        <v>63</v>
      </c>
      <c r="K8" s="283">
        <f t="shared" si="12"/>
        <v>33</v>
      </c>
      <c r="L8" s="283">
        <f t="shared" si="13"/>
        <v>96</v>
      </c>
      <c r="M8" s="283">
        <f t="shared" si="14"/>
        <v>4892251</v>
      </c>
      <c r="N8" s="253">
        <v>20</v>
      </c>
      <c r="O8" s="253">
        <v>19</v>
      </c>
      <c r="P8" s="283">
        <f t="shared" si="15"/>
        <v>39</v>
      </c>
      <c r="Q8" s="253">
        <v>1827420</v>
      </c>
      <c r="R8" s="253">
        <v>38</v>
      </c>
      <c r="S8" s="253">
        <v>2</v>
      </c>
      <c r="T8" s="283">
        <f t="shared" si="16"/>
        <v>40</v>
      </c>
      <c r="U8" s="253">
        <v>3578881</v>
      </c>
      <c r="V8" s="283">
        <f t="shared" si="17"/>
        <v>58</v>
      </c>
      <c r="W8" s="283">
        <f t="shared" si="18"/>
        <v>21</v>
      </c>
      <c r="X8" s="283">
        <f t="shared" si="19"/>
        <v>79</v>
      </c>
      <c r="Y8" s="283">
        <f t="shared" si="20"/>
        <v>5406301</v>
      </c>
      <c r="Z8" s="253">
        <v>13</v>
      </c>
      <c r="AA8" s="250">
        <v>18</v>
      </c>
      <c r="AB8" s="237">
        <f t="shared" si="21"/>
        <v>31</v>
      </c>
      <c r="AC8" s="250">
        <v>1165400</v>
      </c>
      <c r="AD8" s="250">
        <v>45</v>
      </c>
      <c r="AE8" s="250">
        <v>1</v>
      </c>
      <c r="AF8" s="237">
        <f t="shared" si="22"/>
        <v>46</v>
      </c>
      <c r="AG8" s="250">
        <v>3286720</v>
      </c>
      <c r="AH8" s="250">
        <f t="shared" si="23"/>
        <v>58</v>
      </c>
      <c r="AI8" s="250">
        <f t="shared" si="24"/>
        <v>19</v>
      </c>
      <c r="AJ8" s="237">
        <f t="shared" si="25"/>
        <v>77</v>
      </c>
      <c r="AK8" s="237">
        <f t="shared" si="26"/>
        <v>4452120</v>
      </c>
      <c r="AL8" s="253">
        <v>16</v>
      </c>
      <c r="AM8" s="250">
        <v>20</v>
      </c>
      <c r="AN8" s="237">
        <f t="shared" si="27"/>
        <v>36</v>
      </c>
      <c r="AO8" s="250">
        <v>708600</v>
      </c>
      <c r="AP8" s="250">
        <v>38</v>
      </c>
      <c r="AQ8" s="250">
        <v>0</v>
      </c>
      <c r="AR8" s="237">
        <f t="shared" si="28"/>
        <v>38</v>
      </c>
      <c r="AS8" s="250">
        <v>2873760.43</v>
      </c>
      <c r="AT8" s="250">
        <f t="shared" si="29"/>
        <v>54</v>
      </c>
      <c r="AU8" s="250">
        <f t="shared" si="30"/>
        <v>20</v>
      </c>
      <c r="AV8" s="237">
        <f t="shared" si="31"/>
        <v>74</v>
      </c>
      <c r="AW8" s="237">
        <f t="shared" si="32"/>
        <v>3582360.43</v>
      </c>
      <c r="AX8" s="253">
        <v>22</v>
      </c>
      <c r="AY8" s="250">
        <v>24</v>
      </c>
      <c r="AZ8" s="237">
        <f t="shared" si="33"/>
        <v>46</v>
      </c>
      <c r="BA8" s="250">
        <v>1259700</v>
      </c>
      <c r="BB8" s="250">
        <v>39</v>
      </c>
      <c r="BC8" s="250">
        <v>0</v>
      </c>
      <c r="BD8" s="237">
        <f t="shared" si="34"/>
        <v>39</v>
      </c>
      <c r="BE8" s="250">
        <v>3165420</v>
      </c>
      <c r="BF8" s="250">
        <f t="shared" si="35"/>
        <v>61</v>
      </c>
      <c r="BG8" s="250">
        <f t="shared" si="36"/>
        <v>24</v>
      </c>
      <c r="BH8" s="237">
        <f t="shared" si="37"/>
        <v>85</v>
      </c>
      <c r="BI8" s="237">
        <f t="shared" si="38"/>
        <v>4425120</v>
      </c>
      <c r="BJ8" s="253">
        <v>32</v>
      </c>
      <c r="BK8" s="250">
        <v>32</v>
      </c>
      <c r="BL8" s="237">
        <f t="shared" si="39"/>
        <v>64</v>
      </c>
      <c r="BM8" s="250">
        <v>1389350</v>
      </c>
      <c r="BN8" s="250">
        <v>46</v>
      </c>
      <c r="BO8" s="250">
        <v>1</v>
      </c>
      <c r="BP8" s="237">
        <f t="shared" si="40"/>
        <v>47</v>
      </c>
      <c r="BQ8" s="250">
        <v>3820290</v>
      </c>
      <c r="BR8" s="250">
        <f t="shared" si="41"/>
        <v>78</v>
      </c>
      <c r="BS8" s="250">
        <f t="shared" si="42"/>
        <v>33</v>
      </c>
      <c r="BT8" s="237">
        <f t="shared" si="43"/>
        <v>111</v>
      </c>
      <c r="BU8" s="237">
        <f t="shared" si="44"/>
        <v>5209640</v>
      </c>
      <c r="BV8" s="253">
        <v>29</v>
      </c>
      <c r="BW8" s="250">
        <v>26</v>
      </c>
      <c r="BX8" s="237">
        <f t="shared" si="45"/>
        <v>55</v>
      </c>
      <c r="BY8" s="250">
        <v>1710980</v>
      </c>
      <c r="BZ8" s="250">
        <v>41</v>
      </c>
      <c r="CA8" s="250">
        <v>1</v>
      </c>
      <c r="CB8" s="237">
        <f t="shared" si="46"/>
        <v>42</v>
      </c>
      <c r="CC8" s="250">
        <v>2651510</v>
      </c>
      <c r="CD8" s="250">
        <f t="shared" si="47"/>
        <v>70</v>
      </c>
      <c r="CE8" s="250">
        <f t="shared" si="48"/>
        <v>27</v>
      </c>
      <c r="CF8" s="237">
        <f t="shared" si="49"/>
        <v>97</v>
      </c>
      <c r="CG8" s="237">
        <f t="shared" si="50"/>
        <v>4362490</v>
      </c>
      <c r="CH8" s="253">
        <v>31</v>
      </c>
      <c r="CI8" s="250">
        <v>25</v>
      </c>
      <c r="CJ8" s="237">
        <f t="shared" si="51"/>
        <v>56</v>
      </c>
      <c r="CK8" s="250">
        <v>1986620</v>
      </c>
      <c r="CL8" s="250">
        <v>46</v>
      </c>
      <c r="CM8" s="250">
        <v>0</v>
      </c>
      <c r="CN8" s="237">
        <f t="shared" si="52"/>
        <v>46</v>
      </c>
      <c r="CO8" s="250">
        <v>3549320</v>
      </c>
      <c r="CP8" s="250">
        <f t="shared" si="53"/>
        <v>77</v>
      </c>
      <c r="CQ8" s="250">
        <f t="shared" si="54"/>
        <v>25</v>
      </c>
      <c r="CR8" s="237">
        <f t="shared" si="55"/>
        <v>102</v>
      </c>
      <c r="CS8" s="237">
        <f t="shared" si="56"/>
        <v>5535940</v>
      </c>
      <c r="CT8" s="253">
        <v>22</v>
      </c>
      <c r="CU8" s="250">
        <v>29</v>
      </c>
      <c r="CV8" s="237">
        <f t="shared" si="57"/>
        <v>51</v>
      </c>
      <c r="CW8" s="250">
        <v>1863760</v>
      </c>
      <c r="CX8" s="250">
        <v>46</v>
      </c>
      <c r="CY8" s="250">
        <v>1</v>
      </c>
      <c r="CZ8" s="237">
        <f t="shared" si="58"/>
        <v>47</v>
      </c>
      <c r="DA8" s="250">
        <v>3678340</v>
      </c>
      <c r="DB8" s="250">
        <f t="shared" si="59"/>
        <v>68</v>
      </c>
      <c r="DC8" s="250">
        <f t="shared" si="60"/>
        <v>30</v>
      </c>
      <c r="DD8" s="237">
        <f t="shared" si="61"/>
        <v>98</v>
      </c>
      <c r="DE8" s="237">
        <f t="shared" si="62"/>
        <v>5542100</v>
      </c>
      <c r="DF8" s="250">
        <v>22</v>
      </c>
      <c r="DG8" s="250">
        <v>23</v>
      </c>
      <c r="DH8" s="237">
        <f t="shared" si="63"/>
        <v>45</v>
      </c>
      <c r="DI8" s="250">
        <v>1839300</v>
      </c>
      <c r="DJ8" s="250">
        <v>44</v>
      </c>
      <c r="DK8" s="250">
        <v>0</v>
      </c>
      <c r="DL8" s="237">
        <f t="shared" si="64"/>
        <v>44</v>
      </c>
      <c r="DM8" s="250">
        <v>3678590</v>
      </c>
      <c r="DN8" s="250">
        <f t="shared" si="65"/>
        <v>66</v>
      </c>
      <c r="DO8" s="250">
        <f t="shared" si="66"/>
        <v>23</v>
      </c>
      <c r="DP8" s="237">
        <f t="shared" si="67"/>
        <v>89</v>
      </c>
      <c r="DQ8" s="237">
        <f t="shared" si="68"/>
        <v>5517890</v>
      </c>
      <c r="DR8" s="250">
        <v>26</v>
      </c>
      <c r="DS8" s="250">
        <v>19</v>
      </c>
      <c r="DT8" s="237">
        <f t="shared" si="69"/>
        <v>45</v>
      </c>
      <c r="DU8" s="250">
        <v>1753880</v>
      </c>
      <c r="DV8" s="250">
        <v>32</v>
      </c>
      <c r="DW8" s="250">
        <v>5</v>
      </c>
      <c r="DX8" s="237">
        <f t="shared" si="70"/>
        <v>37</v>
      </c>
      <c r="DY8" s="250">
        <v>2715630</v>
      </c>
      <c r="DZ8" s="237">
        <f t="shared" si="71"/>
        <v>58</v>
      </c>
      <c r="EA8" s="237">
        <f t="shared" si="72"/>
        <v>24</v>
      </c>
      <c r="EB8" s="237">
        <f t="shared" si="73"/>
        <v>82</v>
      </c>
      <c r="EC8" s="237">
        <f t="shared" si="74"/>
        <v>4469510</v>
      </c>
      <c r="ED8" s="237">
        <v>12</v>
      </c>
      <c r="EE8" s="237">
        <v>17</v>
      </c>
      <c r="EF8" s="237">
        <f t="shared" si="75"/>
        <v>29</v>
      </c>
      <c r="EG8" s="237">
        <v>794700</v>
      </c>
      <c r="EH8" s="237">
        <v>39</v>
      </c>
      <c r="EI8" s="237">
        <v>2</v>
      </c>
      <c r="EJ8" s="237">
        <f t="shared" si="76"/>
        <v>41</v>
      </c>
      <c r="EK8" s="237">
        <v>3672149</v>
      </c>
      <c r="EL8" s="237">
        <f t="shared" si="77"/>
        <v>51</v>
      </c>
      <c r="EM8" s="237">
        <f t="shared" si="78"/>
        <v>19</v>
      </c>
      <c r="EN8" s="237">
        <f t="shared" si="79"/>
        <v>70</v>
      </c>
      <c r="EO8" s="237">
        <f t="shared" si="80"/>
        <v>4466849</v>
      </c>
      <c r="EP8" s="271">
        <f t="shared" si="81"/>
        <v>57862571.43</v>
      </c>
      <c r="EQ8" s="284">
        <f t="shared" si="82"/>
        <v>750</v>
      </c>
      <c r="ER8" s="271">
        <f t="shared" si="83"/>
        <v>1060</v>
      </c>
      <c r="ES8" s="271"/>
      <c r="ET8" s="271"/>
    </row>
    <row r="9" spans="1:150" x14ac:dyDescent="0.3">
      <c r="A9" s="285" t="s">
        <v>3</v>
      </c>
      <c r="B9" s="253">
        <v>11</v>
      </c>
      <c r="C9" s="253">
        <v>18</v>
      </c>
      <c r="D9" s="283">
        <f t="shared" si="9"/>
        <v>29</v>
      </c>
      <c r="E9" s="253">
        <v>873900</v>
      </c>
      <c r="F9" s="253">
        <v>29</v>
      </c>
      <c r="G9" s="253">
        <v>0</v>
      </c>
      <c r="H9" s="283">
        <f t="shared" si="10"/>
        <v>29</v>
      </c>
      <c r="I9" s="253">
        <v>2605970</v>
      </c>
      <c r="J9" s="283">
        <f t="shared" si="11"/>
        <v>40</v>
      </c>
      <c r="K9" s="283">
        <f t="shared" si="12"/>
        <v>18</v>
      </c>
      <c r="L9" s="283">
        <f t="shared" si="13"/>
        <v>58</v>
      </c>
      <c r="M9" s="283">
        <f t="shared" si="14"/>
        <v>3479870</v>
      </c>
      <c r="N9" s="253">
        <v>25</v>
      </c>
      <c r="O9" s="253">
        <v>23</v>
      </c>
      <c r="P9" s="283">
        <f t="shared" si="15"/>
        <v>48</v>
      </c>
      <c r="Q9" s="253">
        <v>1727930</v>
      </c>
      <c r="R9" s="253">
        <v>39</v>
      </c>
      <c r="S9" s="253">
        <v>1</v>
      </c>
      <c r="T9" s="283">
        <f t="shared" si="16"/>
        <v>40</v>
      </c>
      <c r="U9" s="253">
        <v>3542700</v>
      </c>
      <c r="V9" s="283">
        <f t="shared" si="17"/>
        <v>64</v>
      </c>
      <c r="W9" s="283">
        <f t="shared" si="18"/>
        <v>24</v>
      </c>
      <c r="X9" s="283">
        <f t="shared" si="19"/>
        <v>88</v>
      </c>
      <c r="Y9" s="283">
        <f t="shared" si="20"/>
        <v>5270630</v>
      </c>
      <c r="Z9" s="253">
        <v>18</v>
      </c>
      <c r="AA9" s="250">
        <v>19</v>
      </c>
      <c r="AB9" s="237">
        <f t="shared" si="21"/>
        <v>37</v>
      </c>
      <c r="AC9" s="250">
        <v>1781980</v>
      </c>
      <c r="AD9" s="250">
        <v>28</v>
      </c>
      <c r="AE9" s="250">
        <v>3</v>
      </c>
      <c r="AF9" s="237">
        <f t="shared" si="22"/>
        <v>31</v>
      </c>
      <c r="AG9" s="250">
        <v>1835040</v>
      </c>
      <c r="AH9" s="250">
        <f t="shared" si="23"/>
        <v>46</v>
      </c>
      <c r="AI9" s="250">
        <f t="shared" si="24"/>
        <v>22</v>
      </c>
      <c r="AJ9" s="237">
        <f t="shared" si="25"/>
        <v>68</v>
      </c>
      <c r="AK9" s="237">
        <f t="shared" si="26"/>
        <v>3617020</v>
      </c>
      <c r="AL9" s="253">
        <v>24</v>
      </c>
      <c r="AM9" s="250">
        <v>27</v>
      </c>
      <c r="AN9" s="237">
        <f t="shared" si="27"/>
        <v>51</v>
      </c>
      <c r="AO9" s="250">
        <v>1321200.2</v>
      </c>
      <c r="AP9" s="250">
        <v>28</v>
      </c>
      <c r="AQ9" s="250">
        <v>1</v>
      </c>
      <c r="AR9" s="237">
        <f t="shared" si="28"/>
        <v>29</v>
      </c>
      <c r="AS9" s="250">
        <v>1932080.22</v>
      </c>
      <c r="AT9" s="250">
        <f t="shared" si="29"/>
        <v>52</v>
      </c>
      <c r="AU9" s="250">
        <f t="shared" si="30"/>
        <v>28</v>
      </c>
      <c r="AV9" s="237">
        <f t="shared" si="31"/>
        <v>80</v>
      </c>
      <c r="AW9" s="237">
        <f t="shared" si="32"/>
        <v>3253280.42</v>
      </c>
      <c r="AX9" s="253">
        <v>29</v>
      </c>
      <c r="AY9" s="250">
        <v>30</v>
      </c>
      <c r="AZ9" s="237">
        <f t="shared" si="33"/>
        <v>59</v>
      </c>
      <c r="BA9" s="250">
        <v>2820140</v>
      </c>
      <c r="BB9" s="250">
        <v>36</v>
      </c>
      <c r="BC9" s="250">
        <v>3</v>
      </c>
      <c r="BD9" s="237">
        <f t="shared" si="34"/>
        <v>39</v>
      </c>
      <c r="BE9" s="250">
        <v>3069400</v>
      </c>
      <c r="BF9" s="250">
        <f t="shared" si="35"/>
        <v>65</v>
      </c>
      <c r="BG9" s="250">
        <f t="shared" si="36"/>
        <v>33</v>
      </c>
      <c r="BH9" s="237">
        <f t="shared" si="37"/>
        <v>98</v>
      </c>
      <c r="BI9" s="237">
        <f t="shared" si="38"/>
        <v>5889540</v>
      </c>
      <c r="BJ9" s="253">
        <v>19</v>
      </c>
      <c r="BK9" s="250">
        <v>25</v>
      </c>
      <c r="BL9" s="237">
        <f t="shared" si="39"/>
        <v>44</v>
      </c>
      <c r="BM9" s="250">
        <v>1194100</v>
      </c>
      <c r="BN9" s="250">
        <v>41</v>
      </c>
      <c r="BO9" s="250">
        <v>1</v>
      </c>
      <c r="BP9" s="237">
        <f t="shared" si="40"/>
        <v>42</v>
      </c>
      <c r="BQ9" s="250">
        <v>4163890</v>
      </c>
      <c r="BR9" s="250">
        <f t="shared" si="41"/>
        <v>60</v>
      </c>
      <c r="BS9" s="250">
        <f t="shared" si="42"/>
        <v>26</v>
      </c>
      <c r="BT9" s="237">
        <f t="shared" si="43"/>
        <v>86</v>
      </c>
      <c r="BU9" s="237">
        <f t="shared" si="44"/>
        <v>5357990</v>
      </c>
      <c r="BV9" s="253">
        <v>20</v>
      </c>
      <c r="BW9" s="250">
        <v>31</v>
      </c>
      <c r="BX9" s="237">
        <f t="shared" si="45"/>
        <v>51</v>
      </c>
      <c r="BY9" s="250">
        <v>1230060</v>
      </c>
      <c r="BZ9" s="250">
        <v>54</v>
      </c>
      <c r="CA9" s="250">
        <v>0</v>
      </c>
      <c r="CB9" s="237">
        <f t="shared" si="46"/>
        <v>54</v>
      </c>
      <c r="CC9" s="250">
        <v>4837940</v>
      </c>
      <c r="CD9" s="250">
        <f t="shared" si="47"/>
        <v>74</v>
      </c>
      <c r="CE9" s="250">
        <f t="shared" si="48"/>
        <v>31</v>
      </c>
      <c r="CF9" s="237">
        <f t="shared" si="49"/>
        <v>105</v>
      </c>
      <c r="CG9" s="237">
        <f t="shared" si="50"/>
        <v>6068000</v>
      </c>
      <c r="CH9" s="253">
        <v>25</v>
      </c>
      <c r="CI9" s="250">
        <v>32</v>
      </c>
      <c r="CJ9" s="237">
        <f t="shared" si="51"/>
        <v>57</v>
      </c>
      <c r="CK9" s="250">
        <v>1315300</v>
      </c>
      <c r="CL9" s="250">
        <v>49</v>
      </c>
      <c r="CM9" s="250">
        <v>0</v>
      </c>
      <c r="CN9" s="237">
        <f t="shared" si="52"/>
        <v>49</v>
      </c>
      <c r="CO9" s="250">
        <v>5127450</v>
      </c>
      <c r="CP9" s="250">
        <f t="shared" si="53"/>
        <v>74</v>
      </c>
      <c r="CQ9" s="250">
        <f t="shared" si="54"/>
        <v>32</v>
      </c>
      <c r="CR9" s="237">
        <f t="shared" si="55"/>
        <v>106</v>
      </c>
      <c r="CS9" s="237">
        <f t="shared" si="56"/>
        <v>6442750</v>
      </c>
      <c r="CT9" s="253">
        <v>28</v>
      </c>
      <c r="CU9" s="250">
        <v>21</v>
      </c>
      <c r="CV9" s="237">
        <f t="shared" si="57"/>
        <v>49</v>
      </c>
      <c r="CW9" s="250">
        <v>1294150</v>
      </c>
      <c r="CX9" s="250">
        <v>64</v>
      </c>
      <c r="CY9" s="250">
        <v>0</v>
      </c>
      <c r="CZ9" s="237">
        <f t="shared" si="58"/>
        <v>64</v>
      </c>
      <c r="DA9" s="250">
        <v>6551450</v>
      </c>
      <c r="DB9" s="250">
        <f t="shared" si="59"/>
        <v>92</v>
      </c>
      <c r="DC9" s="250">
        <f t="shared" si="60"/>
        <v>21</v>
      </c>
      <c r="DD9" s="237">
        <f t="shared" si="61"/>
        <v>113</v>
      </c>
      <c r="DE9" s="237">
        <f t="shared" si="62"/>
        <v>7845600</v>
      </c>
      <c r="DF9" s="250">
        <v>20</v>
      </c>
      <c r="DG9" s="250">
        <v>19</v>
      </c>
      <c r="DH9" s="237">
        <f t="shared" si="63"/>
        <v>39</v>
      </c>
      <c r="DI9" s="250">
        <v>1308600</v>
      </c>
      <c r="DJ9" s="250">
        <v>50</v>
      </c>
      <c r="DK9" s="250">
        <v>2</v>
      </c>
      <c r="DL9" s="237">
        <f t="shared" si="64"/>
        <v>52</v>
      </c>
      <c r="DM9" s="250">
        <v>4937230</v>
      </c>
      <c r="DN9" s="250">
        <f t="shared" si="65"/>
        <v>70</v>
      </c>
      <c r="DO9" s="250">
        <f t="shared" si="66"/>
        <v>21</v>
      </c>
      <c r="DP9" s="237">
        <f t="shared" si="67"/>
        <v>91</v>
      </c>
      <c r="DQ9" s="237">
        <f t="shared" si="68"/>
        <v>6245830</v>
      </c>
      <c r="DR9" s="250">
        <v>21</v>
      </c>
      <c r="DS9" s="250">
        <v>31</v>
      </c>
      <c r="DT9" s="237">
        <f t="shared" si="69"/>
        <v>52</v>
      </c>
      <c r="DU9" s="250">
        <v>1140600</v>
      </c>
      <c r="DV9" s="250">
        <v>49</v>
      </c>
      <c r="DW9" s="250">
        <v>2</v>
      </c>
      <c r="DX9" s="237">
        <f t="shared" si="70"/>
        <v>51</v>
      </c>
      <c r="DY9" s="250">
        <v>3957370</v>
      </c>
      <c r="DZ9" s="237">
        <f t="shared" si="71"/>
        <v>70</v>
      </c>
      <c r="EA9" s="237">
        <f t="shared" si="72"/>
        <v>33</v>
      </c>
      <c r="EB9" s="237">
        <f t="shared" si="73"/>
        <v>103</v>
      </c>
      <c r="EC9" s="237">
        <f t="shared" si="74"/>
        <v>5097970</v>
      </c>
      <c r="ED9" s="237">
        <v>21</v>
      </c>
      <c r="EE9" s="237">
        <v>30</v>
      </c>
      <c r="EF9" s="237">
        <f t="shared" si="75"/>
        <v>51</v>
      </c>
      <c r="EG9" s="237">
        <v>1482855</v>
      </c>
      <c r="EH9" s="237">
        <v>46</v>
      </c>
      <c r="EI9" s="237">
        <v>3</v>
      </c>
      <c r="EJ9" s="237">
        <f t="shared" si="76"/>
        <v>49</v>
      </c>
      <c r="EK9" s="237">
        <v>4794010</v>
      </c>
      <c r="EL9" s="237">
        <f t="shared" si="77"/>
        <v>67</v>
      </c>
      <c r="EM9" s="237">
        <f t="shared" si="78"/>
        <v>33</v>
      </c>
      <c r="EN9" s="237">
        <f t="shared" si="79"/>
        <v>100</v>
      </c>
      <c r="EO9" s="237">
        <f t="shared" si="80"/>
        <v>6276865</v>
      </c>
      <c r="EP9" s="271">
        <f t="shared" si="81"/>
        <v>64845345.420000002</v>
      </c>
      <c r="EQ9" s="284">
        <f t="shared" si="82"/>
        <v>753</v>
      </c>
      <c r="ER9" s="271">
        <f t="shared" si="83"/>
        <v>1096</v>
      </c>
      <c r="ES9" s="271"/>
      <c r="ET9" s="271"/>
    </row>
    <row r="10" spans="1:150" x14ac:dyDescent="0.3">
      <c r="A10" s="285" t="s">
        <v>128</v>
      </c>
      <c r="B10" s="253">
        <v>27</v>
      </c>
      <c r="C10" s="253">
        <v>30</v>
      </c>
      <c r="D10" s="283">
        <f t="shared" si="9"/>
        <v>57</v>
      </c>
      <c r="E10" s="253">
        <v>2408500</v>
      </c>
      <c r="F10" s="253">
        <v>45</v>
      </c>
      <c r="G10" s="253">
        <v>2</v>
      </c>
      <c r="H10" s="283">
        <f t="shared" si="10"/>
        <v>47</v>
      </c>
      <c r="I10" s="253">
        <f>3728630-183600</f>
        <v>3545030</v>
      </c>
      <c r="J10" s="283">
        <f t="shared" si="11"/>
        <v>72</v>
      </c>
      <c r="K10" s="283">
        <f t="shared" si="12"/>
        <v>32</v>
      </c>
      <c r="L10" s="283">
        <f t="shared" si="13"/>
        <v>104</v>
      </c>
      <c r="M10" s="283">
        <f t="shared" si="14"/>
        <v>5953530</v>
      </c>
      <c r="N10" s="253">
        <v>21</v>
      </c>
      <c r="O10" s="253">
        <v>22</v>
      </c>
      <c r="P10" s="283">
        <f t="shared" si="15"/>
        <v>43</v>
      </c>
      <c r="Q10" s="253">
        <v>1302800</v>
      </c>
      <c r="R10" s="253">
        <v>48</v>
      </c>
      <c r="S10" s="253">
        <v>3</v>
      </c>
      <c r="T10" s="283">
        <f t="shared" si="16"/>
        <v>51</v>
      </c>
      <c r="U10" s="253">
        <v>5942800</v>
      </c>
      <c r="V10" s="283">
        <f t="shared" si="17"/>
        <v>69</v>
      </c>
      <c r="W10" s="283">
        <f t="shared" si="18"/>
        <v>25</v>
      </c>
      <c r="X10" s="283">
        <f t="shared" si="19"/>
        <v>94</v>
      </c>
      <c r="Y10" s="283">
        <f t="shared" si="20"/>
        <v>7245600</v>
      </c>
      <c r="Z10" s="253">
        <v>19</v>
      </c>
      <c r="AA10" s="250">
        <v>24</v>
      </c>
      <c r="AB10" s="237">
        <f t="shared" si="21"/>
        <v>43</v>
      </c>
      <c r="AC10" s="250">
        <v>1394220</v>
      </c>
      <c r="AD10" s="250">
        <v>42</v>
      </c>
      <c r="AE10" s="250">
        <v>0</v>
      </c>
      <c r="AF10" s="237">
        <f t="shared" si="22"/>
        <v>42</v>
      </c>
      <c r="AG10" s="250">
        <v>5245064</v>
      </c>
      <c r="AH10" s="250">
        <f t="shared" si="23"/>
        <v>61</v>
      </c>
      <c r="AI10" s="250">
        <f t="shared" si="24"/>
        <v>24</v>
      </c>
      <c r="AJ10" s="237">
        <f t="shared" si="25"/>
        <v>85</v>
      </c>
      <c r="AK10" s="237">
        <f t="shared" si="26"/>
        <v>6639284</v>
      </c>
      <c r="AL10" s="253">
        <v>19</v>
      </c>
      <c r="AM10" s="250">
        <v>24</v>
      </c>
      <c r="AN10" s="237">
        <f t="shared" si="27"/>
        <v>43</v>
      </c>
      <c r="AO10" s="250">
        <v>832160.12</v>
      </c>
      <c r="AP10" s="250">
        <v>47</v>
      </c>
      <c r="AQ10" s="250">
        <v>0</v>
      </c>
      <c r="AR10" s="237">
        <f t="shared" si="28"/>
        <v>47</v>
      </c>
      <c r="AS10" s="250">
        <v>6426450.2800000003</v>
      </c>
      <c r="AT10" s="250">
        <f t="shared" si="29"/>
        <v>66</v>
      </c>
      <c r="AU10" s="250">
        <f t="shared" si="30"/>
        <v>24</v>
      </c>
      <c r="AV10" s="237">
        <f t="shared" si="31"/>
        <v>90</v>
      </c>
      <c r="AW10" s="237">
        <f t="shared" si="32"/>
        <v>7258610.4000000004</v>
      </c>
      <c r="AX10" s="253">
        <v>30</v>
      </c>
      <c r="AY10" s="250">
        <v>26</v>
      </c>
      <c r="AZ10" s="237">
        <f t="shared" si="33"/>
        <v>56</v>
      </c>
      <c r="BA10" s="250">
        <v>2035395</v>
      </c>
      <c r="BB10" s="250">
        <v>36</v>
      </c>
      <c r="BC10" s="250">
        <v>0</v>
      </c>
      <c r="BD10" s="237">
        <f t="shared" si="34"/>
        <v>36</v>
      </c>
      <c r="BE10" s="250">
        <v>3418340</v>
      </c>
      <c r="BF10" s="250">
        <f t="shared" si="35"/>
        <v>66</v>
      </c>
      <c r="BG10" s="250">
        <f t="shared" si="36"/>
        <v>26</v>
      </c>
      <c r="BH10" s="237">
        <f t="shared" si="37"/>
        <v>92</v>
      </c>
      <c r="BI10" s="237">
        <f t="shared" si="38"/>
        <v>5453735</v>
      </c>
      <c r="BJ10" s="253">
        <v>33</v>
      </c>
      <c r="BK10" s="250">
        <v>40</v>
      </c>
      <c r="BL10" s="237">
        <f t="shared" si="39"/>
        <v>73</v>
      </c>
      <c r="BM10" s="250">
        <v>2257860</v>
      </c>
      <c r="BN10" s="250">
        <v>48</v>
      </c>
      <c r="BO10" s="250">
        <v>4</v>
      </c>
      <c r="BP10" s="237">
        <f t="shared" si="40"/>
        <v>52</v>
      </c>
      <c r="BQ10" s="250">
        <v>4953315</v>
      </c>
      <c r="BR10" s="250">
        <f t="shared" si="41"/>
        <v>81</v>
      </c>
      <c r="BS10" s="250">
        <f t="shared" si="42"/>
        <v>44</v>
      </c>
      <c r="BT10" s="237">
        <f t="shared" si="43"/>
        <v>125</v>
      </c>
      <c r="BU10" s="237">
        <f t="shared" si="44"/>
        <v>7211175</v>
      </c>
      <c r="BV10" s="253">
        <v>25</v>
      </c>
      <c r="BW10" s="250">
        <v>38</v>
      </c>
      <c r="BX10" s="237">
        <f t="shared" si="45"/>
        <v>63</v>
      </c>
      <c r="BY10" s="250">
        <v>1509540</v>
      </c>
      <c r="BZ10" s="250">
        <v>47</v>
      </c>
      <c r="CA10" s="250">
        <v>0</v>
      </c>
      <c r="CB10" s="237">
        <f t="shared" si="46"/>
        <v>47</v>
      </c>
      <c r="CC10" s="250">
        <v>4756915</v>
      </c>
      <c r="CD10" s="250">
        <f t="shared" si="47"/>
        <v>72</v>
      </c>
      <c r="CE10" s="250">
        <f t="shared" si="48"/>
        <v>38</v>
      </c>
      <c r="CF10" s="237">
        <f t="shared" si="49"/>
        <v>110</v>
      </c>
      <c r="CG10" s="237">
        <f t="shared" si="50"/>
        <v>6266455</v>
      </c>
      <c r="CH10" s="253">
        <v>23</v>
      </c>
      <c r="CI10" s="250">
        <v>42</v>
      </c>
      <c r="CJ10" s="237">
        <f t="shared" si="51"/>
        <v>65</v>
      </c>
      <c r="CK10" s="250">
        <v>1386060</v>
      </c>
      <c r="CL10" s="250">
        <v>47</v>
      </c>
      <c r="CM10" s="250">
        <v>2</v>
      </c>
      <c r="CN10" s="237">
        <f t="shared" si="52"/>
        <v>49</v>
      </c>
      <c r="CO10" s="250">
        <v>4763660</v>
      </c>
      <c r="CP10" s="250">
        <f t="shared" si="53"/>
        <v>70</v>
      </c>
      <c r="CQ10" s="250">
        <f t="shared" si="54"/>
        <v>44</v>
      </c>
      <c r="CR10" s="237">
        <f t="shared" si="55"/>
        <v>114</v>
      </c>
      <c r="CS10" s="237">
        <f t="shared" si="56"/>
        <v>6149720</v>
      </c>
      <c r="CT10" s="253">
        <v>23</v>
      </c>
      <c r="CU10" s="250">
        <v>37</v>
      </c>
      <c r="CV10" s="237">
        <f t="shared" si="57"/>
        <v>60</v>
      </c>
      <c r="CW10" s="250">
        <v>1117100</v>
      </c>
      <c r="CX10" s="250">
        <v>43</v>
      </c>
      <c r="CY10" s="250">
        <v>1</v>
      </c>
      <c r="CZ10" s="237">
        <f t="shared" si="58"/>
        <v>44</v>
      </c>
      <c r="DA10" s="250">
        <v>3707560</v>
      </c>
      <c r="DB10" s="250">
        <f t="shared" si="59"/>
        <v>66</v>
      </c>
      <c r="DC10" s="250">
        <f t="shared" si="60"/>
        <v>38</v>
      </c>
      <c r="DD10" s="237">
        <f t="shared" si="61"/>
        <v>104</v>
      </c>
      <c r="DE10" s="237">
        <f t="shared" si="62"/>
        <v>4824660</v>
      </c>
      <c r="DF10" s="250">
        <v>43</v>
      </c>
      <c r="DG10" s="250">
        <v>24</v>
      </c>
      <c r="DH10" s="237">
        <f t="shared" si="63"/>
        <v>67</v>
      </c>
      <c r="DI10" s="250">
        <v>2772320</v>
      </c>
      <c r="DJ10" s="250">
        <v>54</v>
      </c>
      <c r="DK10" s="250">
        <v>10</v>
      </c>
      <c r="DL10" s="237">
        <f t="shared" si="64"/>
        <v>64</v>
      </c>
      <c r="DM10" s="250">
        <v>5129230</v>
      </c>
      <c r="DN10" s="250">
        <f t="shared" si="65"/>
        <v>97</v>
      </c>
      <c r="DO10" s="250">
        <f t="shared" si="66"/>
        <v>34</v>
      </c>
      <c r="DP10" s="237">
        <f t="shared" si="67"/>
        <v>131</v>
      </c>
      <c r="DQ10" s="237">
        <f t="shared" si="68"/>
        <v>7901550</v>
      </c>
      <c r="DR10" s="250">
        <v>27</v>
      </c>
      <c r="DS10" s="250">
        <v>34</v>
      </c>
      <c r="DT10" s="237">
        <f t="shared" si="69"/>
        <v>61</v>
      </c>
      <c r="DU10" s="250">
        <v>1311660</v>
      </c>
      <c r="DV10" s="250">
        <v>58</v>
      </c>
      <c r="DW10" s="250">
        <v>6</v>
      </c>
      <c r="DX10" s="237">
        <f t="shared" si="70"/>
        <v>64</v>
      </c>
      <c r="DY10" s="250">
        <v>5614010</v>
      </c>
      <c r="DZ10" s="237">
        <f t="shared" si="71"/>
        <v>85</v>
      </c>
      <c r="EA10" s="237">
        <f t="shared" si="72"/>
        <v>40</v>
      </c>
      <c r="EB10" s="237">
        <f t="shared" si="73"/>
        <v>125</v>
      </c>
      <c r="EC10" s="237">
        <f t="shared" si="74"/>
        <v>6925670</v>
      </c>
      <c r="ED10" s="237">
        <v>29</v>
      </c>
      <c r="EE10" s="237">
        <v>30</v>
      </c>
      <c r="EF10" s="237">
        <f t="shared" si="75"/>
        <v>59</v>
      </c>
      <c r="EG10" s="237">
        <v>1773860</v>
      </c>
      <c r="EH10" s="237">
        <v>60</v>
      </c>
      <c r="EI10" s="237">
        <v>9</v>
      </c>
      <c r="EJ10" s="237">
        <f t="shared" si="76"/>
        <v>69</v>
      </c>
      <c r="EK10" s="237">
        <v>5232249</v>
      </c>
      <c r="EL10" s="237">
        <f t="shared" si="77"/>
        <v>89</v>
      </c>
      <c r="EM10" s="237">
        <f t="shared" si="78"/>
        <v>39</v>
      </c>
      <c r="EN10" s="237">
        <f t="shared" si="79"/>
        <v>128</v>
      </c>
      <c r="EO10" s="237">
        <f t="shared" si="80"/>
        <v>7006109</v>
      </c>
      <c r="EP10" s="271">
        <f t="shared" si="81"/>
        <v>78836098.400000006</v>
      </c>
      <c r="EQ10" s="284">
        <f t="shared" si="82"/>
        <v>865</v>
      </c>
      <c r="ER10" s="271">
        <f t="shared" si="83"/>
        <v>1302</v>
      </c>
      <c r="ES10" s="271"/>
      <c r="ET10" s="271"/>
    </row>
    <row r="11" spans="1:150" x14ac:dyDescent="0.3">
      <c r="A11" s="282" t="s">
        <v>10</v>
      </c>
      <c r="B11" s="253">
        <v>11</v>
      </c>
      <c r="C11" s="253">
        <v>11</v>
      </c>
      <c r="D11" s="283">
        <f t="shared" si="9"/>
        <v>22</v>
      </c>
      <c r="E11" s="253">
        <v>815400</v>
      </c>
      <c r="F11" s="253">
        <v>23</v>
      </c>
      <c r="G11" s="253">
        <v>0</v>
      </c>
      <c r="H11" s="283">
        <f t="shared" si="10"/>
        <v>23</v>
      </c>
      <c r="I11" s="253">
        <v>2194611</v>
      </c>
      <c r="J11" s="283">
        <f t="shared" si="11"/>
        <v>34</v>
      </c>
      <c r="K11" s="283">
        <f t="shared" si="12"/>
        <v>11</v>
      </c>
      <c r="L11" s="283">
        <f t="shared" si="13"/>
        <v>45</v>
      </c>
      <c r="M11" s="283">
        <f t="shared" si="14"/>
        <v>3010011</v>
      </c>
      <c r="N11" s="253">
        <v>15</v>
      </c>
      <c r="O11" s="253">
        <v>22</v>
      </c>
      <c r="P11" s="283">
        <f t="shared" si="15"/>
        <v>37</v>
      </c>
      <c r="Q11" s="253">
        <v>877900</v>
      </c>
      <c r="R11" s="253">
        <v>21</v>
      </c>
      <c r="S11" s="253">
        <v>1</v>
      </c>
      <c r="T11" s="283">
        <f t="shared" si="16"/>
        <v>22</v>
      </c>
      <c r="U11" s="253">
        <v>2142220</v>
      </c>
      <c r="V11" s="283">
        <f t="shared" si="17"/>
        <v>36</v>
      </c>
      <c r="W11" s="283">
        <f t="shared" si="18"/>
        <v>23</v>
      </c>
      <c r="X11" s="283">
        <f t="shared" si="19"/>
        <v>59</v>
      </c>
      <c r="Y11" s="283">
        <f t="shared" si="20"/>
        <v>3020120</v>
      </c>
      <c r="Z11" s="253">
        <v>25</v>
      </c>
      <c r="AA11" s="250">
        <v>15</v>
      </c>
      <c r="AB11" s="237">
        <f t="shared" si="21"/>
        <v>40</v>
      </c>
      <c r="AC11" s="250">
        <v>1636200</v>
      </c>
      <c r="AD11" s="250">
        <v>16</v>
      </c>
      <c r="AE11" s="250">
        <v>0</v>
      </c>
      <c r="AF11" s="237">
        <f t="shared" si="22"/>
        <v>16</v>
      </c>
      <c r="AG11" s="250">
        <v>1129620</v>
      </c>
      <c r="AH11" s="250">
        <f t="shared" si="23"/>
        <v>41</v>
      </c>
      <c r="AI11" s="250">
        <f t="shared" si="24"/>
        <v>15</v>
      </c>
      <c r="AJ11" s="237">
        <f t="shared" si="25"/>
        <v>56</v>
      </c>
      <c r="AK11" s="237">
        <f t="shared" si="26"/>
        <v>2765820</v>
      </c>
      <c r="AL11" s="253">
        <v>23</v>
      </c>
      <c r="AM11" s="250">
        <v>22</v>
      </c>
      <c r="AN11" s="237">
        <f t="shared" si="27"/>
        <v>45</v>
      </c>
      <c r="AO11" s="250">
        <v>1230400.1200000001</v>
      </c>
      <c r="AP11" s="250">
        <v>25</v>
      </c>
      <c r="AQ11" s="250">
        <v>0</v>
      </c>
      <c r="AR11" s="237">
        <f t="shared" si="28"/>
        <v>25</v>
      </c>
      <c r="AS11" s="250">
        <v>1776280.16</v>
      </c>
      <c r="AT11" s="250">
        <f t="shared" si="29"/>
        <v>48</v>
      </c>
      <c r="AU11" s="250">
        <f t="shared" si="30"/>
        <v>22</v>
      </c>
      <c r="AV11" s="237">
        <f t="shared" si="31"/>
        <v>70</v>
      </c>
      <c r="AW11" s="237">
        <f t="shared" si="32"/>
        <v>3006680.2800000003</v>
      </c>
      <c r="AX11" s="253">
        <v>22</v>
      </c>
      <c r="AY11" s="250">
        <v>23</v>
      </c>
      <c r="AZ11" s="237">
        <f t="shared" si="33"/>
        <v>45</v>
      </c>
      <c r="BA11" s="250">
        <v>1411480</v>
      </c>
      <c r="BB11" s="250">
        <v>23</v>
      </c>
      <c r="BC11" s="250">
        <v>0</v>
      </c>
      <c r="BD11" s="237">
        <f t="shared" si="34"/>
        <v>23</v>
      </c>
      <c r="BE11" s="250">
        <v>1961780</v>
      </c>
      <c r="BF11" s="250">
        <f t="shared" si="35"/>
        <v>45</v>
      </c>
      <c r="BG11" s="250">
        <f t="shared" si="36"/>
        <v>23</v>
      </c>
      <c r="BH11" s="237">
        <f t="shared" si="37"/>
        <v>68</v>
      </c>
      <c r="BI11" s="237">
        <f t="shared" si="38"/>
        <v>3373260</v>
      </c>
      <c r="BJ11" s="253">
        <v>19</v>
      </c>
      <c r="BK11" s="250">
        <v>20</v>
      </c>
      <c r="BL11" s="237">
        <f t="shared" si="39"/>
        <v>39</v>
      </c>
      <c r="BM11" s="250">
        <v>928500</v>
      </c>
      <c r="BN11" s="250">
        <v>27</v>
      </c>
      <c r="BO11" s="250">
        <v>1</v>
      </c>
      <c r="BP11" s="237">
        <f t="shared" si="40"/>
        <v>28</v>
      </c>
      <c r="BQ11" s="250">
        <v>1877340</v>
      </c>
      <c r="BR11" s="250">
        <f t="shared" si="41"/>
        <v>46</v>
      </c>
      <c r="BS11" s="250">
        <f t="shared" si="42"/>
        <v>21</v>
      </c>
      <c r="BT11" s="237">
        <f t="shared" si="43"/>
        <v>67</v>
      </c>
      <c r="BU11" s="237">
        <f t="shared" si="44"/>
        <v>2805840</v>
      </c>
      <c r="BV11" s="253">
        <v>21</v>
      </c>
      <c r="BW11" s="250">
        <v>13</v>
      </c>
      <c r="BX11" s="237">
        <f t="shared" si="45"/>
        <v>34</v>
      </c>
      <c r="BY11" s="250">
        <v>1299000</v>
      </c>
      <c r="BZ11" s="250">
        <v>30</v>
      </c>
      <c r="CA11" s="250">
        <v>1</v>
      </c>
      <c r="CB11" s="237">
        <f t="shared" si="46"/>
        <v>31</v>
      </c>
      <c r="CC11" s="250">
        <v>1935390</v>
      </c>
      <c r="CD11" s="250">
        <f t="shared" si="47"/>
        <v>51</v>
      </c>
      <c r="CE11" s="250">
        <f t="shared" si="48"/>
        <v>14</v>
      </c>
      <c r="CF11" s="237">
        <f t="shared" si="49"/>
        <v>65</v>
      </c>
      <c r="CG11" s="237">
        <f t="shared" si="50"/>
        <v>3234390</v>
      </c>
      <c r="CH11" s="253">
        <v>9</v>
      </c>
      <c r="CI11" s="250">
        <v>24</v>
      </c>
      <c r="CJ11" s="237">
        <f t="shared" si="51"/>
        <v>33</v>
      </c>
      <c r="CK11" s="250">
        <v>528000</v>
      </c>
      <c r="CL11" s="250">
        <v>29</v>
      </c>
      <c r="CM11" s="250">
        <v>1</v>
      </c>
      <c r="CN11" s="237">
        <f t="shared" si="52"/>
        <v>30</v>
      </c>
      <c r="CO11" s="250">
        <v>1961220</v>
      </c>
      <c r="CP11" s="250">
        <f t="shared" si="53"/>
        <v>38</v>
      </c>
      <c r="CQ11" s="250">
        <f t="shared" si="54"/>
        <v>25</v>
      </c>
      <c r="CR11" s="237">
        <f t="shared" si="55"/>
        <v>63</v>
      </c>
      <c r="CS11" s="237">
        <f t="shared" si="56"/>
        <v>2489220</v>
      </c>
      <c r="CT11" s="253">
        <v>18</v>
      </c>
      <c r="CU11" s="250">
        <v>15</v>
      </c>
      <c r="CV11" s="237">
        <f t="shared" si="57"/>
        <v>33</v>
      </c>
      <c r="CW11" s="250">
        <v>1122000</v>
      </c>
      <c r="CX11" s="250">
        <v>24</v>
      </c>
      <c r="CY11" s="250">
        <v>0</v>
      </c>
      <c r="CZ11" s="237">
        <f t="shared" si="58"/>
        <v>24</v>
      </c>
      <c r="DA11" s="250">
        <v>2180290</v>
      </c>
      <c r="DB11" s="250">
        <f t="shared" si="59"/>
        <v>42</v>
      </c>
      <c r="DC11" s="250">
        <f t="shared" si="60"/>
        <v>15</v>
      </c>
      <c r="DD11" s="237">
        <f t="shared" si="61"/>
        <v>57</v>
      </c>
      <c r="DE11" s="237">
        <f t="shared" si="62"/>
        <v>3302290</v>
      </c>
      <c r="DF11" s="250">
        <v>16</v>
      </c>
      <c r="DG11" s="250">
        <v>15</v>
      </c>
      <c r="DH11" s="237">
        <f t="shared" si="63"/>
        <v>31</v>
      </c>
      <c r="DI11" s="250">
        <v>962050</v>
      </c>
      <c r="DJ11" s="250">
        <v>23</v>
      </c>
      <c r="DK11" s="250">
        <v>0</v>
      </c>
      <c r="DL11" s="237">
        <f t="shared" si="64"/>
        <v>23</v>
      </c>
      <c r="DM11" s="250">
        <v>2345680</v>
      </c>
      <c r="DN11" s="250">
        <f t="shared" si="65"/>
        <v>39</v>
      </c>
      <c r="DO11" s="250">
        <f t="shared" si="66"/>
        <v>15</v>
      </c>
      <c r="DP11" s="237">
        <f t="shared" si="67"/>
        <v>54</v>
      </c>
      <c r="DQ11" s="237">
        <f t="shared" si="68"/>
        <v>3307730</v>
      </c>
      <c r="DR11" s="250">
        <v>14</v>
      </c>
      <c r="DS11" s="250">
        <v>21</v>
      </c>
      <c r="DT11" s="237">
        <f t="shared" si="69"/>
        <v>35</v>
      </c>
      <c r="DU11" s="250">
        <v>979820</v>
      </c>
      <c r="DV11" s="250">
        <v>26</v>
      </c>
      <c r="DW11" s="250">
        <v>0</v>
      </c>
      <c r="DX11" s="237">
        <f t="shared" si="70"/>
        <v>26</v>
      </c>
      <c r="DY11" s="250">
        <v>1752750</v>
      </c>
      <c r="DZ11" s="237">
        <f t="shared" si="71"/>
        <v>40</v>
      </c>
      <c r="EA11" s="237">
        <f t="shared" si="72"/>
        <v>21</v>
      </c>
      <c r="EB11" s="237">
        <f t="shared" si="73"/>
        <v>61</v>
      </c>
      <c r="EC11" s="237">
        <f t="shared" si="74"/>
        <v>2732570</v>
      </c>
      <c r="ED11" s="237">
        <v>17</v>
      </c>
      <c r="EE11" s="237">
        <v>15</v>
      </c>
      <c r="EF11" s="237">
        <f t="shared" si="75"/>
        <v>32</v>
      </c>
      <c r="EG11" s="237">
        <v>1119900</v>
      </c>
      <c r="EH11" s="237">
        <v>28</v>
      </c>
      <c r="EI11" s="237">
        <v>0</v>
      </c>
      <c r="EJ11" s="237">
        <f t="shared" si="76"/>
        <v>28</v>
      </c>
      <c r="EK11" s="237">
        <v>2748650</v>
      </c>
      <c r="EL11" s="237">
        <f t="shared" si="77"/>
        <v>45</v>
      </c>
      <c r="EM11" s="237">
        <f t="shared" si="78"/>
        <v>15</v>
      </c>
      <c r="EN11" s="237">
        <f t="shared" si="79"/>
        <v>60</v>
      </c>
      <c r="EO11" s="237">
        <f t="shared" si="80"/>
        <v>3868550</v>
      </c>
      <c r="EP11" s="271">
        <f t="shared" si="81"/>
        <v>36916481.280000001</v>
      </c>
      <c r="EQ11" s="284">
        <f t="shared" si="82"/>
        <v>488</v>
      </c>
      <c r="ER11" s="271">
        <f t="shared" si="83"/>
        <v>725</v>
      </c>
      <c r="ES11" s="271"/>
      <c r="ET11" s="271"/>
    </row>
    <row r="12" spans="1:150" x14ac:dyDescent="0.3">
      <c r="A12" s="282" t="s">
        <v>11</v>
      </c>
      <c r="B12" s="253">
        <v>15</v>
      </c>
      <c r="C12" s="253">
        <v>14</v>
      </c>
      <c r="D12" s="283">
        <f t="shared" si="9"/>
        <v>29</v>
      </c>
      <c r="E12" s="253">
        <v>852490</v>
      </c>
      <c r="F12" s="253">
        <v>24</v>
      </c>
      <c r="G12" s="253">
        <v>0</v>
      </c>
      <c r="H12" s="283">
        <f t="shared" si="10"/>
        <v>24</v>
      </c>
      <c r="I12" s="253">
        <v>2691280</v>
      </c>
      <c r="J12" s="283">
        <f t="shared" si="11"/>
        <v>39</v>
      </c>
      <c r="K12" s="283">
        <f t="shared" si="12"/>
        <v>14</v>
      </c>
      <c r="L12" s="283">
        <f t="shared" si="13"/>
        <v>53</v>
      </c>
      <c r="M12" s="283">
        <f t="shared" si="14"/>
        <v>3543770</v>
      </c>
      <c r="N12" s="253">
        <v>23</v>
      </c>
      <c r="O12" s="253">
        <v>18</v>
      </c>
      <c r="P12" s="283">
        <f t="shared" si="15"/>
        <v>41</v>
      </c>
      <c r="Q12" s="253">
        <v>1529900</v>
      </c>
      <c r="R12" s="253">
        <v>25</v>
      </c>
      <c r="S12" s="253">
        <v>1</v>
      </c>
      <c r="T12" s="283">
        <f t="shared" si="16"/>
        <v>26</v>
      </c>
      <c r="U12" s="253">
        <v>2624810</v>
      </c>
      <c r="V12" s="283">
        <f t="shared" si="17"/>
        <v>48</v>
      </c>
      <c r="W12" s="283">
        <f t="shared" si="18"/>
        <v>19</v>
      </c>
      <c r="X12" s="283">
        <f t="shared" si="19"/>
        <v>67</v>
      </c>
      <c r="Y12" s="283">
        <f t="shared" si="20"/>
        <v>4154710</v>
      </c>
      <c r="Z12" s="253">
        <v>27</v>
      </c>
      <c r="AA12" s="250">
        <v>27</v>
      </c>
      <c r="AB12" s="237">
        <f t="shared" si="21"/>
        <v>54</v>
      </c>
      <c r="AC12" s="250">
        <v>1576100</v>
      </c>
      <c r="AD12" s="250">
        <v>32</v>
      </c>
      <c r="AE12" s="250">
        <v>0</v>
      </c>
      <c r="AF12" s="237">
        <f t="shared" si="22"/>
        <v>32</v>
      </c>
      <c r="AG12" s="250">
        <v>2859610</v>
      </c>
      <c r="AH12" s="250">
        <f t="shared" si="23"/>
        <v>59</v>
      </c>
      <c r="AI12" s="250">
        <f t="shared" si="24"/>
        <v>27</v>
      </c>
      <c r="AJ12" s="237">
        <f t="shared" si="25"/>
        <v>86</v>
      </c>
      <c r="AK12" s="237">
        <f t="shared" si="26"/>
        <v>4435710</v>
      </c>
      <c r="AL12" s="253">
        <v>27</v>
      </c>
      <c r="AM12" s="250">
        <v>15</v>
      </c>
      <c r="AN12" s="237">
        <f t="shared" si="27"/>
        <v>42</v>
      </c>
      <c r="AO12" s="250">
        <v>1111160.2</v>
      </c>
      <c r="AP12" s="250">
        <v>35</v>
      </c>
      <c r="AQ12" s="250">
        <v>1</v>
      </c>
      <c r="AR12" s="237">
        <f t="shared" si="28"/>
        <v>36</v>
      </c>
      <c r="AS12" s="250">
        <v>2864650.36</v>
      </c>
      <c r="AT12" s="250">
        <f t="shared" si="29"/>
        <v>62</v>
      </c>
      <c r="AU12" s="250">
        <f t="shared" si="30"/>
        <v>16</v>
      </c>
      <c r="AV12" s="237">
        <f t="shared" si="31"/>
        <v>78</v>
      </c>
      <c r="AW12" s="237">
        <f t="shared" si="32"/>
        <v>3975810.5599999996</v>
      </c>
      <c r="AX12" s="253">
        <v>23</v>
      </c>
      <c r="AY12" s="250">
        <v>21</v>
      </c>
      <c r="AZ12" s="237">
        <f t="shared" si="33"/>
        <v>44</v>
      </c>
      <c r="BA12" s="250">
        <v>883700</v>
      </c>
      <c r="BB12" s="250">
        <v>45</v>
      </c>
      <c r="BC12" s="250">
        <v>0</v>
      </c>
      <c r="BD12" s="237">
        <f t="shared" si="34"/>
        <v>45</v>
      </c>
      <c r="BE12" s="250">
        <v>2875920</v>
      </c>
      <c r="BF12" s="250">
        <f t="shared" si="35"/>
        <v>68</v>
      </c>
      <c r="BG12" s="250">
        <f t="shared" si="36"/>
        <v>21</v>
      </c>
      <c r="BH12" s="237">
        <f t="shared" si="37"/>
        <v>89</v>
      </c>
      <c r="BI12" s="237">
        <f t="shared" si="38"/>
        <v>3759620</v>
      </c>
      <c r="BJ12" s="253">
        <v>32</v>
      </c>
      <c r="BK12" s="250">
        <v>25</v>
      </c>
      <c r="BL12" s="237">
        <f t="shared" si="39"/>
        <v>57</v>
      </c>
      <c r="BM12" s="250">
        <v>1272900</v>
      </c>
      <c r="BN12" s="250">
        <v>51</v>
      </c>
      <c r="BO12" s="250">
        <v>0</v>
      </c>
      <c r="BP12" s="237">
        <f t="shared" si="40"/>
        <v>51</v>
      </c>
      <c r="BQ12" s="250">
        <v>3065065</v>
      </c>
      <c r="BR12" s="250">
        <f t="shared" si="41"/>
        <v>83</v>
      </c>
      <c r="BS12" s="250">
        <f t="shared" si="42"/>
        <v>25</v>
      </c>
      <c r="BT12" s="237">
        <f t="shared" si="43"/>
        <v>108</v>
      </c>
      <c r="BU12" s="237">
        <f t="shared" si="44"/>
        <v>4337965</v>
      </c>
      <c r="BV12" s="253">
        <v>17</v>
      </c>
      <c r="BW12" s="250">
        <v>28</v>
      </c>
      <c r="BX12" s="237">
        <f t="shared" si="45"/>
        <v>45</v>
      </c>
      <c r="BY12" s="250">
        <v>1408880</v>
      </c>
      <c r="BZ12" s="250">
        <v>59</v>
      </c>
      <c r="CA12" s="250">
        <v>2</v>
      </c>
      <c r="CB12" s="237">
        <f t="shared" si="46"/>
        <v>61</v>
      </c>
      <c r="CC12" s="250">
        <v>3426750</v>
      </c>
      <c r="CD12" s="250">
        <f t="shared" si="47"/>
        <v>76</v>
      </c>
      <c r="CE12" s="250">
        <f t="shared" si="48"/>
        <v>30</v>
      </c>
      <c r="CF12" s="237">
        <f t="shared" si="49"/>
        <v>106</v>
      </c>
      <c r="CG12" s="237">
        <f t="shared" si="50"/>
        <v>4835630</v>
      </c>
      <c r="CH12" s="253">
        <v>21</v>
      </c>
      <c r="CI12" s="250">
        <v>12</v>
      </c>
      <c r="CJ12" s="237">
        <f t="shared" si="51"/>
        <v>33</v>
      </c>
      <c r="CK12" s="250">
        <v>929600</v>
      </c>
      <c r="CL12" s="250">
        <v>23</v>
      </c>
      <c r="CM12" s="250">
        <v>0</v>
      </c>
      <c r="CN12" s="237">
        <f t="shared" si="52"/>
        <v>23</v>
      </c>
      <c r="CO12" s="250">
        <v>1344535</v>
      </c>
      <c r="CP12" s="250">
        <f t="shared" si="53"/>
        <v>44</v>
      </c>
      <c r="CQ12" s="250">
        <f t="shared" si="54"/>
        <v>12</v>
      </c>
      <c r="CR12" s="237">
        <f t="shared" si="55"/>
        <v>56</v>
      </c>
      <c r="CS12" s="237">
        <f t="shared" si="56"/>
        <v>2274135</v>
      </c>
      <c r="CT12" s="253">
        <v>19</v>
      </c>
      <c r="CU12" s="250">
        <v>29</v>
      </c>
      <c r="CV12" s="237">
        <f t="shared" si="57"/>
        <v>48</v>
      </c>
      <c r="CW12" s="250">
        <v>856750</v>
      </c>
      <c r="CX12" s="250">
        <v>39</v>
      </c>
      <c r="CY12" s="250">
        <v>0</v>
      </c>
      <c r="CZ12" s="237">
        <f t="shared" si="58"/>
        <v>39</v>
      </c>
      <c r="DA12" s="250">
        <v>2285525</v>
      </c>
      <c r="DB12" s="250">
        <f t="shared" si="59"/>
        <v>58</v>
      </c>
      <c r="DC12" s="250">
        <f t="shared" si="60"/>
        <v>29</v>
      </c>
      <c r="DD12" s="237">
        <f t="shared" si="61"/>
        <v>87</v>
      </c>
      <c r="DE12" s="237">
        <f t="shared" si="62"/>
        <v>3142275</v>
      </c>
      <c r="DF12" s="250">
        <v>15</v>
      </c>
      <c r="DG12" s="250">
        <v>24</v>
      </c>
      <c r="DH12" s="237">
        <f t="shared" si="63"/>
        <v>39</v>
      </c>
      <c r="DI12" s="250">
        <v>685360</v>
      </c>
      <c r="DJ12" s="250">
        <v>39</v>
      </c>
      <c r="DK12" s="250">
        <v>1</v>
      </c>
      <c r="DL12" s="237">
        <f t="shared" si="64"/>
        <v>40</v>
      </c>
      <c r="DM12" s="250">
        <v>2450025</v>
      </c>
      <c r="DN12" s="250">
        <f t="shared" si="65"/>
        <v>54</v>
      </c>
      <c r="DO12" s="250">
        <f t="shared" si="66"/>
        <v>25</v>
      </c>
      <c r="DP12" s="237">
        <f t="shared" si="67"/>
        <v>79</v>
      </c>
      <c r="DQ12" s="237">
        <f t="shared" si="68"/>
        <v>3135385</v>
      </c>
      <c r="DR12" s="250">
        <v>25</v>
      </c>
      <c r="DS12" s="250">
        <v>23</v>
      </c>
      <c r="DT12" s="237">
        <f t="shared" si="69"/>
        <v>48</v>
      </c>
      <c r="DU12" s="250">
        <v>1535640</v>
      </c>
      <c r="DV12" s="250">
        <v>46</v>
      </c>
      <c r="DW12" s="250">
        <v>1</v>
      </c>
      <c r="DX12" s="237">
        <f t="shared" si="70"/>
        <v>47</v>
      </c>
      <c r="DY12" s="250">
        <v>2580004</v>
      </c>
      <c r="DZ12" s="237">
        <f t="shared" si="71"/>
        <v>71</v>
      </c>
      <c r="EA12" s="237">
        <f t="shared" si="72"/>
        <v>24</v>
      </c>
      <c r="EB12" s="237">
        <f t="shared" si="73"/>
        <v>95</v>
      </c>
      <c r="EC12" s="237">
        <f t="shared" si="74"/>
        <v>4115644</v>
      </c>
      <c r="ED12" s="237">
        <v>11</v>
      </c>
      <c r="EE12" s="237">
        <v>14</v>
      </c>
      <c r="EF12" s="237">
        <f t="shared" si="75"/>
        <v>25</v>
      </c>
      <c r="EG12" s="237">
        <v>515400</v>
      </c>
      <c r="EH12" s="237">
        <v>40</v>
      </c>
      <c r="EI12" s="237">
        <v>1</v>
      </c>
      <c r="EJ12" s="237">
        <f t="shared" si="76"/>
        <v>41</v>
      </c>
      <c r="EK12" s="237">
        <v>2571736</v>
      </c>
      <c r="EL12" s="237">
        <f t="shared" si="77"/>
        <v>51</v>
      </c>
      <c r="EM12" s="237">
        <f t="shared" si="78"/>
        <v>15</v>
      </c>
      <c r="EN12" s="237">
        <f t="shared" si="79"/>
        <v>66</v>
      </c>
      <c r="EO12" s="237">
        <f t="shared" si="80"/>
        <v>3087136</v>
      </c>
      <c r="EP12" s="271">
        <f t="shared" si="81"/>
        <v>44797790.560000002</v>
      </c>
      <c r="EQ12" s="284">
        <f t="shared" si="82"/>
        <v>702</v>
      </c>
      <c r="ER12" s="271">
        <f t="shared" si="83"/>
        <v>970</v>
      </c>
      <c r="ES12" s="271"/>
      <c r="ET12" s="271"/>
    </row>
    <row r="13" spans="1:150" x14ac:dyDescent="0.3">
      <c r="A13" s="282" t="s">
        <v>5</v>
      </c>
      <c r="B13" s="253">
        <v>25</v>
      </c>
      <c r="C13" s="253">
        <v>14</v>
      </c>
      <c r="D13" s="283">
        <f t="shared" si="9"/>
        <v>39</v>
      </c>
      <c r="E13" s="253">
        <v>1718700</v>
      </c>
      <c r="F13" s="253">
        <v>37</v>
      </c>
      <c r="G13" s="253">
        <v>1</v>
      </c>
      <c r="H13" s="283">
        <f t="shared" si="10"/>
        <v>38</v>
      </c>
      <c r="I13" s="253">
        <f>2694028-19600</f>
        <v>2674428</v>
      </c>
      <c r="J13" s="283">
        <f t="shared" si="11"/>
        <v>62</v>
      </c>
      <c r="K13" s="283">
        <f t="shared" si="12"/>
        <v>15</v>
      </c>
      <c r="L13" s="283">
        <f t="shared" si="13"/>
        <v>77</v>
      </c>
      <c r="M13" s="283">
        <f t="shared" si="14"/>
        <v>4393128</v>
      </c>
      <c r="N13" s="253">
        <v>29</v>
      </c>
      <c r="O13" s="253">
        <v>12</v>
      </c>
      <c r="P13" s="283">
        <f t="shared" si="15"/>
        <v>41</v>
      </c>
      <c r="Q13" s="253">
        <v>1904940</v>
      </c>
      <c r="R13" s="253">
        <v>46</v>
      </c>
      <c r="S13" s="253">
        <v>0</v>
      </c>
      <c r="T13" s="283">
        <f t="shared" si="16"/>
        <v>46</v>
      </c>
      <c r="U13" s="253">
        <v>3135325</v>
      </c>
      <c r="V13" s="283">
        <f t="shared" si="17"/>
        <v>75</v>
      </c>
      <c r="W13" s="283">
        <f t="shared" si="18"/>
        <v>12</v>
      </c>
      <c r="X13" s="283">
        <f t="shared" si="19"/>
        <v>87</v>
      </c>
      <c r="Y13" s="283">
        <f t="shared" si="20"/>
        <v>5040265</v>
      </c>
      <c r="Z13" s="253">
        <v>31</v>
      </c>
      <c r="AA13" s="250">
        <v>16</v>
      </c>
      <c r="AB13" s="237">
        <f t="shared" si="21"/>
        <v>47</v>
      </c>
      <c r="AC13" s="250">
        <v>1491800</v>
      </c>
      <c r="AD13" s="250">
        <v>44</v>
      </c>
      <c r="AE13" s="250">
        <v>0</v>
      </c>
      <c r="AF13" s="237">
        <f t="shared" si="22"/>
        <v>44</v>
      </c>
      <c r="AG13" s="250">
        <v>3130221</v>
      </c>
      <c r="AH13" s="250">
        <f t="shared" si="23"/>
        <v>75</v>
      </c>
      <c r="AI13" s="250">
        <f t="shared" si="24"/>
        <v>16</v>
      </c>
      <c r="AJ13" s="237">
        <f t="shared" si="25"/>
        <v>91</v>
      </c>
      <c r="AK13" s="237">
        <f t="shared" si="26"/>
        <v>4622021</v>
      </c>
      <c r="AL13" s="253">
        <v>32</v>
      </c>
      <c r="AM13" s="250">
        <v>16</v>
      </c>
      <c r="AN13" s="237">
        <f t="shared" si="27"/>
        <v>48</v>
      </c>
      <c r="AO13" s="250">
        <v>2176300.12</v>
      </c>
      <c r="AP13" s="250">
        <v>50</v>
      </c>
      <c r="AQ13" s="250">
        <v>1</v>
      </c>
      <c r="AR13" s="237">
        <f t="shared" si="28"/>
        <v>51</v>
      </c>
      <c r="AS13" s="250">
        <v>3572048.52</v>
      </c>
      <c r="AT13" s="250">
        <f t="shared" si="29"/>
        <v>82</v>
      </c>
      <c r="AU13" s="250">
        <f t="shared" si="30"/>
        <v>17</v>
      </c>
      <c r="AV13" s="237">
        <f t="shared" si="31"/>
        <v>99</v>
      </c>
      <c r="AW13" s="237">
        <f t="shared" si="32"/>
        <v>5748348.6400000006</v>
      </c>
      <c r="AX13" s="253">
        <v>33</v>
      </c>
      <c r="AY13" s="250">
        <v>25</v>
      </c>
      <c r="AZ13" s="237">
        <f t="shared" si="33"/>
        <v>58</v>
      </c>
      <c r="BA13" s="250">
        <v>1825600</v>
      </c>
      <c r="BB13" s="250">
        <v>55</v>
      </c>
      <c r="BC13" s="250">
        <v>3</v>
      </c>
      <c r="BD13" s="237">
        <f t="shared" si="34"/>
        <v>58</v>
      </c>
      <c r="BE13" s="250">
        <v>3741364</v>
      </c>
      <c r="BF13" s="250">
        <f t="shared" si="35"/>
        <v>88</v>
      </c>
      <c r="BG13" s="250">
        <f t="shared" si="36"/>
        <v>28</v>
      </c>
      <c r="BH13" s="237">
        <f t="shared" si="37"/>
        <v>116</v>
      </c>
      <c r="BI13" s="237">
        <f t="shared" si="38"/>
        <v>5566964</v>
      </c>
      <c r="BJ13" s="253">
        <v>35</v>
      </c>
      <c r="BK13" s="250">
        <v>18</v>
      </c>
      <c r="BL13" s="237">
        <f t="shared" si="39"/>
        <v>53</v>
      </c>
      <c r="BM13" s="250">
        <v>2532700</v>
      </c>
      <c r="BN13" s="250">
        <v>64</v>
      </c>
      <c r="BO13" s="250">
        <v>2</v>
      </c>
      <c r="BP13" s="237">
        <f t="shared" si="40"/>
        <v>66</v>
      </c>
      <c r="BQ13" s="250">
        <v>4240944</v>
      </c>
      <c r="BR13" s="250">
        <f t="shared" si="41"/>
        <v>99</v>
      </c>
      <c r="BS13" s="250">
        <f t="shared" si="42"/>
        <v>20</v>
      </c>
      <c r="BT13" s="237">
        <f t="shared" si="43"/>
        <v>119</v>
      </c>
      <c r="BU13" s="237">
        <f t="shared" si="44"/>
        <v>6773644</v>
      </c>
      <c r="BV13" s="253">
        <v>30</v>
      </c>
      <c r="BW13" s="250">
        <v>27</v>
      </c>
      <c r="BX13" s="237">
        <f t="shared" si="45"/>
        <v>57</v>
      </c>
      <c r="BY13" s="250">
        <v>2389700</v>
      </c>
      <c r="BZ13" s="250">
        <v>68</v>
      </c>
      <c r="CA13" s="250">
        <v>1</v>
      </c>
      <c r="CB13" s="237">
        <f t="shared" si="46"/>
        <v>69</v>
      </c>
      <c r="CC13" s="250">
        <v>4215824</v>
      </c>
      <c r="CD13" s="250">
        <f t="shared" si="47"/>
        <v>98</v>
      </c>
      <c r="CE13" s="250">
        <f t="shared" si="48"/>
        <v>28</v>
      </c>
      <c r="CF13" s="237">
        <f t="shared" si="49"/>
        <v>126</v>
      </c>
      <c r="CG13" s="237">
        <f t="shared" si="50"/>
        <v>6605524</v>
      </c>
      <c r="CH13" s="253">
        <v>35</v>
      </c>
      <c r="CI13" s="250">
        <v>25</v>
      </c>
      <c r="CJ13" s="237">
        <f t="shared" si="51"/>
        <v>60</v>
      </c>
      <c r="CK13" s="250">
        <v>1580300</v>
      </c>
      <c r="CL13" s="250">
        <v>57</v>
      </c>
      <c r="CM13" s="250">
        <v>1</v>
      </c>
      <c r="CN13" s="237">
        <f t="shared" si="52"/>
        <v>58</v>
      </c>
      <c r="CO13" s="250">
        <v>3918185</v>
      </c>
      <c r="CP13" s="250">
        <f t="shared" si="53"/>
        <v>92</v>
      </c>
      <c r="CQ13" s="250">
        <f t="shared" si="54"/>
        <v>26</v>
      </c>
      <c r="CR13" s="237">
        <f t="shared" si="55"/>
        <v>118</v>
      </c>
      <c r="CS13" s="237">
        <f t="shared" si="56"/>
        <v>5498485</v>
      </c>
      <c r="CT13" s="253">
        <v>31</v>
      </c>
      <c r="CU13" s="250">
        <v>16</v>
      </c>
      <c r="CV13" s="237">
        <f t="shared" si="57"/>
        <v>47</v>
      </c>
      <c r="CW13" s="250">
        <v>1116860</v>
      </c>
      <c r="CX13" s="250">
        <v>67</v>
      </c>
      <c r="CY13" s="250">
        <v>0</v>
      </c>
      <c r="CZ13" s="237">
        <f t="shared" si="58"/>
        <v>67</v>
      </c>
      <c r="DA13" s="250">
        <v>3351641</v>
      </c>
      <c r="DB13" s="250">
        <f t="shared" si="59"/>
        <v>98</v>
      </c>
      <c r="DC13" s="250">
        <f t="shared" si="60"/>
        <v>16</v>
      </c>
      <c r="DD13" s="237">
        <f t="shared" si="61"/>
        <v>114</v>
      </c>
      <c r="DE13" s="237">
        <f t="shared" si="62"/>
        <v>4468501</v>
      </c>
      <c r="DF13" s="250">
        <v>23</v>
      </c>
      <c r="DG13" s="250">
        <v>15</v>
      </c>
      <c r="DH13" s="237">
        <f t="shared" si="63"/>
        <v>38</v>
      </c>
      <c r="DI13" s="250">
        <v>1642150</v>
      </c>
      <c r="DJ13" s="250">
        <v>68</v>
      </c>
      <c r="DK13" s="250">
        <v>0</v>
      </c>
      <c r="DL13" s="237">
        <f t="shared" si="64"/>
        <v>68</v>
      </c>
      <c r="DM13" s="250">
        <v>4171980</v>
      </c>
      <c r="DN13" s="250">
        <f t="shared" si="65"/>
        <v>91</v>
      </c>
      <c r="DO13" s="250">
        <f t="shared" si="66"/>
        <v>15</v>
      </c>
      <c r="DP13" s="237">
        <f t="shared" si="67"/>
        <v>106</v>
      </c>
      <c r="DQ13" s="237">
        <f t="shared" si="68"/>
        <v>5814130</v>
      </c>
      <c r="DR13" s="250">
        <v>25</v>
      </c>
      <c r="DS13" s="250">
        <v>18</v>
      </c>
      <c r="DT13" s="237">
        <f t="shared" si="69"/>
        <v>43</v>
      </c>
      <c r="DU13" s="250">
        <v>1360900</v>
      </c>
      <c r="DV13" s="250">
        <v>51</v>
      </c>
      <c r="DW13" s="250">
        <v>0</v>
      </c>
      <c r="DX13" s="237">
        <f t="shared" si="70"/>
        <v>51</v>
      </c>
      <c r="DY13" s="250">
        <v>2799380</v>
      </c>
      <c r="DZ13" s="237">
        <f t="shared" si="71"/>
        <v>76</v>
      </c>
      <c r="EA13" s="237">
        <f t="shared" si="72"/>
        <v>18</v>
      </c>
      <c r="EB13" s="237">
        <f t="shared" si="73"/>
        <v>94</v>
      </c>
      <c r="EC13" s="237">
        <f t="shared" si="74"/>
        <v>4160280</v>
      </c>
      <c r="ED13" s="237">
        <v>27</v>
      </c>
      <c r="EE13" s="237">
        <v>22</v>
      </c>
      <c r="EF13" s="237">
        <f t="shared" si="75"/>
        <v>49</v>
      </c>
      <c r="EG13" s="237">
        <v>1414460</v>
      </c>
      <c r="EH13" s="237">
        <v>57</v>
      </c>
      <c r="EI13" s="237">
        <v>1</v>
      </c>
      <c r="EJ13" s="237">
        <f t="shared" si="76"/>
        <v>58</v>
      </c>
      <c r="EK13" s="237">
        <v>4044101</v>
      </c>
      <c r="EL13" s="237">
        <f t="shared" si="77"/>
        <v>84</v>
      </c>
      <c r="EM13" s="237">
        <f t="shared" si="78"/>
        <v>23</v>
      </c>
      <c r="EN13" s="237">
        <f t="shared" si="79"/>
        <v>107</v>
      </c>
      <c r="EO13" s="237">
        <f t="shared" si="80"/>
        <v>5458561</v>
      </c>
      <c r="EP13" s="271">
        <f t="shared" si="81"/>
        <v>64149851.640000001</v>
      </c>
      <c r="EQ13" s="284">
        <f t="shared" si="82"/>
        <v>993</v>
      </c>
      <c r="ER13" s="271">
        <f t="shared" si="83"/>
        <v>1254</v>
      </c>
      <c r="ES13" s="271"/>
      <c r="ET13" s="271"/>
    </row>
    <row r="14" spans="1:150" x14ac:dyDescent="0.3">
      <c r="A14" s="282" t="s">
        <v>23</v>
      </c>
      <c r="B14" s="253">
        <v>24</v>
      </c>
      <c r="C14" s="253">
        <v>31</v>
      </c>
      <c r="D14" s="283">
        <f t="shared" si="9"/>
        <v>55</v>
      </c>
      <c r="E14" s="253">
        <v>1722520</v>
      </c>
      <c r="F14" s="253">
        <v>39</v>
      </c>
      <c r="G14" s="253">
        <v>0</v>
      </c>
      <c r="H14" s="283">
        <f t="shared" si="10"/>
        <v>39</v>
      </c>
      <c r="I14" s="253">
        <v>2291580</v>
      </c>
      <c r="J14" s="283">
        <f t="shared" si="11"/>
        <v>63</v>
      </c>
      <c r="K14" s="283">
        <f t="shared" si="12"/>
        <v>31</v>
      </c>
      <c r="L14" s="283">
        <f t="shared" si="13"/>
        <v>94</v>
      </c>
      <c r="M14" s="283">
        <f t="shared" si="14"/>
        <v>4014100</v>
      </c>
      <c r="N14" s="253">
        <v>28</v>
      </c>
      <c r="O14" s="253">
        <v>23</v>
      </c>
      <c r="P14" s="283">
        <f t="shared" si="15"/>
        <v>51</v>
      </c>
      <c r="Q14" s="253">
        <v>1636800</v>
      </c>
      <c r="R14" s="253">
        <v>40</v>
      </c>
      <c r="S14" s="253">
        <v>0</v>
      </c>
      <c r="T14" s="283">
        <f t="shared" si="16"/>
        <v>40</v>
      </c>
      <c r="U14" s="253">
        <v>2817870</v>
      </c>
      <c r="V14" s="283">
        <f t="shared" si="17"/>
        <v>68</v>
      </c>
      <c r="W14" s="283">
        <f t="shared" si="18"/>
        <v>23</v>
      </c>
      <c r="X14" s="283">
        <f t="shared" si="19"/>
        <v>91</v>
      </c>
      <c r="Y14" s="283">
        <f t="shared" si="20"/>
        <v>4454670</v>
      </c>
      <c r="Z14" s="253">
        <v>36</v>
      </c>
      <c r="AA14" s="250">
        <v>29</v>
      </c>
      <c r="AB14" s="237">
        <f t="shared" si="21"/>
        <v>65</v>
      </c>
      <c r="AC14" s="250">
        <v>1525200</v>
      </c>
      <c r="AD14" s="250">
        <v>42</v>
      </c>
      <c r="AE14" s="250">
        <v>2</v>
      </c>
      <c r="AF14" s="237">
        <f t="shared" si="22"/>
        <v>44</v>
      </c>
      <c r="AG14" s="250">
        <v>2732500</v>
      </c>
      <c r="AH14" s="250">
        <f t="shared" si="23"/>
        <v>78</v>
      </c>
      <c r="AI14" s="250">
        <f t="shared" si="24"/>
        <v>31</v>
      </c>
      <c r="AJ14" s="237">
        <f t="shared" si="25"/>
        <v>109</v>
      </c>
      <c r="AK14" s="237">
        <f t="shared" si="26"/>
        <v>4257700</v>
      </c>
      <c r="AL14" s="253">
        <v>38</v>
      </c>
      <c r="AM14" s="250">
        <v>30</v>
      </c>
      <c r="AN14" s="237">
        <f t="shared" si="27"/>
        <v>68</v>
      </c>
      <c r="AO14" s="250">
        <v>2220800.08</v>
      </c>
      <c r="AP14" s="250">
        <v>51</v>
      </c>
      <c r="AQ14" s="250">
        <v>0</v>
      </c>
      <c r="AR14" s="237">
        <f t="shared" si="28"/>
        <v>51</v>
      </c>
      <c r="AS14" s="250">
        <v>3561740.23</v>
      </c>
      <c r="AT14" s="250">
        <f t="shared" si="29"/>
        <v>89</v>
      </c>
      <c r="AU14" s="250">
        <f t="shared" si="30"/>
        <v>30</v>
      </c>
      <c r="AV14" s="237">
        <f t="shared" si="31"/>
        <v>119</v>
      </c>
      <c r="AW14" s="237">
        <f t="shared" si="32"/>
        <v>5782540.3100000005</v>
      </c>
      <c r="AX14" s="253">
        <v>45</v>
      </c>
      <c r="AY14" s="250">
        <v>37</v>
      </c>
      <c r="AZ14" s="237">
        <f t="shared" si="33"/>
        <v>82</v>
      </c>
      <c r="BA14" s="250">
        <v>2423403</v>
      </c>
      <c r="BB14" s="250">
        <v>44</v>
      </c>
      <c r="BC14" s="250">
        <v>0</v>
      </c>
      <c r="BD14" s="237">
        <f t="shared" si="34"/>
        <v>44</v>
      </c>
      <c r="BE14" s="250">
        <v>2893900</v>
      </c>
      <c r="BF14" s="250">
        <f t="shared" si="35"/>
        <v>89</v>
      </c>
      <c r="BG14" s="250">
        <f t="shared" si="36"/>
        <v>37</v>
      </c>
      <c r="BH14" s="237">
        <f t="shared" si="37"/>
        <v>126</v>
      </c>
      <c r="BI14" s="237">
        <f t="shared" si="38"/>
        <v>5317303</v>
      </c>
      <c r="BJ14" s="253">
        <v>34</v>
      </c>
      <c r="BK14" s="250">
        <v>38</v>
      </c>
      <c r="BL14" s="237">
        <f t="shared" si="39"/>
        <v>72</v>
      </c>
      <c r="BM14" s="250">
        <v>2021900</v>
      </c>
      <c r="BN14" s="250">
        <v>59</v>
      </c>
      <c r="BO14" s="250">
        <v>1</v>
      </c>
      <c r="BP14" s="237">
        <f t="shared" si="40"/>
        <v>60</v>
      </c>
      <c r="BQ14" s="250">
        <v>4576866</v>
      </c>
      <c r="BR14" s="250">
        <f t="shared" si="41"/>
        <v>93</v>
      </c>
      <c r="BS14" s="250">
        <f t="shared" si="42"/>
        <v>39</v>
      </c>
      <c r="BT14" s="237">
        <f t="shared" si="43"/>
        <v>132</v>
      </c>
      <c r="BU14" s="237">
        <f t="shared" si="44"/>
        <v>6598766</v>
      </c>
      <c r="BV14" s="253">
        <v>29</v>
      </c>
      <c r="BW14" s="250">
        <v>33</v>
      </c>
      <c r="BX14" s="237">
        <f t="shared" si="45"/>
        <v>62</v>
      </c>
      <c r="BY14" s="250">
        <v>1598900</v>
      </c>
      <c r="BZ14" s="250">
        <v>55</v>
      </c>
      <c r="CA14" s="250">
        <v>0</v>
      </c>
      <c r="CB14" s="237">
        <f t="shared" si="46"/>
        <v>55</v>
      </c>
      <c r="CC14" s="250">
        <v>4266454</v>
      </c>
      <c r="CD14" s="250">
        <f t="shared" si="47"/>
        <v>84</v>
      </c>
      <c r="CE14" s="250">
        <f t="shared" si="48"/>
        <v>33</v>
      </c>
      <c r="CF14" s="237">
        <f t="shared" si="49"/>
        <v>117</v>
      </c>
      <c r="CG14" s="237">
        <f t="shared" si="50"/>
        <v>5865354</v>
      </c>
      <c r="CH14" s="253">
        <v>36</v>
      </c>
      <c r="CI14" s="250">
        <v>35</v>
      </c>
      <c r="CJ14" s="237">
        <f t="shared" si="51"/>
        <v>71</v>
      </c>
      <c r="CK14" s="250">
        <v>1811050</v>
      </c>
      <c r="CL14" s="250">
        <v>56</v>
      </c>
      <c r="CM14" s="250">
        <v>1</v>
      </c>
      <c r="CN14" s="237">
        <f t="shared" si="52"/>
        <v>57</v>
      </c>
      <c r="CO14" s="250">
        <v>3699470</v>
      </c>
      <c r="CP14" s="250">
        <f t="shared" si="53"/>
        <v>92</v>
      </c>
      <c r="CQ14" s="250">
        <f t="shared" si="54"/>
        <v>36</v>
      </c>
      <c r="CR14" s="237">
        <f t="shared" si="55"/>
        <v>128</v>
      </c>
      <c r="CS14" s="237">
        <f t="shared" si="56"/>
        <v>5510520</v>
      </c>
      <c r="CT14" s="253">
        <v>29</v>
      </c>
      <c r="CU14" s="250">
        <v>36</v>
      </c>
      <c r="CV14" s="237">
        <f t="shared" si="57"/>
        <v>65</v>
      </c>
      <c r="CW14" s="250">
        <v>2132865</v>
      </c>
      <c r="CX14" s="250">
        <v>58</v>
      </c>
      <c r="CY14" s="250">
        <v>1</v>
      </c>
      <c r="CZ14" s="237">
        <f t="shared" si="58"/>
        <v>59</v>
      </c>
      <c r="DA14" s="250">
        <v>4399521</v>
      </c>
      <c r="DB14" s="250">
        <f t="shared" si="59"/>
        <v>87</v>
      </c>
      <c r="DC14" s="250">
        <f t="shared" si="60"/>
        <v>37</v>
      </c>
      <c r="DD14" s="237">
        <f t="shared" si="61"/>
        <v>124</v>
      </c>
      <c r="DE14" s="237">
        <f t="shared" si="62"/>
        <v>6532386</v>
      </c>
      <c r="DF14" s="250">
        <v>22</v>
      </c>
      <c r="DG14" s="250">
        <v>32</v>
      </c>
      <c r="DH14" s="237">
        <f t="shared" si="63"/>
        <v>54</v>
      </c>
      <c r="DI14" s="250">
        <v>1373700</v>
      </c>
      <c r="DJ14" s="250">
        <v>51</v>
      </c>
      <c r="DK14" s="250">
        <v>0</v>
      </c>
      <c r="DL14" s="237">
        <f t="shared" si="64"/>
        <v>51</v>
      </c>
      <c r="DM14" s="250">
        <v>3830640</v>
      </c>
      <c r="DN14" s="250">
        <f t="shared" si="65"/>
        <v>73</v>
      </c>
      <c r="DO14" s="250">
        <f t="shared" si="66"/>
        <v>32</v>
      </c>
      <c r="DP14" s="237">
        <f t="shared" si="67"/>
        <v>105</v>
      </c>
      <c r="DQ14" s="237">
        <f t="shared" si="68"/>
        <v>5204340</v>
      </c>
      <c r="DR14" s="250">
        <v>33</v>
      </c>
      <c r="DS14" s="250">
        <v>40</v>
      </c>
      <c r="DT14" s="237">
        <f t="shared" si="69"/>
        <v>73</v>
      </c>
      <c r="DU14" s="250">
        <v>1118100</v>
      </c>
      <c r="DV14" s="250">
        <v>51</v>
      </c>
      <c r="DW14" s="250">
        <v>0</v>
      </c>
      <c r="DX14" s="237">
        <f t="shared" si="70"/>
        <v>51</v>
      </c>
      <c r="DY14" s="250">
        <v>3400210</v>
      </c>
      <c r="DZ14" s="237">
        <f t="shared" si="71"/>
        <v>84</v>
      </c>
      <c r="EA14" s="237">
        <f t="shared" si="72"/>
        <v>40</v>
      </c>
      <c r="EB14" s="237">
        <f t="shared" si="73"/>
        <v>124</v>
      </c>
      <c r="EC14" s="237">
        <f t="shared" si="74"/>
        <v>4518310</v>
      </c>
      <c r="ED14" s="237">
        <v>25</v>
      </c>
      <c r="EE14" s="237">
        <v>25</v>
      </c>
      <c r="EF14" s="237">
        <f t="shared" si="75"/>
        <v>50</v>
      </c>
      <c r="EG14" s="237">
        <v>1578625</v>
      </c>
      <c r="EH14" s="237">
        <v>50</v>
      </c>
      <c r="EI14" s="237">
        <v>0</v>
      </c>
      <c r="EJ14" s="237">
        <f t="shared" si="76"/>
        <v>50</v>
      </c>
      <c r="EK14" s="237">
        <v>3384160</v>
      </c>
      <c r="EL14" s="237">
        <f t="shared" si="77"/>
        <v>75</v>
      </c>
      <c r="EM14" s="237">
        <f t="shared" si="78"/>
        <v>25</v>
      </c>
      <c r="EN14" s="237">
        <f t="shared" si="79"/>
        <v>100</v>
      </c>
      <c r="EO14" s="237">
        <f t="shared" si="80"/>
        <v>4962785</v>
      </c>
      <c r="EP14" s="271">
        <f t="shared" si="81"/>
        <v>63018774.310000002</v>
      </c>
      <c r="EQ14" s="284">
        <f t="shared" si="82"/>
        <v>950</v>
      </c>
      <c r="ER14" s="271">
        <f t="shared" si="83"/>
        <v>1369</v>
      </c>
      <c r="ES14" s="271"/>
      <c r="ET14" s="271"/>
    </row>
    <row r="15" spans="1:150" x14ac:dyDescent="0.3">
      <c r="A15" s="282" t="s">
        <v>129</v>
      </c>
      <c r="B15" s="253">
        <v>16</v>
      </c>
      <c r="C15" s="253">
        <v>17</v>
      </c>
      <c r="D15" s="283">
        <f t="shared" si="9"/>
        <v>33</v>
      </c>
      <c r="E15" s="253">
        <v>1895860</v>
      </c>
      <c r="F15" s="253">
        <v>31</v>
      </c>
      <c r="G15" s="253">
        <v>0</v>
      </c>
      <c r="H15" s="283">
        <f t="shared" si="10"/>
        <v>31</v>
      </c>
      <c r="I15" s="253">
        <v>3007720</v>
      </c>
      <c r="J15" s="283">
        <f t="shared" si="11"/>
        <v>47</v>
      </c>
      <c r="K15" s="283">
        <f t="shared" si="12"/>
        <v>17</v>
      </c>
      <c r="L15" s="283">
        <f t="shared" si="13"/>
        <v>64</v>
      </c>
      <c r="M15" s="283">
        <f t="shared" si="14"/>
        <v>4903580</v>
      </c>
      <c r="N15" s="253">
        <v>16</v>
      </c>
      <c r="O15" s="253">
        <v>22</v>
      </c>
      <c r="P15" s="283">
        <f t="shared" si="15"/>
        <v>38</v>
      </c>
      <c r="Q15" s="253">
        <v>1701560</v>
      </c>
      <c r="R15" s="253">
        <v>24</v>
      </c>
      <c r="S15" s="253">
        <v>1</v>
      </c>
      <c r="T15" s="283">
        <f t="shared" si="16"/>
        <v>25</v>
      </c>
      <c r="U15" s="253">
        <v>2866700</v>
      </c>
      <c r="V15" s="283">
        <f t="shared" si="17"/>
        <v>40</v>
      </c>
      <c r="W15" s="283">
        <f t="shared" si="18"/>
        <v>23</v>
      </c>
      <c r="X15" s="283">
        <f t="shared" si="19"/>
        <v>63</v>
      </c>
      <c r="Y15" s="283">
        <f t="shared" si="20"/>
        <v>4568260</v>
      </c>
      <c r="Z15" s="253">
        <v>4</v>
      </c>
      <c r="AA15" s="250">
        <v>28</v>
      </c>
      <c r="AB15" s="237">
        <f t="shared" si="21"/>
        <v>32</v>
      </c>
      <c r="AC15" s="250">
        <v>232200</v>
      </c>
      <c r="AD15" s="250">
        <v>29</v>
      </c>
      <c r="AE15" s="250">
        <v>0</v>
      </c>
      <c r="AF15" s="237">
        <f t="shared" si="22"/>
        <v>29</v>
      </c>
      <c r="AG15" s="250">
        <v>3354670</v>
      </c>
      <c r="AH15" s="250">
        <f t="shared" si="23"/>
        <v>33</v>
      </c>
      <c r="AI15" s="250">
        <f t="shared" si="24"/>
        <v>28</v>
      </c>
      <c r="AJ15" s="237">
        <f t="shared" si="25"/>
        <v>61</v>
      </c>
      <c r="AK15" s="237">
        <f t="shared" si="26"/>
        <v>3586870</v>
      </c>
      <c r="AL15" s="253">
        <v>23</v>
      </c>
      <c r="AM15" s="250">
        <v>13</v>
      </c>
      <c r="AN15" s="237">
        <f t="shared" si="27"/>
        <v>36</v>
      </c>
      <c r="AO15" s="250">
        <v>2161600.16</v>
      </c>
      <c r="AP15" s="250">
        <v>30</v>
      </c>
      <c r="AQ15" s="250">
        <v>1</v>
      </c>
      <c r="AR15" s="237">
        <f t="shared" si="28"/>
        <v>31</v>
      </c>
      <c r="AS15" s="250">
        <v>3654100.12</v>
      </c>
      <c r="AT15" s="250">
        <f t="shared" si="29"/>
        <v>53</v>
      </c>
      <c r="AU15" s="250">
        <f t="shared" si="30"/>
        <v>14</v>
      </c>
      <c r="AV15" s="237">
        <f t="shared" si="31"/>
        <v>67</v>
      </c>
      <c r="AW15" s="237">
        <f t="shared" si="32"/>
        <v>5815700.2800000003</v>
      </c>
      <c r="AX15" s="253">
        <v>21</v>
      </c>
      <c r="AY15" s="250">
        <v>16</v>
      </c>
      <c r="AZ15" s="237">
        <f t="shared" si="33"/>
        <v>37</v>
      </c>
      <c r="BA15" s="250">
        <v>2907820</v>
      </c>
      <c r="BB15" s="250">
        <v>25</v>
      </c>
      <c r="BC15" s="250">
        <v>0</v>
      </c>
      <c r="BD15" s="237">
        <f t="shared" si="34"/>
        <v>25</v>
      </c>
      <c r="BE15" s="250">
        <v>2424320</v>
      </c>
      <c r="BF15" s="250">
        <f t="shared" si="35"/>
        <v>46</v>
      </c>
      <c r="BG15" s="250">
        <f t="shared" si="36"/>
        <v>16</v>
      </c>
      <c r="BH15" s="237">
        <f t="shared" si="37"/>
        <v>62</v>
      </c>
      <c r="BI15" s="237">
        <f t="shared" si="38"/>
        <v>5332140</v>
      </c>
      <c r="BJ15" s="253">
        <v>18</v>
      </c>
      <c r="BK15" s="250">
        <v>16</v>
      </c>
      <c r="BL15" s="237">
        <f t="shared" si="39"/>
        <v>34</v>
      </c>
      <c r="BM15" s="250">
        <v>1326170</v>
      </c>
      <c r="BN15" s="250">
        <v>37</v>
      </c>
      <c r="BO15" s="250">
        <v>0</v>
      </c>
      <c r="BP15" s="237">
        <f t="shared" si="40"/>
        <v>37</v>
      </c>
      <c r="BQ15" s="250">
        <v>4979370</v>
      </c>
      <c r="BR15" s="250">
        <f t="shared" si="41"/>
        <v>55</v>
      </c>
      <c r="BS15" s="250">
        <f t="shared" si="42"/>
        <v>16</v>
      </c>
      <c r="BT15" s="237">
        <f t="shared" si="43"/>
        <v>71</v>
      </c>
      <c r="BU15" s="237">
        <f t="shared" si="44"/>
        <v>6305540</v>
      </c>
      <c r="BV15" s="253">
        <v>19</v>
      </c>
      <c r="BW15" s="250">
        <v>37</v>
      </c>
      <c r="BX15" s="237">
        <f t="shared" si="45"/>
        <v>56</v>
      </c>
      <c r="BY15" s="250">
        <v>1950590</v>
      </c>
      <c r="BZ15" s="250">
        <v>33</v>
      </c>
      <c r="CA15" s="250">
        <v>0</v>
      </c>
      <c r="CB15" s="237">
        <f t="shared" si="46"/>
        <v>33</v>
      </c>
      <c r="CC15" s="250">
        <v>3586950</v>
      </c>
      <c r="CD15" s="250">
        <f t="shared" si="47"/>
        <v>52</v>
      </c>
      <c r="CE15" s="250">
        <f t="shared" si="48"/>
        <v>37</v>
      </c>
      <c r="CF15" s="237">
        <f t="shared" si="49"/>
        <v>89</v>
      </c>
      <c r="CG15" s="237">
        <f t="shared" si="50"/>
        <v>5537540</v>
      </c>
      <c r="CH15" s="253">
        <v>13</v>
      </c>
      <c r="CI15" s="250">
        <v>20</v>
      </c>
      <c r="CJ15" s="237">
        <f t="shared" si="51"/>
        <v>33</v>
      </c>
      <c r="CK15" s="250">
        <v>1115560</v>
      </c>
      <c r="CL15" s="250">
        <v>44</v>
      </c>
      <c r="CM15" s="250">
        <v>2</v>
      </c>
      <c r="CN15" s="237">
        <f t="shared" si="52"/>
        <v>46</v>
      </c>
      <c r="CO15" s="250">
        <v>4848780</v>
      </c>
      <c r="CP15" s="250">
        <f t="shared" si="53"/>
        <v>57</v>
      </c>
      <c r="CQ15" s="250">
        <f t="shared" si="54"/>
        <v>22</v>
      </c>
      <c r="CR15" s="237">
        <f t="shared" si="55"/>
        <v>79</v>
      </c>
      <c r="CS15" s="237">
        <f t="shared" si="56"/>
        <v>5964340</v>
      </c>
      <c r="CT15" s="253">
        <v>12</v>
      </c>
      <c r="CU15" s="250">
        <v>17</v>
      </c>
      <c r="CV15" s="237">
        <f t="shared" si="57"/>
        <v>29</v>
      </c>
      <c r="CW15" s="250">
        <v>1107900</v>
      </c>
      <c r="CX15" s="250">
        <v>40</v>
      </c>
      <c r="CY15" s="250">
        <v>0</v>
      </c>
      <c r="CZ15" s="237">
        <f t="shared" si="58"/>
        <v>40</v>
      </c>
      <c r="DA15" s="250">
        <v>4632650</v>
      </c>
      <c r="DB15" s="250">
        <f t="shared" si="59"/>
        <v>52</v>
      </c>
      <c r="DC15" s="250">
        <f t="shared" si="60"/>
        <v>17</v>
      </c>
      <c r="DD15" s="237">
        <f t="shared" si="61"/>
        <v>69</v>
      </c>
      <c r="DE15" s="237">
        <f t="shared" si="62"/>
        <v>5740550</v>
      </c>
      <c r="DF15" s="250">
        <v>14</v>
      </c>
      <c r="DG15" s="250">
        <v>17</v>
      </c>
      <c r="DH15" s="237">
        <f t="shared" si="63"/>
        <v>31</v>
      </c>
      <c r="DI15" s="250">
        <v>1983460</v>
      </c>
      <c r="DJ15" s="250">
        <v>38</v>
      </c>
      <c r="DK15" s="250">
        <v>7</v>
      </c>
      <c r="DL15" s="237">
        <f t="shared" si="64"/>
        <v>45</v>
      </c>
      <c r="DM15" s="250">
        <v>4200280</v>
      </c>
      <c r="DN15" s="250">
        <f t="shared" si="65"/>
        <v>52</v>
      </c>
      <c r="DO15" s="250">
        <f t="shared" si="66"/>
        <v>24</v>
      </c>
      <c r="DP15" s="237">
        <f t="shared" si="67"/>
        <v>76</v>
      </c>
      <c r="DQ15" s="237">
        <f t="shared" si="68"/>
        <v>6183740</v>
      </c>
      <c r="DR15" s="250">
        <v>14</v>
      </c>
      <c r="DS15" s="250">
        <v>15</v>
      </c>
      <c r="DT15" s="237">
        <f t="shared" si="69"/>
        <v>29</v>
      </c>
      <c r="DU15" s="250">
        <v>1473500</v>
      </c>
      <c r="DV15" s="250">
        <v>36</v>
      </c>
      <c r="DW15" s="250">
        <v>1</v>
      </c>
      <c r="DX15" s="237">
        <f t="shared" si="70"/>
        <v>37</v>
      </c>
      <c r="DY15" s="250">
        <v>4544296</v>
      </c>
      <c r="DZ15" s="237">
        <f t="shared" si="71"/>
        <v>50</v>
      </c>
      <c r="EA15" s="237">
        <f t="shared" si="72"/>
        <v>16</v>
      </c>
      <c r="EB15" s="237">
        <f t="shared" si="73"/>
        <v>66</v>
      </c>
      <c r="EC15" s="237">
        <f t="shared" si="74"/>
        <v>6017796</v>
      </c>
      <c r="ED15" s="237">
        <v>6</v>
      </c>
      <c r="EE15" s="237">
        <v>15</v>
      </c>
      <c r="EF15" s="237">
        <f t="shared" si="75"/>
        <v>21</v>
      </c>
      <c r="EG15" s="237">
        <v>424500</v>
      </c>
      <c r="EH15" s="237">
        <v>27</v>
      </c>
      <c r="EI15" s="237">
        <v>1</v>
      </c>
      <c r="EJ15" s="237">
        <f t="shared" si="76"/>
        <v>28</v>
      </c>
      <c r="EK15" s="237">
        <v>3043140</v>
      </c>
      <c r="EL15" s="237">
        <f t="shared" si="77"/>
        <v>33</v>
      </c>
      <c r="EM15" s="237">
        <f t="shared" si="78"/>
        <v>16</v>
      </c>
      <c r="EN15" s="237">
        <f t="shared" si="79"/>
        <v>49</v>
      </c>
      <c r="EO15" s="237">
        <f t="shared" si="80"/>
        <v>3467640</v>
      </c>
      <c r="EP15" s="271">
        <f t="shared" si="81"/>
        <v>63423696.280000001</v>
      </c>
      <c r="EQ15" s="284">
        <f t="shared" si="82"/>
        <v>564</v>
      </c>
      <c r="ER15" s="271">
        <f t="shared" si="83"/>
        <v>816</v>
      </c>
      <c r="ES15" s="271"/>
      <c r="ET15" s="271"/>
    </row>
    <row r="16" spans="1:150" x14ac:dyDescent="0.3">
      <c r="A16" s="282" t="s">
        <v>9</v>
      </c>
      <c r="B16" s="253">
        <v>8</v>
      </c>
      <c r="C16" s="253">
        <v>14</v>
      </c>
      <c r="D16" s="283">
        <f t="shared" si="9"/>
        <v>22</v>
      </c>
      <c r="E16" s="253">
        <v>432000</v>
      </c>
      <c r="F16" s="253">
        <v>22</v>
      </c>
      <c r="G16" s="253">
        <v>0</v>
      </c>
      <c r="H16" s="283">
        <f t="shared" si="10"/>
        <v>22</v>
      </c>
      <c r="I16" s="253">
        <v>1041500</v>
      </c>
      <c r="J16" s="283">
        <f t="shared" si="11"/>
        <v>30</v>
      </c>
      <c r="K16" s="283">
        <f t="shared" si="12"/>
        <v>14</v>
      </c>
      <c r="L16" s="283">
        <f t="shared" si="13"/>
        <v>44</v>
      </c>
      <c r="M16" s="283">
        <f t="shared" si="14"/>
        <v>1473500</v>
      </c>
      <c r="N16" s="253">
        <v>13</v>
      </c>
      <c r="O16" s="253">
        <v>12</v>
      </c>
      <c r="P16" s="283">
        <f t="shared" si="15"/>
        <v>25</v>
      </c>
      <c r="Q16" s="253">
        <v>803500</v>
      </c>
      <c r="R16" s="253">
        <v>26</v>
      </c>
      <c r="S16" s="253">
        <v>0</v>
      </c>
      <c r="T16" s="283">
        <f t="shared" si="16"/>
        <v>26</v>
      </c>
      <c r="U16" s="253">
        <v>1511300</v>
      </c>
      <c r="V16" s="283">
        <f t="shared" si="17"/>
        <v>39</v>
      </c>
      <c r="W16" s="283">
        <f t="shared" si="18"/>
        <v>12</v>
      </c>
      <c r="X16" s="283">
        <f t="shared" si="19"/>
        <v>51</v>
      </c>
      <c r="Y16" s="283">
        <f t="shared" si="20"/>
        <v>2314800</v>
      </c>
      <c r="Z16" s="253">
        <v>22</v>
      </c>
      <c r="AA16" s="250">
        <v>17</v>
      </c>
      <c r="AB16" s="237">
        <f t="shared" si="21"/>
        <v>39</v>
      </c>
      <c r="AC16" s="250">
        <v>1227400</v>
      </c>
      <c r="AD16" s="250">
        <v>17</v>
      </c>
      <c r="AE16" s="250">
        <v>2</v>
      </c>
      <c r="AF16" s="237">
        <f t="shared" si="22"/>
        <v>19</v>
      </c>
      <c r="AG16" s="250">
        <v>861900</v>
      </c>
      <c r="AH16" s="250">
        <f t="shared" si="23"/>
        <v>39</v>
      </c>
      <c r="AI16" s="250">
        <f t="shared" si="24"/>
        <v>19</v>
      </c>
      <c r="AJ16" s="237">
        <f t="shared" si="25"/>
        <v>58</v>
      </c>
      <c r="AK16" s="237">
        <f t="shared" si="26"/>
        <v>2089300</v>
      </c>
      <c r="AL16" s="253">
        <v>11</v>
      </c>
      <c r="AM16" s="250">
        <v>12</v>
      </c>
      <c r="AN16" s="237">
        <f t="shared" si="27"/>
        <v>23</v>
      </c>
      <c r="AO16" s="250">
        <v>465500</v>
      </c>
      <c r="AP16" s="250">
        <v>24</v>
      </c>
      <c r="AQ16" s="250">
        <v>0</v>
      </c>
      <c r="AR16" s="237">
        <f t="shared" si="28"/>
        <v>24</v>
      </c>
      <c r="AS16" s="250">
        <v>1385600.4</v>
      </c>
      <c r="AT16" s="250">
        <f t="shared" si="29"/>
        <v>35</v>
      </c>
      <c r="AU16" s="250">
        <f t="shared" si="30"/>
        <v>12</v>
      </c>
      <c r="AV16" s="237">
        <f t="shared" si="31"/>
        <v>47</v>
      </c>
      <c r="AW16" s="237">
        <f t="shared" si="32"/>
        <v>1851100.4</v>
      </c>
      <c r="AX16" s="253">
        <v>12</v>
      </c>
      <c r="AY16" s="250">
        <v>21</v>
      </c>
      <c r="AZ16" s="237">
        <f t="shared" si="33"/>
        <v>33</v>
      </c>
      <c r="BA16" s="250">
        <v>446000</v>
      </c>
      <c r="BB16" s="250">
        <v>17</v>
      </c>
      <c r="BC16" s="250">
        <v>0</v>
      </c>
      <c r="BD16" s="237">
        <f t="shared" si="34"/>
        <v>17</v>
      </c>
      <c r="BE16" s="250">
        <v>872900</v>
      </c>
      <c r="BF16" s="250">
        <f t="shared" si="35"/>
        <v>29</v>
      </c>
      <c r="BG16" s="250">
        <f t="shared" si="36"/>
        <v>21</v>
      </c>
      <c r="BH16" s="237">
        <f t="shared" si="37"/>
        <v>50</v>
      </c>
      <c r="BI16" s="237">
        <f t="shared" si="38"/>
        <v>1318900</v>
      </c>
      <c r="BJ16" s="253">
        <v>21</v>
      </c>
      <c r="BK16" s="250">
        <v>18</v>
      </c>
      <c r="BL16" s="237">
        <f t="shared" si="39"/>
        <v>39</v>
      </c>
      <c r="BM16" s="250">
        <v>1280400</v>
      </c>
      <c r="BN16" s="250">
        <v>19</v>
      </c>
      <c r="BO16" s="250">
        <v>1</v>
      </c>
      <c r="BP16" s="237">
        <f t="shared" si="40"/>
        <v>20</v>
      </c>
      <c r="BQ16" s="250">
        <v>1328700</v>
      </c>
      <c r="BR16" s="250">
        <f t="shared" si="41"/>
        <v>40</v>
      </c>
      <c r="BS16" s="250">
        <f t="shared" si="42"/>
        <v>19</v>
      </c>
      <c r="BT16" s="237">
        <f t="shared" si="43"/>
        <v>59</v>
      </c>
      <c r="BU16" s="237">
        <f t="shared" si="44"/>
        <v>2609100</v>
      </c>
      <c r="BV16" s="253">
        <v>22</v>
      </c>
      <c r="BW16" s="250">
        <v>23</v>
      </c>
      <c r="BX16" s="237">
        <f t="shared" si="45"/>
        <v>45</v>
      </c>
      <c r="BY16" s="250">
        <v>989950</v>
      </c>
      <c r="BZ16" s="250">
        <v>23</v>
      </c>
      <c r="CA16" s="250">
        <v>0</v>
      </c>
      <c r="CB16" s="237">
        <f t="shared" si="46"/>
        <v>23</v>
      </c>
      <c r="CC16" s="250">
        <v>1519000</v>
      </c>
      <c r="CD16" s="250">
        <f t="shared" si="47"/>
        <v>45</v>
      </c>
      <c r="CE16" s="250">
        <f t="shared" si="48"/>
        <v>23</v>
      </c>
      <c r="CF16" s="237">
        <f t="shared" si="49"/>
        <v>68</v>
      </c>
      <c r="CG16" s="237">
        <f t="shared" si="50"/>
        <v>2508950</v>
      </c>
      <c r="CH16" s="253">
        <v>16</v>
      </c>
      <c r="CI16" s="250">
        <v>24</v>
      </c>
      <c r="CJ16" s="237">
        <f t="shared" si="51"/>
        <v>40</v>
      </c>
      <c r="CK16" s="250">
        <v>773900</v>
      </c>
      <c r="CL16" s="250">
        <v>27</v>
      </c>
      <c r="CM16" s="250">
        <v>3</v>
      </c>
      <c r="CN16" s="237">
        <f t="shared" si="52"/>
        <v>30</v>
      </c>
      <c r="CO16" s="250">
        <v>1001750</v>
      </c>
      <c r="CP16" s="250">
        <f t="shared" si="53"/>
        <v>43</v>
      </c>
      <c r="CQ16" s="250">
        <f t="shared" si="54"/>
        <v>27</v>
      </c>
      <c r="CR16" s="237">
        <f t="shared" si="55"/>
        <v>70</v>
      </c>
      <c r="CS16" s="237">
        <f t="shared" si="56"/>
        <v>1775650</v>
      </c>
      <c r="CT16" s="253">
        <v>22</v>
      </c>
      <c r="CU16" s="250">
        <v>18</v>
      </c>
      <c r="CV16" s="237">
        <f t="shared" si="57"/>
        <v>40</v>
      </c>
      <c r="CW16" s="250">
        <v>921900</v>
      </c>
      <c r="CX16" s="250">
        <v>33</v>
      </c>
      <c r="CY16" s="250">
        <v>0</v>
      </c>
      <c r="CZ16" s="237">
        <f t="shared" si="58"/>
        <v>33</v>
      </c>
      <c r="DA16" s="250">
        <v>1852250</v>
      </c>
      <c r="DB16" s="250">
        <f t="shared" si="59"/>
        <v>55</v>
      </c>
      <c r="DC16" s="250">
        <f t="shared" si="60"/>
        <v>18</v>
      </c>
      <c r="DD16" s="237">
        <f t="shared" si="61"/>
        <v>73</v>
      </c>
      <c r="DE16" s="237">
        <f t="shared" si="62"/>
        <v>2774150</v>
      </c>
      <c r="DF16" s="250">
        <v>24</v>
      </c>
      <c r="DG16" s="250">
        <v>17</v>
      </c>
      <c r="DH16" s="237">
        <f t="shared" si="63"/>
        <v>41</v>
      </c>
      <c r="DI16" s="250">
        <v>839400</v>
      </c>
      <c r="DJ16" s="250">
        <v>30</v>
      </c>
      <c r="DK16" s="250">
        <v>0</v>
      </c>
      <c r="DL16" s="237">
        <f t="shared" si="64"/>
        <v>30</v>
      </c>
      <c r="DM16" s="250">
        <f>1619110+43200</f>
        <v>1662310</v>
      </c>
      <c r="DN16" s="250">
        <f t="shared" si="65"/>
        <v>54</v>
      </c>
      <c r="DO16" s="250">
        <f t="shared" si="66"/>
        <v>17</v>
      </c>
      <c r="DP16" s="237">
        <f t="shared" si="67"/>
        <v>71</v>
      </c>
      <c r="DQ16" s="237">
        <f t="shared" si="68"/>
        <v>2501710</v>
      </c>
      <c r="DR16" s="250">
        <v>20</v>
      </c>
      <c r="DS16" s="250">
        <v>13</v>
      </c>
      <c r="DT16" s="237">
        <f t="shared" si="69"/>
        <v>33</v>
      </c>
      <c r="DU16" s="250">
        <v>855000</v>
      </c>
      <c r="DV16" s="250">
        <v>38</v>
      </c>
      <c r="DW16" s="250">
        <v>1</v>
      </c>
      <c r="DX16" s="237">
        <f t="shared" si="70"/>
        <v>39</v>
      </c>
      <c r="DY16" s="250">
        <v>1661628</v>
      </c>
      <c r="DZ16" s="237">
        <f t="shared" si="71"/>
        <v>58</v>
      </c>
      <c r="EA16" s="237">
        <f t="shared" si="72"/>
        <v>14</v>
      </c>
      <c r="EB16" s="237">
        <f t="shared" si="73"/>
        <v>72</v>
      </c>
      <c r="EC16" s="237">
        <f t="shared" si="74"/>
        <v>2516628</v>
      </c>
      <c r="ED16" s="237">
        <v>21</v>
      </c>
      <c r="EE16" s="237">
        <v>21</v>
      </c>
      <c r="EF16" s="237">
        <f t="shared" si="75"/>
        <v>42</v>
      </c>
      <c r="EG16" s="237">
        <v>748800</v>
      </c>
      <c r="EH16" s="237">
        <v>29</v>
      </c>
      <c r="EI16" s="237">
        <v>1</v>
      </c>
      <c r="EJ16" s="237">
        <f t="shared" si="76"/>
        <v>30</v>
      </c>
      <c r="EK16" s="237">
        <v>1285600</v>
      </c>
      <c r="EL16" s="237">
        <f t="shared" si="77"/>
        <v>50</v>
      </c>
      <c r="EM16" s="237">
        <f t="shared" si="78"/>
        <v>22</v>
      </c>
      <c r="EN16" s="237">
        <f t="shared" si="79"/>
        <v>72</v>
      </c>
      <c r="EO16" s="237">
        <f t="shared" si="80"/>
        <v>2034400</v>
      </c>
      <c r="EP16" s="271">
        <f t="shared" si="81"/>
        <v>25768188.399999999</v>
      </c>
      <c r="EQ16" s="284">
        <f t="shared" si="82"/>
        <v>496</v>
      </c>
      <c r="ER16" s="271">
        <f t="shared" si="83"/>
        <v>735</v>
      </c>
      <c r="ES16" s="271"/>
      <c r="ET16" s="271"/>
    </row>
    <row r="17" spans="1:150" x14ac:dyDescent="0.3">
      <c r="A17" s="282" t="s">
        <v>12</v>
      </c>
      <c r="B17" s="253">
        <v>10</v>
      </c>
      <c r="C17" s="253">
        <v>10</v>
      </c>
      <c r="D17" s="283">
        <f t="shared" si="9"/>
        <v>20</v>
      </c>
      <c r="E17" s="253">
        <v>805500</v>
      </c>
      <c r="F17" s="253">
        <v>16</v>
      </c>
      <c r="G17" s="253">
        <v>0</v>
      </c>
      <c r="H17" s="283">
        <f t="shared" si="10"/>
        <v>16</v>
      </c>
      <c r="I17" s="253">
        <v>1208560</v>
      </c>
      <c r="J17" s="283">
        <f t="shared" si="11"/>
        <v>26</v>
      </c>
      <c r="K17" s="283">
        <f t="shared" si="12"/>
        <v>10</v>
      </c>
      <c r="L17" s="283">
        <f t="shared" si="13"/>
        <v>36</v>
      </c>
      <c r="M17" s="283">
        <f t="shared" si="14"/>
        <v>2014060</v>
      </c>
      <c r="N17" s="253">
        <v>8</v>
      </c>
      <c r="O17" s="253">
        <v>8</v>
      </c>
      <c r="P17" s="283">
        <f t="shared" si="15"/>
        <v>16</v>
      </c>
      <c r="Q17" s="253">
        <v>706400</v>
      </c>
      <c r="R17" s="253">
        <v>17</v>
      </c>
      <c r="S17" s="253">
        <v>0</v>
      </c>
      <c r="T17" s="283">
        <f t="shared" si="16"/>
        <v>17</v>
      </c>
      <c r="U17" s="253">
        <v>998160</v>
      </c>
      <c r="V17" s="283">
        <f t="shared" si="17"/>
        <v>25</v>
      </c>
      <c r="W17" s="283">
        <f t="shared" si="18"/>
        <v>8</v>
      </c>
      <c r="X17" s="283">
        <f t="shared" si="19"/>
        <v>33</v>
      </c>
      <c r="Y17" s="283">
        <f t="shared" si="20"/>
        <v>1704560</v>
      </c>
      <c r="Z17" s="253">
        <v>13</v>
      </c>
      <c r="AA17" s="250">
        <v>8</v>
      </c>
      <c r="AB17" s="237">
        <f t="shared" si="21"/>
        <v>21</v>
      </c>
      <c r="AC17" s="250">
        <v>878320</v>
      </c>
      <c r="AD17" s="250">
        <v>17</v>
      </c>
      <c r="AE17" s="250">
        <v>0</v>
      </c>
      <c r="AF17" s="237">
        <f t="shared" si="22"/>
        <v>17</v>
      </c>
      <c r="AG17" s="250">
        <v>1230800</v>
      </c>
      <c r="AH17" s="250">
        <f t="shared" si="23"/>
        <v>30</v>
      </c>
      <c r="AI17" s="250">
        <f t="shared" si="24"/>
        <v>8</v>
      </c>
      <c r="AJ17" s="237">
        <f t="shared" si="25"/>
        <v>38</v>
      </c>
      <c r="AK17" s="237">
        <f t="shared" si="26"/>
        <v>2109120</v>
      </c>
      <c r="AL17" s="253">
        <v>11</v>
      </c>
      <c r="AM17" s="250">
        <v>8</v>
      </c>
      <c r="AN17" s="237">
        <f t="shared" si="27"/>
        <v>19</v>
      </c>
      <c r="AO17" s="250">
        <v>437500</v>
      </c>
      <c r="AP17" s="250">
        <v>20</v>
      </c>
      <c r="AQ17" s="250">
        <v>1</v>
      </c>
      <c r="AR17" s="237">
        <f t="shared" si="28"/>
        <v>21</v>
      </c>
      <c r="AS17" s="250">
        <v>1516660</v>
      </c>
      <c r="AT17" s="250">
        <f t="shared" si="29"/>
        <v>31</v>
      </c>
      <c r="AU17" s="250">
        <f t="shared" si="30"/>
        <v>9</v>
      </c>
      <c r="AV17" s="237">
        <f t="shared" si="31"/>
        <v>40</v>
      </c>
      <c r="AW17" s="237">
        <f t="shared" si="32"/>
        <v>1954160</v>
      </c>
      <c r="AX17" s="253">
        <v>9</v>
      </c>
      <c r="AY17" s="250">
        <v>9</v>
      </c>
      <c r="AZ17" s="237">
        <f t="shared" si="33"/>
        <v>18</v>
      </c>
      <c r="BA17" s="250">
        <v>485860</v>
      </c>
      <c r="BB17" s="250">
        <v>20</v>
      </c>
      <c r="BC17" s="250">
        <v>0</v>
      </c>
      <c r="BD17" s="237">
        <f t="shared" si="34"/>
        <v>20</v>
      </c>
      <c r="BE17" s="250">
        <v>1168180</v>
      </c>
      <c r="BF17" s="250">
        <f t="shared" si="35"/>
        <v>29</v>
      </c>
      <c r="BG17" s="250">
        <f t="shared" si="36"/>
        <v>9</v>
      </c>
      <c r="BH17" s="237">
        <f t="shared" si="37"/>
        <v>38</v>
      </c>
      <c r="BI17" s="237">
        <f t="shared" si="38"/>
        <v>1654040</v>
      </c>
      <c r="BJ17" s="253">
        <v>13</v>
      </c>
      <c r="BK17" s="250">
        <v>14</v>
      </c>
      <c r="BL17" s="237">
        <f t="shared" si="39"/>
        <v>27</v>
      </c>
      <c r="BM17" s="250">
        <v>635160</v>
      </c>
      <c r="BN17" s="250">
        <v>20</v>
      </c>
      <c r="BO17" s="250">
        <v>1</v>
      </c>
      <c r="BP17" s="237">
        <f t="shared" si="40"/>
        <v>21</v>
      </c>
      <c r="BQ17" s="250">
        <v>1164960</v>
      </c>
      <c r="BR17" s="250">
        <f t="shared" si="41"/>
        <v>33</v>
      </c>
      <c r="BS17" s="250">
        <f t="shared" si="42"/>
        <v>15</v>
      </c>
      <c r="BT17" s="237">
        <f t="shared" si="43"/>
        <v>48</v>
      </c>
      <c r="BU17" s="237">
        <f t="shared" si="44"/>
        <v>1800120</v>
      </c>
      <c r="BV17" s="253">
        <v>8</v>
      </c>
      <c r="BW17" s="250">
        <v>7</v>
      </c>
      <c r="BX17" s="237">
        <f t="shared" si="45"/>
        <v>15</v>
      </c>
      <c r="BY17" s="250">
        <v>391900</v>
      </c>
      <c r="BZ17" s="250">
        <v>19</v>
      </c>
      <c r="CA17" s="250">
        <v>3</v>
      </c>
      <c r="CB17" s="237">
        <f t="shared" si="46"/>
        <v>22</v>
      </c>
      <c r="CC17" s="250">
        <v>1126420</v>
      </c>
      <c r="CD17" s="250">
        <f t="shared" si="47"/>
        <v>27</v>
      </c>
      <c r="CE17" s="250">
        <f t="shared" si="48"/>
        <v>10</v>
      </c>
      <c r="CF17" s="237">
        <f t="shared" si="49"/>
        <v>37</v>
      </c>
      <c r="CG17" s="237">
        <f t="shared" si="50"/>
        <v>1518320</v>
      </c>
      <c r="CH17" s="253">
        <v>14</v>
      </c>
      <c r="CI17" s="250">
        <v>9</v>
      </c>
      <c r="CJ17" s="237">
        <f t="shared" si="51"/>
        <v>23</v>
      </c>
      <c r="CK17" s="250">
        <v>513900</v>
      </c>
      <c r="CL17" s="250">
        <v>18</v>
      </c>
      <c r="CM17" s="250">
        <v>1</v>
      </c>
      <c r="CN17" s="237">
        <f t="shared" si="52"/>
        <v>19</v>
      </c>
      <c r="CO17" s="250">
        <v>1004670</v>
      </c>
      <c r="CP17" s="250">
        <f t="shared" si="53"/>
        <v>32</v>
      </c>
      <c r="CQ17" s="250">
        <f t="shared" si="54"/>
        <v>10</v>
      </c>
      <c r="CR17" s="237">
        <f t="shared" si="55"/>
        <v>42</v>
      </c>
      <c r="CS17" s="237">
        <f t="shared" si="56"/>
        <v>1518570</v>
      </c>
      <c r="CT17" s="253">
        <v>9</v>
      </c>
      <c r="CU17" s="250">
        <v>6</v>
      </c>
      <c r="CV17" s="237">
        <f t="shared" si="57"/>
        <v>15</v>
      </c>
      <c r="CW17" s="250">
        <v>278300</v>
      </c>
      <c r="CX17" s="250">
        <v>18</v>
      </c>
      <c r="CY17" s="250">
        <v>0</v>
      </c>
      <c r="CZ17" s="237">
        <f t="shared" si="58"/>
        <v>18</v>
      </c>
      <c r="DA17" s="250">
        <v>991660</v>
      </c>
      <c r="DB17" s="250">
        <f t="shared" si="59"/>
        <v>27</v>
      </c>
      <c r="DC17" s="250">
        <f t="shared" si="60"/>
        <v>6</v>
      </c>
      <c r="DD17" s="237">
        <f t="shared" si="61"/>
        <v>33</v>
      </c>
      <c r="DE17" s="237">
        <f t="shared" si="62"/>
        <v>1269960</v>
      </c>
      <c r="DF17" s="250">
        <v>8</v>
      </c>
      <c r="DG17" s="250">
        <v>5</v>
      </c>
      <c r="DH17" s="237">
        <f t="shared" si="63"/>
        <v>13</v>
      </c>
      <c r="DI17" s="250">
        <v>534400</v>
      </c>
      <c r="DJ17" s="250">
        <v>17</v>
      </c>
      <c r="DK17" s="250">
        <v>0</v>
      </c>
      <c r="DL17" s="237">
        <f t="shared" si="64"/>
        <v>17</v>
      </c>
      <c r="DM17" s="250">
        <v>870860</v>
      </c>
      <c r="DN17" s="250">
        <f t="shared" si="65"/>
        <v>25</v>
      </c>
      <c r="DO17" s="250">
        <f t="shared" si="66"/>
        <v>5</v>
      </c>
      <c r="DP17" s="237">
        <f t="shared" si="67"/>
        <v>30</v>
      </c>
      <c r="DQ17" s="237">
        <f t="shared" si="68"/>
        <v>1405260</v>
      </c>
      <c r="DR17" s="250">
        <v>13</v>
      </c>
      <c r="DS17" s="250">
        <v>10</v>
      </c>
      <c r="DT17" s="237">
        <f t="shared" si="69"/>
        <v>23</v>
      </c>
      <c r="DU17" s="250">
        <v>577500</v>
      </c>
      <c r="DV17" s="250">
        <v>14</v>
      </c>
      <c r="DW17" s="250">
        <v>1</v>
      </c>
      <c r="DX17" s="237">
        <f t="shared" si="70"/>
        <v>15</v>
      </c>
      <c r="DY17" s="250">
        <v>611710</v>
      </c>
      <c r="DZ17" s="237">
        <f t="shared" si="71"/>
        <v>27</v>
      </c>
      <c r="EA17" s="237">
        <f t="shared" si="72"/>
        <v>11</v>
      </c>
      <c r="EB17" s="237">
        <f t="shared" si="73"/>
        <v>38</v>
      </c>
      <c r="EC17" s="237">
        <f t="shared" si="74"/>
        <v>1189210</v>
      </c>
      <c r="ED17" s="237">
        <v>17</v>
      </c>
      <c r="EE17" s="237">
        <v>12</v>
      </c>
      <c r="EF17" s="237">
        <f t="shared" si="75"/>
        <v>29</v>
      </c>
      <c r="EG17" s="237">
        <v>738260</v>
      </c>
      <c r="EH17" s="237">
        <v>13</v>
      </c>
      <c r="EI17" s="237">
        <v>2</v>
      </c>
      <c r="EJ17" s="237">
        <f t="shared" si="76"/>
        <v>15</v>
      </c>
      <c r="EK17" s="237">
        <v>610060</v>
      </c>
      <c r="EL17" s="237">
        <f t="shared" si="77"/>
        <v>30</v>
      </c>
      <c r="EM17" s="237">
        <f t="shared" si="78"/>
        <v>14</v>
      </c>
      <c r="EN17" s="237">
        <f t="shared" si="79"/>
        <v>44</v>
      </c>
      <c r="EO17" s="237">
        <f t="shared" si="80"/>
        <v>1348320</v>
      </c>
      <c r="EP17" s="271">
        <f t="shared" si="81"/>
        <v>19485700</v>
      </c>
      <c r="EQ17" s="284">
        <f t="shared" si="82"/>
        <v>325</v>
      </c>
      <c r="ER17" s="271">
        <f t="shared" si="83"/>
        <v>457</v>
      </c>
      <c r="ES17" s="271"/>
      <c r="ET17" s="271"/>
    </row>
    <row r="18" spans="1:150" x14ac:dyDescent="0.3">
      <c r="A18" s="282" t="s">
        <v>103</v>
      </c>
      <c r="B18" s="253">
        <v>10</v>
      </c>
      <c r="C18" s="253">
        <v>37</v>
      </c>
      <c r="D18" s="283">
        <f t="shared" si="9"/>
        <v>47</v>
      </c>
      <c r="E18" s="253">
        <v>384000</v>
      </c>
      <c r="F18" s="253">
        <v>9</v>
      </c>
      <c r="G18" s="253">
        <v>1</v>
      </c>
      <c r="H18" s="283">
        <f t="shared" si="10"/>
        <v>10</v>
      </c>
      <c r="I18" s="253">
        <v>1320520</v>
      </c>
      <c r="J18" s="283">
        <f t="shared" si="11"/>
        <v>19</v>
      </c>
      <c r="K18" s="283">
        <f t="shared" si="12"/>
        <v>38</v>
      </c>
      <c r="L18" s="283">
        <f t="shared" si="13"/>
        <v>57</v>
      </c>
      <c r="M18" s="283">
        <f t="shared" si="14"/>
        <v>1704520</v>
      </c>
      <c r="N18" s="253">
        <v>10</v>
      </c>
      <c r="O18" s="253">
        <v>39</v>
      </c>
      <c r="P18" s="283">
        <f t="shared" si="15"/>
        <v>49</v>
      </c>
      <c r="Q18" s="253">
        <v>396400</v>
      </c>
      <c r="R18" s="253">
        <v>8</v>
      </c>
      <c r="S18" s="253">
        <v>1</v>
      </c>
      <c r="T18" s="283">
        <f t="shared" si="16"/>
        <v>9</v>
      </c>
      <c r="U18" s="253">
        <v>991880</v>
      </c>
      <c r="V18" s="283">
        <f t="shared" si="17"/>
        <v>18</v>
      </c>
      <c r="W18" s="283">
        <f t="shared" si="18"/>
        <v>40</v>
      </c>
      <c r="X18" s="283">
        <f t="shared" si="19"/>
        <v>58</v>
      </c>
      <c r="Y18" s="283">
        <f t="shared" si="20"/>
        <v>1388280</v>
      </c>
      <c r="Z18" s="253">
        <v>17</v>
      </c>
      <c r="AA18" s="250">
        <v>49</v>
      </c>
      <c r="AB18" s="237">
        <f t="shared" si="21"/>
        <v>66</v>
      </c>
      <c r="AC18" s="250">
        <v>386300</v>
      </c>
      <c r="AD18" s="250">
        <v>7</v>
      </c>
      <c r="AE18" s="250">
        <v>0</v>
      </c>
      <c r="AF18" s="237">
        <f t="shared" si="22"/>
        <v>7</v>
      </c>
      <c r="AG18" s="250">
        <v>446000</v>
      </c>
      <c r="AH18" s="250">
        <f t="shared" si="23"/>
        <v>24</v>
      </c>
      <c r="AI18" s="250">
        <f t="shared" si="24"/>
        <v>49</v>
      </c>
      <c r="AJ18" s="237">
        <f t="shared" si="25"/>
        <v>73</v>
      </c>
      <c r="AK18" s="237">
        <f t="shared" si="26"/>
        <v>832300</v>
      </c>
      <c r="AL18" s="253">
        <v>14</v>
      </c>
      <c r="AM18" s="250">
        <v>33</v>
      </c>
      <c r="AN18" s="237">
        <f t="shared" si="27"/>
        <v>47</v>
      </c>
      <c r="AO18" s="250">
        <v>175300</v>
      </c>
      <c r="AP18" s="250">
        <v>5</v>
      </c>
      <c r="AQ18" s="250">
        <v>0</v>
      </c>
      <c r="AR18" s="237">
        <f t="shared" si="28"/>
        <v>5</v>
      </c>
      <c r="AS18" s="250">
        <v>272500</v>
      </c>
      <c r="AT18" s="250">
        <f t="shared" si="29"/>
        <v>19</v>
      </c>
      <c r="AU18" s="250">
        <f t="shared" si="30"/>
        <v>33</v>
      </c>
      <c r="AV18" s="237">
        <f t="shared" si="31"/>
        <v>52</v>
      </c>
      <c r="AW18" s="237">
        <f t="shared" si="32"/>
        <v>447800</v>
      </c>
      <c r="AX18" s="253">
        <v>30</v>
      </c>
      <c r="AY18" s="250">
        <v>80</v>
      </c>
      <c r="AZ18" s="237">
        <f t="shared" si="33"/>
        <v>110</v>
      </c>
      <c r="BA18" s="250">
        <v>324300</v>
      </c>
      <c r="BB18" s="250">
        <v>3</v>
      </c>
      <c r="BC18" s="250">
        <v>0</v>
      </c>
      <c r="BD18" s="237">
        <f t="shared" si="34"/>
        <v>3</v>
      </c>
      <c r="BE18" s="250">
        <v>190200</v>
      </c>
      <c r="BF18" s="250">
        <f t="shared" si="35"/>
        <v>33</v>
      </c>
      <c r="BG18" s="250">
        <f t="shared" si="36"/>
        <v>80</v>
      </c>
      <c r="BH18" s="237">
        <f t="shared" si="37"/>
        <v>113</v>
      </c>
      <c r="BI18" s="237">
        <f t="shared" si="38"/>
        <v>514500</v>
      </c>
      <c r="BJ18" s="253">
        <v>22</v>
      </c>
      <c r="BK18" s="250">
        <v>51</v>
      </c>
      <c r="BL18" s="237">
        <f t="shared" si="39"/>
        <v>73</v>
      </c>
      <c r="BM18" s="250">
        <v>158000</v>
      </c>
      <c r="BN18" s="250">
        <v>4</v>
      </c>
      <c r="BO18" s="250">
        <v>1</v>
      </c>
      <c r="BP18" s="237">
        <f t="shared" si="40"/>
        <v>5</v>
      </c>
      <c r="BQ18" s="250">
        <v>313700</v>
      </c>
      <c r="BR18" s="250">
        <f t="shared" si="41"/>
        <v>26</v>
      </c>
      <c r="BS18" s="250">
        <f t="shared" si="42"/>
        <v>52</v>
      </c>
      <c r="BT18" s="237">
        <f t="shared" si="43"/>
        <v>78</v>
      </c>
      <c r="BU18" s="237">
        <f t="shared" si="44"/>
        <v>471700</v>
      </c>
      <c r="BV18" s="253">
        <v>23</v>
      </c>
      <c r="BW18" s="250">
        <v>49</v>
      </c>
      <c r="BX18" s="237">
        <f t="shared" si="45"/>
        <v>72</v>
      </c>
      <c r="BY18" s="250">
        <v>152000</v>
      </c>
      <c r="BZ18" s="250">
        <v>1</v>
      </c>
      <c r="CA18" s="250">
        <v>2</v>
      </c>
      <c r="CB18" s="237">
        <f t="shared" si="46"/>
        <v>3</v>
      </c>
      <c r="CC18" s="250">
        <v>47800</v>
      </c>
      <c r="CD18" s="250">
        <f t="shared" si="47"/>
        <v>24</v>
      </c>
      <c r="CE18" s="250">
        <f t="shared" si="48"/>
        <v>51</v>
      </c>
      <c r="CF18" s="237">
        <f t="shared" si="49"/>
        <v>75</v>
      </c>
      <c r="CG18" s="237">
        <f t="shared" si="50"/>
        <v>199800</v>
      </c>
      <c r="CH18" s="253">
        <v>22</v>
      </c>
      <c r="CI18" s="250">
        <v>47</v>
      </c>
      <c r="CJ18" s="237">
        <f t="shared" si="51"/>
        <v>69</v>
      </c>
      <c r="CK18" s="250">
        <v>138800</v>
      </c>
      <c r="CL18" s="250">
        <v>9</v>
      </c>
      <c r="CM18" s="250">
        <v>0</v>
      </c>
      <c r="CN18" s="237">
        <f t="shared" si="52"/>
        <v>9</v>
      </c>
      <c r="CO18" s="250">
        <v>396305</v>
      </c>
      <c r="CP18" s="250">
        <f t="shared" si="53"/>
        <v>31</v>
      </c>
      <c r="CQ18" s="250">
        <f t="shared" si="54"/>
        <v>47</v>
      </c>
      <c r="CR18" s="237">
        <f t="shared" si="55"/>
        <v>78</v>
      </c>
      <c r="CS18" s="237">
        <f t="shared" si="56"/>
        <v>535105</v>
      </c>
      <c r="CT18" s="253">
        <v>16</v>
      </c>
      <c r="CU18" s="250">
        <v>46</v>
      </c>
      <c r="CV18" s="237">
        <f t="shared" si="57"/>
        <v>62</v>
      </c>
      <c r="CW18" s="250">
        <v>116500</v>
      </c>
      <c r="CX18" s="250">
        <v>6</v>
      </c>
      <c r="CY18" s="250">
        <v>2</v>
      </c>
      <c r="CZ18" s="237">
        <f t="shared" si="58"/>
        <v>8</v>
      </c>
      <c r="DA18" s="250">
        <v>8400</v>
      </c>
      <c r="DB18" s="250">
        <f t="shared" si="59"/>
        <v>22</v>
      </c>
      <c r="DC18" s="250">
        <f t="shared" si="60"/>
        <v>48</v>
      </c>
      <c r="DD18" s="237">
        <f t="shared" si="61"/>
        <v>70</v>
      </c>
      <c r="DE18" s="237">
        <f t="shared" si="62"/>
        <v>124900</v>
      </c>
      <c r="DF18" s="250">
        <v>12</v>
      </c>
      <c r="DG18" s="250">
        <v>34</v>
      </c>
      <c r="DH18" s="237">
        <f t="shared" si="63"/>
        <v>46</v>
      </c>
      <c r="DI18" s="250">
        <v>100500</v>
      </c>
      <c r="DJ18" s="250">
        <v>2</v>
      </c>
      <c r="DK18" s="250">
        <v>1</v>
      </c>
      <c r="DL18" s="237">
        <f t="shared" si="64"/>
        <v>3</v>
      </c>
      <c r="DM18" s="250">
        <v>5200</v>
      </c>
      <c r="DN18" s="250">
        <f t="shared" si="65"/>
        <v>14</v>
      </c>
      <c r="DO18" s="250">
        <f t="shared" si="66"/>
        <v>35</v>
      </c>
      <c r="DP18" s="237">
        <f t="shared" si="67"/>
        <v>49</v>
      </c>
      <c r="DQ18" s="237">
        <f t="shared" si="68"/>
        <v>105700</v>
      </c>
      <c r="DR18" s="250">
        <v>19</v>
      </c>
      <c r="DS18" s="250">
        <v>43</v>
      </c>
      <c r="DT18" s="237">
        <f t="shared" si="69"/>
        <v>62</v>
      </c>
      <c r="DU18" s="250">
        <v>105700</v>
      </c>
      <c r="DV18" s="250">
        <v>2</v>
      </c>
      <c r="DW18" s="250">
        <v>0</v>
      </c>
      <c r="DX18" s="237">
        <f t="shared" si="70"/>
        <v>2</v>
      </c>
      <c r="DY18" s="250">
        <v>3400</v>
      </c>
      <c r="DZ18" s="237">
        <f t="shared" si="71"/>
        <v>21</v>
      </c>
      <c r="EA18" s="237">
        <f t="shared" si="72"/>
        <v>43</v>
      </c>
      <c r="EB18" s="237">
        <f t="shared" si="73"/>
        <v>64</v>
      </c>
      <c r="EC18" s="237">
        <f t="shared" si="74"/>
        <v>109100</v>
      </c>
      <c r="ED18" s="237">
        <v>18</v>
      </c>
      <c r="EE18" s="237">
        <v>44</v>
      </c>
      <c r="EF18" s="237">
        <f t="shared" si="75"/>
        <v>62</v>
      </c>
      <c r="EG18" s="237">
        <v>120500</v>
      </c>
      <c r="EH18" s="237">
        <v>0</v>
      </c>
      <c r="EI18" s="237">
        <v>2</v>
      </c>
      <c r="EJ18" s="237">
        <f t="shared" si="76"/>
        <v>2</v>
      </c>
      <c r="EK18" s="237">
        <v>5200</v>
      </c>
      <c r="EL18" s="237">
        <f t="shared" si="77"/>
        <v>18</v>
      </c>
      <c r="EM18" s="237">
        <f t="shared" si="78"/>
        <v>46</v>
      </c>
      <c r="EN18" s="237">
        <f t="shared" si="79"/>
        <v>64</v>
      </c>
      <c r="EO18" s="237">
        <f t="shared" si="80"/>
        <v>125700</v>
      </c>
      <c r="EP18" s="271">
        <f t="shared" si="81"/>
        <v>6559405</v>
      </c>
      <c r="EQ18" s="284">
        <f t="shared" si="82"/>
        <v>251</v>
      </c>
      <c r="ER18" s="271">
        <f t="shared" si="83"/>
        <v>831</v>
      </c>
      <c r="ES18" s="271"/>
      <c r="ET18" s="271"/>
    </row>
    <row r="19" spans="1:150" x14ac:dyDescent="0.3">
      <c r="A19" s="286" t="s">
        <v>86</v>
      </c>
      <c r="B19" s="253">
        <v>12</v>
      </c>
      <c r="C19" s="253">
        <v>22</v>
      </c>
      <c r="D19" s="283">
        <f t="shared" si="9"/>
        <v>34</v>
      </c>
      <c r="E19" s="253">
        <v>731600</v>
      </c>
      <c r="F19" s="253">
        <v>23</v>
      </c>
      <c r="G19" s="253">
        <v>0</v>
      </c>
      <c r="H19" s="283">
        <f t="shared" si="10"/>
        <v>23</v>
      </c>
      <c r="I19" s="253">
        <v>1371000</v>
      </c>
      <c r="J19" s="283">
        <f t="shared" si="11"/>
        <v>35</v>
      </c>
      <c r="K19" s="283">
        <f t="shared" si="12"/>
        <v>22</v>
      </c>
      <c r="L19" s="283">
        <f t="shared" si="13"/>
        <v>57</v>
      </c>
      <c r="M19" s="283">
        <f t="shared" si="14"/>
        <v>2102600</v>
      </c>
      <c r="N19" s="253">
        <v>19</v>
      </c>
      <c r="O19" s="253">
        <v>25</v>
      </c>
      <c r="P19" s="283">
        <f t="shared" si="15"/>
        <v>44</v>
      </c>
      <c r="Q19" s="253">
        <v>966700</v>
      </c>
      <c r="R19" s="253">
        <v>20</v>
      </c>
      <c r="S19" s="253">
        <v>0</v>
      </c>
      <c r="T19" s="283">
        <f t="shared" si="16"/>
        <v>20</v>
      </c>
      <c r="U19" s="253">
        <v>1613780</v>
      </c>
      <c r="V19" s="283">
        <f t="shared" si="17"/>
        <v>39</v>
      </c>
      <c r="W19" s="283">
        <f t="shared" si="18"/>
        <v>25</v>
      </c>
      <c r="X19" s="283">
        <f t="shared" si="19"/>
        <v>64</v>
      </c>
      <c r="Y19" s="283">
        <f t="shared" si="20"/>
        <v>2580480</v>
      </c>
      <c r="Z19" s="253">
        <v>24</v>
      </c>
      <c r="AA19" s="250">
        <v>35</v>
      </c>
      <c r="AB19" s="237">
        <f t="shared" si="21"/>
        <v>59</v>
      </c>
      <c r="AC19" s="250">
        <v>865700</v>
      </c>
      <c r="AD19" s="250">
        <v>17</v>
      </c>
      <c r="AE19" s="250">
        <v>1</v>
      </c>
      <c r="AF19" s="237">
        <f t="shared" si="22"/>
        <v>18</v>
      </c>
      <c r="AG19" s="250">
        <v>1370000</v>
      </c>
      <c r="AH19" s="250">
        <f t="shared" si="23"/>
        <v>41</v>
      </c>
      <c r="AI19" s="250">
        <f t="shared" si="24"/>
        <v>36</v>
      </c>
      <c r="AJ19" s="237">
        <f t="shared" si="25"/>
        <v>77</v>
      </c>
      <c r="AK19" s="237">
        <f t="shared" si="26"/>
        <v>2235700</v>
      </c>
      <c r="AL19" s="253">
        <v>25</v>
      </c>
      <c r="AM19" s="250">
        <v>19</v>
      </c>
      <c r="AN19" s="237">
        <f t="shared" si="27"/>
        <v>44</v>
      </c>
      <c r="AO19" s="250">
        <v>1431080</v>
      </c>
      <c r="AP19" s="250">
        <v>24</v>
      </c>
      <c r="AQ19" s="250">
        <v>0</v>
      </c>
      <c r="AR19" s="237">
        <f t="shared" si="28"/>
        <v>24</v>
      </c>
      <c r="AS19" s="250">
        <v>1107400</v>
      </c>
      <c r="AT19" s="250">
        <f t="shared" si="29"/>
        <v>49</v>
      </c>
      <c r="AU19" s="250">
        <f t="shared" si="30"/>
        <v>19</v>
      </c>
      <c r="AV19" s="237">
        <f t="shared" si="31"/>
        <v>68</v>
      </c>
      <c r="AW19" s="237">
        <f t="shared" si="32"/>
        <v>2538480</v>
      </c>
      <c r="AX19" s="253">
        <v>23</v>
      </c>
      <c r="AY19" s="250">
        <v>26</v>
      </c>
      <c r="AZ19" s="237">
        <f t="shared" si="33"/>
        <v>49</v>
      </c>
      <c r="BA19" s="250">
        <v>870900</v>
      </c>
      <c r="BB19" s="250">
        <v>33</v>
      </c>
      <c r="BC19" s="250">
        <v>0</v>
      </c>
      <c r="BD19" s="237">
        <f t="shared" si="34"/>
        <v>33</v>
      </c>
      <c r="BE19" s="250">
        <v>2222315</v>
      </c>
      <c r="BF19" s="250">
        <f t="shared" si="35"/>
        <v>56</v>
      </c>
      <c r="BG19" s="250">
        <f t="shared" si="36"/>
        <v>26</v>
      </c>
      <c r="BH19" s="237">
        <f t="shared" si="37"/>
        <v>82</v>
      </c>
      <c r="BI19" s="237">
        <f t="shared" si="38"/>
        <v>3093215</v>
      </c>
      <c r="BJ19" s="253">
        <v>19</v>
      </c>
      <c r="BK19" s="250">
        <v>22</v>
      </c>
      <c r="BL19" s="237">
        <f t="shared" si="39"/>
        <v>41</v>
      </c>
      <c r="BM19" s="250">
        <v>745800</v>
      </c>
      <c r="BN19" s="250">
        <v>31</v>
      </c>
      <c r="BO19" s="250">
        <v>0</v>
      </c>
      <c r="BP19" s="237">
        <f t="shared" si="40"/>
        <v>31</v>
      </c>
      <c r="BQ19" s="250">
        <v>1760660</v>
      </c>
      <c r="BR19" s="250">
        <f t="shared" si="41"/>
        <v>50</v>
      </c>
      <c r="BS19" s="250">
        <f t="shared" si="42"/>
        <v>22</v>
      </c>
      <c r="BT19" s="237">
        <f t="shared" si="43"/>
        <v>72</v>
      </c>
      <c r="BU19" s="237">
        <f t="shared" si="44"/>
        <v>2506460</v>
      </c>
      <c r="BV19" s="253">
        <v>23</v>
      </c>
      <c r="BW19" s="250">
        <v>21</v>
      </c>
      <c r="BX19" s="237">
        <f t="shared" si="45"/>
        <v>44</v>
      </c>
      <c r="BY19" s="250">
        <v>834660</v>
      </c>
      <c r="BZ19" s="250">
        <v>37</v>
      </c>
      <c r="CA19" s="250">
        <v>0</v>
      </c>
      <c r="CB19" s="237">
        <f t="shared" si="46"/>
        <v>37</v>
      </c>
      <c r="CC19" s="250">
        <v>3078150</v>
      </c>
      <c r="CD19" s="250">
        <f t="shared" si="47"/>
        <v>60</v>
      </c>
      <c r="CE19" s="250">
        <f t="shared" si="48"/>
        <v>21</v>
      </c>
      <c r="CF19" s="237">
        <f t="shared" si="49"/>
        <v>81</v>
      </c>
      <c r="CG19" s="237">
        <f t="shared" si="50"/>
        <v>3912810</v>
      </c>
      <c r="CH19" s="253">
        <v>24</v>
      </c>
      <c r="CI19" s="250">
        <v>21</v>
      </c>
      <c r="CJ19" s="237">
        <f t="shared" si="51"/>
        <v>45</v>
      </c>
      <c r="CK19" s="250">
        <v>957400</v>
      </c>
      <c r="CL19" s="250">
        <v>34</v>
      </c>
      <c r="CM19" s="250">
        <v>1</v>
      </c>
      <c r="CN19" s="237">
        <f t="shared" si="52"/>
        <v>35</v>
      </c>
      <c r="CO19" s="250">
        <v>2175740</v>
      </c>
      <c r="CP19" s="250">
        <f t="shared" si="53"/>
        <v>58</v>
      </c>
      <c r="CQ19" s="250">
        <f t="shared" si="54"/>
        <v>22</v>
      </c>
      <c r="CR19" s="237">
        <f t="shared" si="55"/>
        <v>80</v>
      </c>
      <c r="CS19" s="237">
        <f t="shared" si="56"/>
        <v>3133140</v>
      </c>
      <c r="CT19" s="253">
        <v>24</v>
      </c>
      <c r="CU19" s="250">
        <v>16</v>
      </c>
      <c r="CV19" s="237">
        <f t="shared" si="57"/>
        <v>40</v>
      </c>
      <c r="CW19" s="250">
        <v>1206810</v>
      </c>
      <c r="CX19" s="250">
        <v>29</v>
      </c>
      <c r="CY19" s="250">
        <v>0</v>
      </c>
      <c r="CZ19" s="237">
        <f t="shared" si="58"/>
        <v>29</v>
      </c>
      <c r="DA19" s="250">
        <v>1454410</v>
      </c>
      <c r="DB19" s="250">
        <f t="shared" si="59"/>
        <v>53</v>
      </c>
      <c r="DC19" s="250">
        <f t="shared" si="60"/>
        <v>16</v>
      </c>
      <c r="DD19" s="237">
        <f t="shared" si="61"/>
        <v>69</v>
      </c>
      <c r="DE19" s="237">
        <f t="shared" si="62"/>
        <v>2661220</v>
      </c>
      <c r="DF19" s="250">
        <v>23</v>
      </c>
      <c r="DG19" s="250">
        <v>28</v>
      </c>
      <c r="DH19" s="237">
        <f t="shared" si="63"/>
        <v>51</v>
      </c>
      <c r="DI19" s="250">
        <v>1012100</v>
      </c>
      <c r="DJ19" s="250">
        <v>37</v>
      </c>
      <c r="DK19" s="250">
        <v>0</v>
      </c>
      <c r="DL19" s="237">
        <f t="shared" si="64"/>
        <v>37</v>
      </c>
      <c r="DM19" s="250">
        <v>2074880</v>
      </c>
      <c r="DN19" s="250">
        <f t="shared" si="65"/>
        <v>60</v>
      </c>
      <c r="DO19" s="250">
        <f t="shared" si="66"/>
        <v>28</v>
      </c>
      <c r="DP19" s="237">
        <f t="shared" si="67"/>
        <v>88</v>
      </c>
      <c r="DQ19" s="237">
        <f t="shared" si="68"/>
        <v>3086980</v>
      </c>
      <c r="DR19" s="250">
        <v>26</v>
      </c>
      <c r="DS19" s="250">
        <v>19</v>
      </c>
      <c r="DT19" s="237">
        <f t="shared" si="69"/>
        <v>45</v>
      </c>
      <c r="DU19" s="250">
        <v>1002100</v>
      </c>
      <c r="DV19" s="250">
        <v>36</v>
      </c>
      <c r="DW19" s="250">
        <v>0</v>
      </c>
      <c r="DX19" s="237">
        <f t="shared" si="70"/>
        <v>36</v>
      </c>
      <c r="DY19" s="250">
        <v>2275680</v>
      </c>
      <c r="DZ19" s="237">
        <f t="shared" si="71"/>
        <v>62</v>
      </c>
      <c r="EA19" s="237">
        <f t="shared" si="72"/>
        <v>19</v>
      </c>
      <c r="EB19" s="237">
        <f t="shared" si="73"/>
        <v>81</v>
      </c>
      <c r="EC19" s="237">
        <f t="shared" si="74"/>
        <v>3277780</v>
      </c>
      <c r="ED19" s="237">
        <v>25</v>
      </c>
      <c r="EE19" s="237">
        <v>30</v>
      </c>
      <c r="EF19" s="237">
        <f t="shared" si="75"/>
        <v>55</v>
      </c>
      <c r="EG19" s="237">
        <v>1180000</v>
      </c>
      <c r="EH19" s="237">
        <v>41</v>
      </c>
      <c r="EI19" s="237">
        <v>1</v>
      </c>
      <c r="EJ19" s="237">
        <f t="shared" si="76"/>
        <v>42</v>
      </c>
      <c r="EK19" s="237">
        <v>2075255</v>
      </c>
      <c r="EL19" s="237">
        <f t="shared" si="77"/>
        <v>66</v>
      </c>
      <c r="EM19" s="237">
        <f t="shared" si="78"/>
        <v>31</v>
      </c>
      <c r="EN19" s="237">
        <f t="shared" si="79"/>
        <v>97</v>
      </c>
      <c r="EO19" s="237">
        <f t="shared" si="80"/>
        <v>3255255</v>
      </c>
      <c r="EP19" s="271">
        <f t="shared" si="81"/>
        <v>34384120</v>
      </c>
      <c r="EQ19" s="284">
        <f t="shared" si="82"/>
        <v>604</v>
      </c>
      <c r="ER19" s="271">
        <f t="shared" si="83"/>
        <v>916</v>
      </c>
      <c r="ES19" s="271"/>
      <c r="ET19" s="271"/>
    </row>
    <row r="20" spans="1:150" x14ac:dyDescent="0.3">
      <c r="A20" s="286" t="s">
        <v>130</v>
      </c>
      <c r="B20" s="253">
        <v>34</v>
      </c>
      <c r="C20" s="253">
        <v>28</v>
      </c>
      <c r="D20" s="283">
        <f t="shared" si="9"/>
        <v>62</v>
      </c>
      <c r="E20" s="253">
        <v>2050130</v>
      </c>
      <c r="F20" s="253">
        <v>24</v>
      </c>
      <c r="G20" s="253">
        <v>1</v>
      </c>
      <c r="H20" s="283">
        <f t="shared" si="10"/>
        <v>25</v>
      </c>
      <c r="I20" s="253">
        <v>1584740</v>
      </c>
      <c r="J20" s="283">
        <f t="shared" si="11"/>
        <v>58</v>
      </c>
      <c r="K20" s="283">
        <f t="shared" si="12"/>
        <v>29</v>
      </c>
      <c r="L20" s="283">
        <f t="shared" si="13"/>
        <v>87</v>
      </c>
      <c r="M20" s="283">
        <f t="shared" si="14"/>
        <v>3634870</v>
      </c>
      <c r="N20" s="253">
        <v>38</v>
      </c>
      <c r="O20" s="253">
        <v>26</v>
      </c>
      <c r="P20" s="283">
        <f t="shared" si="15"/>
        <v>64</v>
      </c>
      <c r="Q20" s="253">
        <v>3319471</v>
      </c>
      <c r="R20" s="253">
        <v>32</v>
      </c>
      <c r="S20" s="253">
        <v>3</v>
      </c>
      <c r="T20" s="283">
        <f t="shared" si="16"/>
        <v>35</v>
      </c>
      <c r="U20" s="253">
        <v>1814261</v>
      </c>
      <c r="V20" s="283">
        <f t="shared" si="17"/>
        <v>70</v>
      </c>
      <c r="W20" s="283">
        <f t="shared" si="18"/>
        <v>29</v>
      </c>
      <c r="X20" s="283">
        <f t="shared" si="19"/>
        <v>99</v>
      </c>
      <c r="Y20" s="283">
        <f t="shared" si="20"/>
        <v>5133732</v>
      </c>
      <c r="Z20" s="253">
        <v>33</v>
      </c>
      <c r="AA20" s="250">
        <v>27</v>
      </c>
      <c r="AB20" s="237">
        <f t="shared" si="21"/>
        <v>60</v>
      </c>
      <c r="AC20" s="250">
        <v>2215820</v>
      </c>
      <c r="AD20" s="250">
        <v>44</v>
      </c>
      <c r="AE20" s="250">
        <v>1</v>
      </c>
      <c r="AF20" s="237">
        <f t="shared" si="22"/>
        <v>45</v>
      </c>
      <c r="AG20" s="250">
        <v>3493901</v>
      </c>
      <c r="AH20" s="250">
        <f t="shared" si="23"/>
        <v>77</v>
      </c>
      <c r="AI20" s="250">
        <f t="shared" si="24"/>
        <v>28</v>
      </c>
      <c r="AJ20" s="237">
        <f t="shared" si="25"/>
        <v>105</v>
      </c>
      <c r="AK20" s="237">
        <f t="shared" si="26"/>
        <v>5709721</v>
      </c>
      <c r="AL20" s="253">
        <v>41</v>
      </c>
      <c r="AM20" s="250">
        <v>37</v>
      </c>
      <c r="AN20" s="237">
        <f t="shared" si="27"/>
        <v>78</v>
      </c>
      <c r="AO20" s="250">
        <v>2232160.6800000002</v>
      </c>
      <c r="AP20" s="250">
        <v>57</v>
      </c>
      <c r="AQ20" s="250">
        <v>1</v>
      </c>
      <c r="AR20" s="237">
        <f t="shared" si="28"/>
        <v>58</v>
      </c>
      <c r="AS20" s="250">
        <v>4318460.8600000003</v>
      </c>
      <c r="AT20" s="250">
        <f t="shared" si="29"/>
        <v>98</v>
      </c>
      <c r="AU20" s="250">
        <f t="shared" si="30"/>
        <v>38</v>
      </c>
      <c r="AV20" s="237">
        <f t="shared" si="31"/>
        <v>136</v>
      </c>
      <c r="AW20" s="237">
        <f t="shared" si="32"/>
        <v>6550621.540000001</v>
      </c>
      <c r="AX20" s="253">
        <v>24</v>
      </c>
      <c r="AY20" s="250">
        <v>25</v>
      </c>
      <c r="AZ20" s="237">
        <f t="shared" si="33"/>
        <v>49</v>
      </c>
      <c r="BA20" s="250">
        <v>985160</v>
      </c>
      <c r="BB20" s="250">
        <v>59</v>
      </c>
      <c r="BC20" s="250">
        <v>0</v>
      </c>
      <c r="BD20" s="237">
        <f t="shared" si="34"/>
        <v>59</v>
      </c>
      <c r="BE20" s="250">
        <v>4704741</v>
      </c>
      <c r="BF20" s="250">
        <f t="shared" si="35"/>
        <v>83</v>
      </c>
      <c r="BG20" s="250">
        <f t="shared" si="36"/>
        <v>25</v>
      </c>
      <c r="BH20" s="237">
        <f t="shared" si="37"/>
        <v>108</v>
      </c>
      <c r="BI20" s="237">
        <f t="shared" si="38"/>
        <v>5689901</v>
      </c>
      <c r="BJ20" s="253">
        <v>39</v>
      </c>
      <c r="BK20" s="250">
        <v>25</v>
      </c>
      <c r="BL20" s="237">
        <f t="shared" si="39"/>
        <v>64</v>
      </c>
      <c r="BM20" s="250">
        <v>2242320</v>
      </c>
      <c r="BN20" s="250">
        <v>50</v>
      </c>
      <c r="BO20" s="250">
        <v>2</v>
      </c>
      <c r="BP20" s="237">
        <f t="shared" si="40"/>
        <v>52</v>
      </c>
      <c r="BQ20" s="250">
        <v>3563191</v>
      </c>
      <c r="BR20" s="250">
        <f t="shared" si="41"/>
        <v>89</v>
      </c>
      <c r="BS20" s="250">
        <f t="shared" si="42"/>
        <v>27</v>
      </c>
      <c r="BT20" s="237">
        <f t="shared" si="43"/>
        <v>116</v>
      </c>
      <c r="BU20" s="237">
        <f t="shared" si="44"/>
        <v>5805511</v>
      </c>
      <c r="BV20" s="253">
        <v>26</v>
      </c>
      <c r="BW20" s="250">
        <v>30</v>
      </c>
      <c r="BX20" s="237">
        <f t="shared" si="45"/>
        <v>56</v>
      </c>
      <c r="BY20" s="250">
        <v>1472900</v>
      </c>
      <c r="BZ20" s="250">
        <v>55</v>
      </c>
      <c r="CA20" s="250">
        <v>0</v>
      </c>
      <c r="CB20" s="237">
        <f t="shared" si="46"/>
        <v>55</v>
      </c>
      <c r="CC20" s="250">
        <v>3995231</v>
      </c>
      <c r="CD20" s="250">
        <f t="shared" si="47"/>
        <v>81</v>
      </c>
      <c r="CE20" s="250">
        <f t="shared" si="48"/>
        <v>30</v>
      </c>
      <c r="CF20" s="237">
        <f t="shared" si="49"/>
        <v>111</v>
      </c>
      <c r="CG20" s="237">
        <f t="shared" si="50"/>
        <v>5468131</v>
      </c>
      <c r="CH20" s="253">
        <v>19</v>
      </c>
      <c r="CI20" s="250">
        <v>21</v>
      </c>
      <c r="CJ20" s="237">
        <f t="shared" si="51"/>
        <v>40</v>
      </c>
      <c r="CK20" s="250">
        <v>1907280</v>
      </c>
      <c r="CL20" s="250">
        <v>54</v>
      </c>
      <c r="CM20" s="250">
        <v>2</v>
      </c>
      <c r="CN20" s="237">
        <f t="shared" si="52"/>
        <v>56</v>
      </c>
      <c r="CO20" s="250">
        <v>3951941</v>
      </c>
      <c r="CP20" s="250">
        <f t="shared" si="53"/>
        <v>73</v>
      </c>
      <c r="CQ20" s="250">
        <f t="shared" si="54"/>
        <v>23</v>
      </c>
      <c r="CR20" s="237">
        <f t="shared" si="55"/>
        <v>96</v>
      </c>
      <c r="CS20" s="237">
        <f t="shared" si="56"/>
        <v>5859221</v>
      </c>
      <c r="CT20" s="253">
        <v>18</v>
      </c>
      <c r="CU20" s="250">
        <v>19</v>
      </c>
      <c r="CV20" s="237">
        <f t="shared" si="57"/>
        <v>37</v>
      </c>
      <c r="CW20" s="250">
        <v>1002720</v>
      </c>
      <c r="CX20" s="250">
        <v>51</v>
      </c>
      <c r="CY20" s="250">
        <v>0</v>
      </c>
      <c r="CZ20" s="237">
        <f t="shared" si="58"/>
        <v>51</v>
      </c>
      <c r="DA20" s="250">
        <v>4725816</v>
      </c>
      <c r="DB20" s="250">
        <f t="shared" si="59"/>
        <v>69</v>
      </c>
      <c r="DC20" s="250">
        <f t="shared" si="60"/>
        <v>19</v>
      </c>
      <c r="DD20" s="237">
        <f t="shared" si="61"/>
        <v>88</v>
      </c>
      <c r="DE20" s="237">
        <f t="shared" si="62"/>
        <v>5728536</v>
      </c>
      <c r="DF20" s="250">
        <v>28</v>
      </c>
      <c r="DG20" s="250">
        <v>26</v>
      </c>
      <c r="DH20" s="237">
        <f t="shared" si="63"/>
        <v>54</v>
      </c>
      <c r="DI20" s="250">
        <v>2439380</v>
      </c>
      <c r="DJ20" s="250">
        <v>41</v>
      </c>
      <c r="DK20" s="250">
        <v>4</v>
      </c>
      <c r="DL20" s="237">
        <f t="shared" si="64"/>
        <v>45</v>
      </c>
      <c r="DM20" s="250">
        <v>4859731</v>
      </c>
      <c r="DN20" s="250">
        <f t="shared" si="65"/>
        <v>69</v>
      </c>
      <c r="DO20" s="250">
        <f t="shared" si="66"/>
        <v>30</v>
      </c>
      <c r="DP20" s="237">
        <f t="shared" si="67"/>
        <v>99</v>
      </c>
      <c r="DQ20" s="237">
        <f t="shared" si="68"/>
        <v>7299111</v>
      </c>
      <c r="DR20" s="250">
        <v>17</v>
      </c>
      <c r="DS20" s="250">
        <v>19</v>
      </c>
      <c r="DT20" s="237">
        <f t="shared" si="69"/>
        <v>36</v>
      </c>
      <c r="DU20" s="250">
        <v>1294380</v>
      </c>
      <c r="DV20" s="250">
        <v>46</v>
      </c>
      <c r="DW20" s="250">
        <v>7</v>
      </c>
      <c r="DX20" s="237">
        <f t="shared" si="70"/>
        <v>53</v>
      </c>
      <c r="DY20" s="250">
        <v>4447661</v>
      </c>
      <c r="DZ20" s="237">
        <f t="shared" si="71"/>
        <v>63</v>
      </c>
      <c r="EA20" s="237">
        <f t="shared" si="72"/>
        <v>26</v>
      </c>
      <c r="EB20" s="237">
        <f t="shared" si="73"/>
        <v>89</v>
      </c>
      <c r="EC20" s="237">
        <f t="shared" si="74"/>
        <v>5742041</v>
      </c>
      <c r="ED20" s="237">
        <v>23</v>
      </c>
      <c r="EE20" s="237">
        <v>27</v>
      </c>
      <c r="EF20" s="237">
        <f t="shared" si="75"/>
        <v>50</v>
      </c>
      <c r="EG20" s="237">
        <v>1872860</v>
      </c>
      <c r="EH20" s="237">
        <v>46</v>
      </c>
      <c r="EI20" s="237">
        <v>8</v>
      </c>
      <c r="EJ20" s="237">
        <f t="shared" si="76"/>
        <v>54</v>
      </c>
      <c r="EK20" s="237">
        <v>4656331</v>
      </c>
      <c r="EL20" s="237">
        <f t="shared" si="77"/>
        <v>69</v>
      </c>
      <c r="EM20" s="237">
        <f t="shared" si="78"/>
        <v>35</v>
      </c>
      <c r="EN20" s="237">
        <f t="shared" si="79"/>
        <v>104</v>
      </c>
      <c r="EO20" s="237">
        <f t="shared" si="80"/>
        <v>6529191</v>
      </c>
      <c r="EP20" s="271">
        <f t="shared" si="81"/>
        <v>69150587.539999992</v>
      </c>
      <c r="EQ20" s="284">
        <f t="shared" si="82"/>
        <v>876</v>
      </c>
      <c r="ER20" s="271">
        <f t="shared" si="83"/>
        <v>1238</v>
      </c>
      <c r="ES20" s="271"/>
      <c r="ET20" s="271"/>
    </row>
    <row r="21" spans="1:150" x14ac:dyDescent="0.3">
      <c r="A21" s="287" t="s">
        <v>87</v>
      </c>
      <c r="B21" s="253">
        <v>9</v>
      </c>
      <c r="C21" s="253">
        <v>10</v>
      </c>
      <c r="D21" s="283">
        <f t="shared" si="9"/>
        <v>19</v>
      </c>
      <c r="E21" s="253">
        <v>671200</v>
      </c>
      <c r="F21" s="253">
        <v>12</v>
      </c>
      <c r="G21" s="253">
        <v>0</v>
      </c>
      <c r="H21" s="283">
        <f t="shared" si="10"/>
        <v>12</v>
      </c>
      <c r="I21" s="253">
        <v>1434380</v>
      </c>
      <c r="J21" s="283">
        <f t="shared" si="11"/>
        <v>21</v>
      </c>
      <c r="K21" s="283">
        <f t="shared" si="12"/>
        <v>10</v>
      </c>
      <c r="L21" s="283">
        <f t="shared" si="13"/>
        <v>31</v>
      </c>
      <c r="M21" s="283">
        <f t="shared" si="14"/>
        <v>2105580</v>
      </c>
      <c r="N21" s="253">
        <v>11</v>
      </c>
      <c r="O21" s="253">
        <v>10</v>
      </c>
      <c r="P21" s="283">
        <f t="shared" si="15"/>
        <v>21</v>
      </c>
      <c r="Q21" s="253">
        <v>1300920</v>
      </c>
      <c r="R21" s="253">
        <v>11</v>
      </c>
      <c r="S21" s="253">
        <v>1</v>
      </c>
      <c r="T21" s="283">
        <f t="shared" si="16"/>
        <v>12</v>
      </c>
      <c r="U21" s="253">
        <v>1237860</v>
      </c>
      <c r="V21" s="283">
        <f t="shared" si="17"/>
        <v>22</v>
      </c>
      <c r="W21" s="283">
        <f t="shared" si="18"/>
        <v>11</v>
      </c>
      <c r="X21" s="283">
        <f t="shared" si="19"/>
        <v>33</v>
      </c>
      <c r="Y21" s="283">
        <f t="shared" si="20"/>
        <v>2538780</v>
      </c>
      <c r="Z21" s="253">
        <v>9</v>
      </c>
      <c r="AA21" s="250">
        <v>10</v>
      </c>
      <c r="AB21" s="237">
        <f t="shared" si="21"/>
        <v>19</v>
      </c>
      <c r="AC21" s="250">
        <v>735800</v>
      </c>
      <c r="AD21" s="250">
        <v>8</v>
      </c>
      <c r="AE21" s="250">
        <v>1</v>
      </c>
      <c r="AF21" s="237">
        <f t="shared" si="22"/>
        <v>9</v>
      </c>
      <c r="AG21" s="250">
        <v>1429640</v>
      </c>
      <c r="AH21" s="250">
        <f t="shared" si="23"/>
        <v>17</v>
      </c>
      <c r="AI21" s="250">
        <f t="shared" si="24"/>
        <v>11</v>
      </c>
      <c r="AJ21" s="237">
        <f t="shared" si="25"/>
        <v>28</v>
      </c>
      <c r="AK21" s="237">
        <f t="shared" si="26"/>
        <v>2165440</v>
      </c>
      <c r="AL21" s="253">
        <v>7</v>
      </c>
      <c r="AM21" s="250">
        <v>6</v>
      </c>
      <c r="AN21" s="237">
        <f t="shared" si="27"/>
        <v>13</v>
      </c>
      <c r="AO21" s="250">
        <v>406900</v>
      </c>
      <c r="AP21" s="250">
        <v>10</v>
      </c>
      <c r="AQ21" s="250">
        <v>0</v>
      </c>
      <c r="AR21" s="237">
        <f t="shared" si="28"/>
        <v>10</v>
      </c>
      <c r="AS21" s="250">
        <v>1326800</v>
      </c>
      <c r="AT21" s="250">
        <f t="shared" si="29"/>
        <v>17</v>
      </c>
      <c r="AU21" s="250">
        <f t="shared" si="30"/>
        <v>6</v>
      </c>
      <c r="AV21" s="237">
        <f t="shared" si="31"/>
        <v>23</v>
      </c>
      <c r="AW21" s="237">
        <f t="shared" si="32"/>
        <v>1733700</v>
      </c>
      <c r="AX21" s="253">
        <v>10</v>
      </c>
      <c r="AY21" s="250">
        <v>12</v>
      </c>
      <c r="AZ21" s="237">
        <f t="shared" si="33"/>
        <v>22</v>
      </c>
      <c r="BA21" s="250">
        <v>648060</v>
      </c>
      <c r="BB21" s="250">
        <v>13</v>
      </c>
      <c r="BC21" s="250">
        <v>1</v>
      </c>
      <c r="BD21" s="237">
        <f t="shared" si="34"/>
        <v>14</v>
      </c>
      <c r="BE21" s="250">
        <v>1752412</v>
      </c>
      <c r="BF21" s="250">
        <f t="shared" si="35"/>
        <v>23</v>
      </c>
      <c r="BG21" s="250">
        <f t="shared" si="36"/>
        <v>13</v>
      </c>
      <c r="BH21" s="237">
        <f t="shared" si="37"/>
        <v>36</v>
      </c>
      <c r="BI21" s="237">
        <f t="shared" si="38"/>
        <v>2400472</v>
      </c>
      <c r="BJ21" s="253">
        <v>16</v>
      </c>
      <c r="BK21" s="250">
        <v>6</v>
      </c>
      <c r="BL21" s="237">
        <f t="shared" si="39"/>
        <v>22</v>
      </c>
      <c r="BM21" s="250">
        <v>1699600</v>
      </c>
      <c r="BN21" s="250">
        <v>8</v>
      </c>
      <c r="BO21" s="250">
        <v>0</v>
      </c>
      <c r="BP21" s="237">
        <f t="shared" si="40"/>
        <v>8</v>
      </c>
      <c r="BQ21" s="250">
        <v>671800</v>
      </c>
      <c r="BR21" s="250">
        <f t="shared" si="41"/>
        <v>24</v>
      </c>
      <c r="BS21" s="250">
        <f t="shared" si="42"/>
        <v>6</v>
      </c>
      <c r="BT21" s="237">
        <f t="shared" si="43"/>
        <v>30</v>
      </c>
      <c r="BU21" s="237">
        <f t="shared" si="44"/>
        <v>2371400</v>
      </c>
      <c r="BV21" s="253">
        <v>6</v>
      </c>
      <c r="BW21" s="250">
        <v>9</v>
      </c>
      <c r="BX21" s="237">
        <f t="shared" si="45"/>
        <v>15</v>
      </c>
      <c r="BY21" s="250">
        <v>506300</v>
      </c>
      <c r="BZ21" s="250">
        <v>19</v>
      </c>
      <c r="CA21" s="250">
        <v>0</v>
      </c>
      <c r="CB21" s="237">
        <f t="shared" si="46"/>
        <v>19</v>
      </c>
      <c r="CC21" s="250">
        <v>2169160</v>
      </c>
      <c r="CD21" s="250">
        <f t="shared" si="47"/>
        <v>25</v>
      </c>
      <c r="CE21" s="250">
        <f t="shared" si="48"/>
        <v>9</v>
      </c>
      <c r="CF21" s="237">
        <f t="shared" si="49"/>
        <v>34</v>
      </c>
      <c r="CG21" s="237">
        <f t="shared" si="50"/>
        <v>2675460</v>
      </c>
      <c r="CH21" s="253">
        <v>13</v>
      </c>
      <c r="CI21" s="250">
        <v>3</v>
      </c>
      <c r="CJ21" s="237">
        <f t="shared" si="51"/>
        <v>16</v>
      </c>
      <c r="CK21" s="250">
        <v>1667570</v>
      </c>
      <c r="CL21" s="250">
        <v>19</v>
      </c>
      <c r="CM21" s="250">
        <v>0</v>
      </c>
      <c r="CN21" s="237">
        <f t="shared" si="52"/>
        <v>19</v>
      </c>
      <c r="CO21" s="250">
        <v>1896410</v>
      </c>
      <c r="CP21" s="250">
        <f t="shared" si="53"/>
        <v>32</v>
      </c>
      <c r="CQ21" s="250">
        <f t="shared" si="54"/>
        <v>3</v>
      </c>
      <c r="CR21" s="237">
        <f t="shared" si="55"/>
        <v>35</v>
      </c>
      <c r="CS21" s="237">
        <f t="shared" si="56"/>
        <v>3563980</v>
      </c>
      <c r="CT21" s="253">
        <v>9</v>
      </c>
      <c r="CU21" s="250">
        <v>10</v>
      </c>
      <c r="CV21" s="237">
        <f t="shared" si="57"/>
        <v>19</v>
      </c>
      <c r="CW21" s="250">
        <v>405700</v>
      </c>
      <c r="CX21" s="250">
        <v>12</v>
      </c>
      <c r="CY21" s="250">
        <v>0</v>
      </c>
      <c r="CZ21" s="237">
        <f t="shared" si="58"/>
        <v>12</v>
      </c>
      <c r="DA21" s="250">
        <v>2300540</v>
      </c>
      <c r="DB21" s="250">
        <f t="shared" si="59"/>
        <v>21</v>
      </c>
      <c r="DC21" s="250">
        <f t="shared" si="60"/>
        <v>10</v>
      </c>
      <c r="DD21" s="237">
        <f t="shared" si="61"/>
        <v>31</v>
      </c>
      <c r="DE21" s="237">
        <f t="shared" si="62"/>
        <v>2706240</v>
      </c>
      <c r="DF21" s="250">
        <v>5</v>
      </c>
      <c r="DG21" s="250">
        <v>3</v>
      </c>
      <c r="DH21" s="237">
        <f t="shared" si="63"/>
        <v>8</v>
      </c>
      <c r="DI21" s="250">
        <v>554700</v>
      </c>
      <c r="DJ21" s="250">
        <v>14</v>
      </c>
      <c r="DK21" s="250">
        <v>0</v>
      </c>
      <c r="DL21" s="237">
        <f t="shared" si="64"/>
        <v>14</v>
      </c>
      <c r="DM21" s="250">
        <v>1285480</v>
      </c>
      <c r="DN21" s="250">
        <f t="shared" si="65"/>
        <v>19</v>
      </c>
      <c r="DO21" s="250">
        <f t="shared" si="66"/>
        <v>3</v>
      </c>
      <c r="DP21" s="237">
        <f t="shared" si="67"/>
        <v>22</v>
      </c>
      <c r="DQ21" s="237">
        <f t="shared" si="68"/>
        <v>1840180</v>
      </c>
      <c r="DR21" s="250">
        <v>12</v>
      </c>
      <c r="DS21" s="250">
        <v>9</v>
      </c>
      <c r="DT21" s="237">
        <f t="shared" si="69"/>
        <v>21</v>
      </c>
      <c r="DU21" s="250">
        <v>1203000</v>
      </c>
      <c r="DV21" s="250">
        <v>13</v>
      </c>
      <c r="DW21" s="250">
        <v>0</v>
      </c>
      <c r="DX21" s="237">
        <f t="shared" si="70"/>
        <v>13</v>
      </c>
      <c r="DY21" s="250">
        <v>1413760</v>
      </c>
      <c r="DZ21" s="237">
        <f t="shared" si="71"/>
        <v>25</v>
      </c>
      <c r="EA21" s="237">
        <f t="shared" si="72"/>
        <v>9</v>
      </c>
      <c r="EB21" s="237">
        <f t="shared" si="73"/>
        <v>34</v>
      </c>
      <c r="EC21" s="237">
        <f t="shared" si="74"/>
        <v>2616760</v>
      </c>
      <c r="ED21" s="237">
        <v>3</v>
      </c>
      <c r="EE21" s="237">
        <v>7</v>
      </c>
      <c r="EF21" s="237">
        <f t="shared" si="75"/>
        <v>10</v>
      </c>
      <c r="EG21" s="237">
        <v>250000</v>
      </c>
      <c r="EH21" s="237">
        <v>12</v>
      </c>
      <c r="EI21" s="237">
        <v>1</v>
      </c>
      <c r="EJ21" s="237">
        <f t="shared" si="76"/>
        <v>13</v>
      </c>
      <c r="EK21" s="237">
        <v>2309410</v>
      </c>
      <c r="EL21" s="237">
        <f t="shared" si="77"/>
        <v>15</v>
      </c>
      <c r="EM21" s="237">
        <f t="shared" si="78"/>
        <v>8</v>
      </c>
      <c r="EN21" s="237">
        <f t="shared" si="79"/>
        <v>23</v>
      </c>
      <c r="EO21" s="237">
        <f t="shared" si="80"/>
        <v>2559410</v>
      </c>
      <c r="EP21" s="271">
        <f t="shared" si="81"/>
        <v>29277402</v>
      </c>
      <c r="EQ21" s="284">
        <f t="shared" si="82"/>
        <v>258</v>
      </c>
      <c r="ER21" s="271">
        <f t="shared" si="83"/>
        <v>360</v>
      </c>
      <c r="ES21" s="271"/>
      <c r="ET21" s="271"/>
    </row>
    <row r="22" spans="1:150" x14ac:dyDescent="0.3">
      <c r="A22" s="287" t="s">
        <v>95</v>
      </c>
      <c r="B22" s="253">
        <v>15</v>
      </c>
      <c r="C22" s="253">
        <v>8</v>
      </c>
      <c r="D22" s="283">
        <f t="shared" si="9"/>
        <v>23</v>
      </c>
      <c r="E22" s="253">
        <v>759600</v>
      </c>
      <c r="F22" s="253">
        <v>15</v>
      </c>
      <c r="G22" s="253">
        <v>2</v>
      </c>
      <c r="H22" s="283">
        <f t="shared" si="10"/>
        <v>17</v>
      </c>
      <c r="I22" s="253">
        <v>1392400</v>
      </c>
      <c r="J22" s="283">
        <f t="shared" si="11"/>
        <v>30</v>
      </c>
      <c r="K22" s="283">
        <f t="shared" si="12"/>
        <v>10</v>
      </c>
      <c r="L22" s="283">
        <f t="shared" si="13"/>
        <v>40</v>
      </c>
      <c r="M22" s="283">
        <f t="shared" si="14"/>
        <v>2152000</v>
      </c>
      <c r="N22" s="253">
        <v>15</v>
      </c>
      <c r="O22" s="253">
        <v>4</v>
      </c>
      <c r="P22" s="283">
        <f t="shared" si="15"/>
        <v>19</v>
      </c>
      <c r="Q22" s="253">
        <v>726400</v>
      </c>
      <c r="R22" s="253">
        <v>21</v>
      </c>
      <c r="S22" s="253">
        <v>0</v>
      </c>
      <c r="T22" s="283">
        <f t="shared" si="16"/>
        <v>21</v>
      </c>
      <c r="U22" s="253">
        <v>2029200</v>
      </c>
      <c r="V22" s="283">
        <f t="shared" si="17"/>
        <v>36</v>
      </c>
      <c r="W22" s="283">
        <f t="shared" si="18"/>
        <v>4</v>
      </c>
      <c r="X22" s="283">
        <f t="shared" si="19"/>
        <v>40</v>
      </c>
      <c r="Y22" s="283">
        <f t="shared" si="20"/>
        <v>2755600</v>
      </c>
      <c r="Z22" s="253">
        <v>13</v>
      </c>
      <c r="AA22" s="250">
        <v>10</v>
      </c>
      <c r="AB22" s="237">
        <f t="shared" si="21"/>
        <v>23</v>
      </c>
      <c r="AC22" s="250">
        <v>790000</v>
      </c>
      <c r="AD22" s="250">
        <v>21</v>
      </c>
      <c r="AE22" s="250">
        <v>0</v>
      </c>
      <c r="AF22" s="237">
        <f t="shared" si="22"/>
        <v>21</v>
      </c>
      <c r="AG22" s="250">
        <v>1697680</v>
      </c>
      <c r="AH22" s="250">
        <f t="shared" si="23"/>
        <v>34</v>
      </c>
      <c r="AI22" s="250">
        <f t="shared" si="24"/>
        <v>10</v>
      </c>
      <c r="AJ22" s="237">
        <f t="shared" si="25"/>
        <v>44</v>
      </c>
      <c r="AK22" s="237">
        <f t="shared" si="26"/>
        <v>2487680</v>
      </c>
      <c r="AL22" s="253">
        <v>17</v>
      </c>
      <c r="AM22" s="250">
        <v>4</v>
      </c>
      <c r="AN22" s="237">
        <f t="shared" si="27"/>
        <v>21</v>
      </c>
      <c r="AO22" s="250">
        <v>960780</v>
      </c>
      <c r="AP22" s="250">
        <v>25</v>
      </c>
      <c r="AQ22" s="250">
        <v>0</v>
      </c>
      <c r="AR22" s="237">
        <f t="shared" si="28"/>
        <v>25</v>
      </c>
      <c r="AS22" s="250">
        <v>1739300</v>
      </c>
      <c r="AT22" s="250">
        <f t="shared" si="29"/>
        <v>42</v>
      </c>
      <c r="AU22" s="250">
        <f t="shared" si="30"/>
        <v>4</v>
      </c>
      <c r="AV22" s="237">
        <f t="shared" si="31"/>
        <v>46</v>
      </c>
      <c r="AW22" s="237">
        <f t="shared" si="32"/>
        <v>2700080</v>
      </c>
      <c r="AX22" s="253">
        <v>11</v>
      </c>
      <c r="AY22" s="250">
        <v>8</v>
      </c>
      <c r="AZ22" s="237">
        <f t="shared" si="33"/>
        <v>19</v>
      </c>
      <c r="BA22" s="250">
        <v>931600</v>
      </c>
      <c r="BB22" s="250">
        <v>28</v>
      </c>
      <c r="BC22" s="250">
        <v>0</v>
      </c>
      <c r="BD22" s="237">
        <f t="shared" si="34"/>
        <v>28</v>
      </c>
      <c r="BE22" s="250">
        <v>2060947</v>
      </c>
      <c r="BF22" s="250">
        <f t="shared" si="35"/>
        <v>39</v>
      </c>
      <c r="BG22" s="250">
        <f t="shared" si="36"/>
        <v>8</v>
      </c>
      <c r="BH22" s="237">
        <f t="shared" si="37"/>
        <v>47</v>
      </c>
      <c r="BI22" s="237">
        <f t="shared" si="38"/>
        <v>2992547</v>
      </c>
      <c r="BJ22" s="253">
        <v>17</v>
      </c>
      <c r="BK22" s="250">
        <v>4</v>
      </c>
      <c r="BL22" s="237">
        <f t="shared" si="39"/>
        <v>21</v>
      </c>
      <c r="BM22" s="250">
        <v>1106600</v>
      </c>
      <c r="BN22" s="250">
        <v>27</v>
      </c>
      <c r="BO22" s="250">
        <v>0</v>
      </c>
      <c r="BP22" s="237">
        <f t="shared" si="40"/>
        <v>27</v>
      </c>
      <c r="BQ22" s="250">
        <v>1620600</v>
      </c>
      <c r="BR22" s="250">
        <f t="shared" si="41"/>
        <v>44</v>
      </c>
      <c r="BS22" s="250">
        <f t="shared" si="42"/>
        <v>4</v>
      </c>
      <c r="BT22" s="237">
        <f t="shared" si="43"/>
        <v>48</v>
      </c>
      <c r="BU22" s="237">
        <f t="shared" si="44"/>
        <v>2727200</v>
      </c>
      <c r="BV22" s="253">
        <v>14</v>
      </c>
      <c r="BW22" s="250">
        <v>8</v>
      </c>
      <c r="BX22" s="237">
        <f t="shared" si="45"/>
        <v>22</v>
      </c>
      <c r="BY22" s="250">
        <v>789500</v>
      </c>
      <c r="BZ22" s="250">
        <v>31</v>
      </c>
      <c r="CA22" s="250">
        <v>0</v>
      </c>
      <c r="CB22" s="237">
        <f t="shared" si="46"/>
        <v>31</v>
      </c>
      <c r="CC22" s="250">
        <v>2077870</v>
      </c>
      <c r="CD22" s="250">
        <f t="shared" si="47"/>
        <v>45</v>
      </c>
      <c r="CE22" s="250">
        <f t="shared" si="48"/>
        <v>8</v>
      </c>
      <c r="CF22" s="237">
        <f t="shared" si="49"/>
        <v>53</v>
      </c>
      <c r="CG22" s="237">
        <f t="shared" si="50"/>
        <v>2867370</v>
      </c>
      <c r="CH22" s="253">
        <v>14</v>
      </c>
      <c r="CI22" s="250">
        <v>4</v>
      </c>
      <c r="CJ22" s="237">
        <f t="shared" si="51"/>
        <v>18</v>
      </c>
      <c r="CK22" s="250">
        <v>843550</v>
      </c>
      <c r="CL22" s="250">
        <v>33</v>
      </c>
      <c r="CM22" s="250">
        <v>0</v>
      </c>
      <c r="CN22" s="237">
        <f t="shared" si="52"/>
        <v>33</v>
      </c>
      <c r="CO22" s="250">
        <v>1984960</v>
      </c>
      <c r="CP22" s="250">
        <f t="shared" si="53"/>
        <v>47</v>
      </c>
      <c r="CQ22" s="250">
        <f t="shared" si="54"/>
        <v>4</v>
      </c>
      <c r="CR22" s="237">
        <f t="shared" si="55"/>
        <v>51</v>
      </c>
      <c r="CS22" s="237">
        <f t="shared" si="56"/>
        <v>2828510</v>
      </c>
      <c r="CT22" s="253">
        <v>13</v>
      </c>
      <c r="CU22" s="250">
        <v>5</v>
      </c>
      <c r="CV22" s="237">
        <f t="shared" si="57"/>
        <v>18</v>
      </c>
      <c r="CW22" s="250">
        <v>591800</v>
      </c>
      <c r="CX22" s="250">
        <v>37</v>
      </c>
      <c r="CY22" s="250">
        <v>0</v>
      </c>
      <c r="CZ22" s="237">
        <f t="shared" si="58"/>
        <v>37</v>
      </c>
      <c r="DA22" s="250">
        <v>2433820</v>
      </c>
      <c r="DB22" s="250">
        <f t="shared" si="59"/>
        <v>50</v>
      </c>
      <c r="DC22" s="250">
        <f t="shared" si="60"/>
        <v>5</v>
      </c>
      <c r="DD22" s="237">
        <f t="shared" si="61"/>
        <v>55</v>
      </c>
      <c r="DE22" s="237">
        <f t="shared" si="62"/>
        <v>3025620</v>
      </c>
      <c r="DF22" s="250">
        <v>18</v>
      </c>
      <c r="DG22" s="250">
        <v>4</v>
      </c>
      <c r="DH22" s="237">
        <f t="shared" si="63"/>
        <v>22</v>
      </c>
      <c r="DI22" s="250">
        <v>1084800</v>
      </c>
      <c r="DJ22" s="250">
        <v>32</v>
      </c>
      <c r="DK22" s="250">
        <v>0</v>
      </c>
      <c r="DL22" s="237">
        <f t="shared" si="64"/>
        <v>32</v>
      </c>
      <c r="DM22" s="250">
        <v>1851820</v>
      </c>
      <c r="DN22" s="250">
        <f t="shared" si="65"/>
        <v>50</v>
      </c>
      <c r="DO22" s="250">
        <f t="shared" si="66"/>
        <v>4</v>
      </c>
      <c r="DP22" s="237">
        <f t="shared" si="67"/>
        <v>54</v>
      </c>
      <c r="DQ22" s="237">
        <f t="shared" si="68"/>
        <v>2936620</v>
      </c>
      <c r="DR22" s="250">
        <v>9</v>
      </c>
      <c r="DS22" s="250">
        <v>8</v>
      </c>
      <c r="DT22" s="237">
        <f t="shared" si="69"/>
        <v>17</v>
      </c>
      <c r="DU22" s="250">
        <v>439800</v>
      </c>
      <c r="DV22" s="250">
        <v>27</v>
      </c>
      <c r="DW22" s="250">
        <v>0</v>
      </c>
      <c r="DX22" s="237">
        <f t="shared" si="70"/>
        <v>27</v>
      </c>
      <c r="DY22" s="250">
        <v>1589120</v>
      </c>
      <c r="DZ22" s="237">
        <f t="shared" si="71"/>
        <v>36</v>
      </c>
      <c r="EA22" s="237">
        <f t="shared" si="72"/>
        <v>8</v>
      </c>
      <c r="EB22" s="237">
        <f t="shared" si="73"/>
        <v>44</v>
      </c>
      <c r="EC22" s="237">
        <f t="shared" si="74"/>
        <v>2028920</v>
      </c>
      <c r="ED22" s="237">
        <v>11</v>
      </c>
      <c r="EE22" s="237">
        <v>9</v>
      </c>
      <c r="EF22" s="237">
        <f t="shared" si="75"/>
        <v>20</v>
      </c>
      <c r="EG22" s="237">
        <v>611200</v>
      </c>
      <c r="EH22" s="237">
        <v>24</v>
      </c>
      <c r="EI22" s="237">
        <v>0</v>
      </c>
      <c r="EJ22" s="237">
        <f t="shared" si="76"/>
        <v>24</v>
      </c>
      <c r="EK22" s="237">
        <v>1369270</v>
      </c>
      <c r="EL22" s="237">
        <f t="shared" si="77"/>
        <v>35</v>
      </c>
      <c r="EM22" s="237">
        <f t="shared" si="78"/>
        <v>9</v>
      </c>
      <c r="EN22" s="237">
        <f t="shared" si="79"/>
        <v>44</v>
      </c>
      <c r="EO22" s="237">
        <f t="shared" si="80"/>
        <v>1980470</v>
      </c>
      <c r="EP22" s="271">
        <f t="shared" si="81"/>
        <v>31482617</v>
      </c>
      <c r="EQ22" s="284">
        <f t="shared" si="82"/>
        <v>477</v>
      </c>
      <c r="ER22" s="271">
        <f t="shared" si="83"/>
        <v>566</v>
      </c>
      <c r="ES22" s="271"/>
      <c r="ET22" s="271"/>
    </row>
    <row r="23" spans="1:150" x14ac:dyDescent="0.3">
      <c r="A23" s="287" t="s">
        <v>132</v>
      </c>
      <c r="B23" s="253">
        <v>0</v>
      </c>
      <c r="C23" s="253">
        <v>0</v>
      </c>
      <c r="D23" s="253">
        <v>0</v>
      </c>
      <c r="E23" s="253">
        <v>0</v>
      </c>
      <c r="F23" s="253">
        <v>0</v>
      </c>
      <c r="G23" s="253">
        <v>0</v>
      </c>
      <c r="H23" s="253">
        <v>0</v>
      </c>
      <c r="I23" s="253">
        <v>0</v>
      </c>
      <c r="J23" s="253">
        <v>0</v>
      </c>
      <c r="K23" s="253">
        <v>0</v>
      </c>
      <c r="L23" s="253">
        <v>0</v>
      </c>
      <c r="M23" s="253">
        <v>0</v>
      </c>
      <c r="N23" s="253">
        <v>17</v>
      </c>
      <c r="O23" s="253">
        <v>0</v>
      </c>
      <c r="P23" s="283">
        <f>N23+O23</f>
        <v>17</v>
      </c>
      <c r="Q23" s="253">
        <v>581800</v>
      </c>
      <c r="R23" s="253">
        <v>0</v>
      </c>
      <c r="S23" s="253">
        <v>0</v>
      </c>
      <c r="T23" s="283">
        <f>R23+S23</f>
        <v>0</v>
      </c>
      <c r="U23" s="253">
        <v>19600</v>
      </c>
      <c r="V23" s="283">
        <f>N23+R23</f>
        <v>17</v>
      </c>
      <c r="W23" s="283">
        <f>O23+S23</f>
        <v>0</v>
      </c>
      <c r="X23" s="283">
        <f>P23+T23</f>
        <v>17</v>
      </c>
      <c r="Y23" s="283">
        <f>Q23+U23</f>
        <v>601400</v>
      </c>
      <c r="Z23" s="253">
        <v>6</v>
      </c>
      <c r="AA23" s="250">
        <v>1</v>
      </c>
      <c r="AB23" s="237">
        <f>Z23+AA23</f>
        <v>7</v>
      </c>
      <c r="AC23" s="250">
        <v>207600</v>
      </c>
      <c r="AD23" s="250">
        <v>4</v>
      </c>
      <c r="AE23" s="250">
        <v>0</v>
      </c>
      <c r="AF23" s="237">
        <f>AD23+AE23</f>
        <v>4</v>
      </c>
      <c r="AG23" s="250">
        <v>195500</v>
      </c>
      <c r="AH23" s="250">
        <f>Z23+AD23</f>
        <v>10</v>
      </c>
      <c r="AI23" s="250">
        <f>AA23+AE23</f>
        <v>1</v>
      </c>
      <c r="AJ23" s="237">
        <f>AB23+AF23</f>
        <v>11</v>
      </c>
      <c r="AK23" s="237">
        <f>AC23+AG23</f>
        <v>403100</v>
      </c>
      <c r="AL23" s="253">
        <v>9</v>
      </c>
      <c r="AM23" s="250">
        <v>6</v>
      </c>
      <c r="AN23" s="237">
        <f t="shared" si="27"/>
        <v>15</v>
      </c>
      <c r="AO23" s="250">
        <v>334800</v>
      </c>
      <c r="AP23" s="250">
        <v>4</v>
      </c>
      <c r="AQ23" s="250">
        <v>0</v>
      </c>
      <c r="AR23" s="237">
        <f t="shared" si="28"/>
        <v>4</v>
      </c>
      <c r="AS23" s="250">
        <v>410600.08</v>
      </c>
      <c r="AT23" s="250">
        <f t="shared" si="29"/>
        <v>13</v>
      </c>
      <c r="AU23" s="250">
        <f t="shared" si="30"/>
        <v>6</v>
      </c>
      <c r="AV23" s="237">
        <f t="shared" si="31"/>
        <v>19</v>
      </c>
      <c r="AW23" s="237">
        <f t="shared" si="32"/>
        <v>745400.08000000007</v>
      </c>
      <c r="AX23" s="253">
        <v>4</v>
      </c>
      <c r="AY23" s="250">
        <v>5</v>
      </c>
      <c r="AZ23" s="237">
        <f t="shared" si="33"/>
        <v>9</v>
      </c>
      <c r="BA23" s="250">
        <v>125000</v>
      </c>
      <c r="BB23" s="250">
        <v>6</v>
      </c>
      <c r="BC23" s="250">
        <v>0</v>
      </c>
      <c r="BD23" s="237">
        <f t="shared" si="34"/>
        <v>6</v>
      </c>
      <c r="BE23" s="250">
        <v>308100</v>
      </c>
      <c r="BF23" s="250">
        <f t="shared" si="35"/>
        <v>10</v>
      </c>
      <c r="BG23" s="250">
        <f t="shared" si="36"/>
        <v>5</v>
      </c>
      <c r="BH23" s="237">
        <f t="shared" si="37"/>
        <v>15</v>
      </c>
      <c r="BI23" s="237">
        <f t="shared" si="38"/>
        <v>433100</v>
      </c>
      <c r="BJ23" s="253">
        <v>2</v>
      </c>
      <c r="BK23" s="250">
        <v>3</v>
      </c>
      <c r="BL23" s="237">
        <f t="shared" si="39"/>
        <v>5</v>
      </c>
      <c r="BM23" s="250">
        <v>56500</v>
      </c>
      <c r="BN23" s="250">
        <v>7</v>
      </c>
      <c r="BO23" s="250">
        <v>0</v>
      </c>
      <c r="BP23" s="237">
        <f t="shared" si="40"/>
        <v>7</v>
      </c>
      <c r="BQ23" s="250">
        <v>309300</v>
      </c>
      <c r="BR23" s="250">
        <f t="shared" si="41"/>
        <v>9</v>
      </c>
      <c r="BS23" s="250">
        <f t="shared" si="42"/>
        <v>3</v>
      </c>
      <c r="BT23" s="237">
        <f t="shared" si="43"/>
        <v>12</v>
      </c>
      <c r="BU23" s="237">
        <f t="shared" si="44"/>
        <v>365800</v>
      </c>
      <c r="BV23" s="253">
        <v>6</v>
      </c>
      <c r="BW23" s="250">
        <v>4</v>
      </c>
      <c r="BX23" s="237">
        <f t="shared" si="45"/>
        <v>10</v>
      </c>
      <c r="BY23" s="250">
        <v>243500</v>
      </c>
      <c r="BZ23" s="250">
        <v>6</v>
      </c>
      <c r="CA23" s="250">
        <v>0</v>
      </c>
      <c r="CB23" s="237">
        <f t="shared" si="46"/>
        <v>6</v>
      </c>
      <c r="CC23" s="250">
        <v>210800</v>
      </c>
      <c r="CD23" s="250">
        <f t="shared" si="47"/>
        <v>12</v>
      </c>
      <c r="CE23" s="250">
        <f t="shared" si="48"/>
        <v>4</v>
      </c>
      <c r="CF23" s="237">
        <f t="shared" si="49"/>
        <v>16</v>
      </c>
      <c r="CG23" s="237">
        <f t="shared" si="50"/>
        <v>454300</v>
      </c>
      <c r="CH23" s="253">
        <v>8</v>
      </c>
      <c r="CI23" s="250">
        <v>6</v>
      </c>
      <c r="CJ23" s="237">
        <f t="shared" si="51"/>
        <v>14</v>
      </c>
      <c r="CK23" s="250">
        <v>464600</v>
      </c>
      <c r="CL23" s="250">
        <v>3</v>
      </c>
      <c r="CM23" s="250">
        <v>0</v>
      </c>
      <c r="CN23" s="237">
        <f t="shared" si="52"/>
        <v>3</v>
      </c>
      <c r="CO23" s="250">
        <v>146700</v>
      </c>
      <c r="CP23" s="250">
        <f t="shared" si="53"/>
        <v>11</v>
      </c>
      <c r="CQ23" s="250">
        <f t="shared" si="54"/>
        <v>6</v>
      </c>
      <c r="CR23" s="237">
        <f t="shared" si="55"/>
        <v>17</v>
      </c>
      <c r="CS23" s="237">
        <f t="shared" si="56"/>
        <v>611300</v>
      </c>
      <c r="CT23" s="253">
        <v>6</v>
      </c>
      <c r="CU23" s="250">
        <v>6</v>
      </c>
      <c r="CV23" s="237">
        <f t="shared" si="57"/>
        <v>12</v>
      </c>
      <c r="CW23" s="250">
        <v>322800</v>
      </c>
      <c r="CX23" s="250">
        <v>5</v>
      </c>
      <c r="CY23" s="250">
        <v>0</v>
      </c>
      <c r="CZ23" s="237">
        <f t="shared" si="58"/>
        <v>5</v>
      </c>
      <c r="DA23" s="250">
        <v>346200</v>
      </c>
      <c r="DB23" s="250">
        <f t="shared" si="59"/>
        <v>11</v>
      </c>
      <c r="DC23" s="250">
        <f t="shared" si="60"/>
        <v>6</v>
      </c>
      <c r="DD23" s="237">
        <f t="shared" si="61"/>
        <v>17</v>
      </c>
      <c r="DE23" s="237">
        <f t="shared" si="62"/>
        <v>669000</v>
      </c>
      <c r="DF23" s="250">
        <v>3</v>
      </c>
      <c r="DG23" s="250">
        <v>7</v>
      </c>
      <c r="DH23" s="237">
        <f t="shared" si="63"/>
        <v>10</v>
      </c>
      <c r="DI23" s="250">
        <v>202200</v>
      </c>
      <c r="DJ23" s="250">
        <v>10</v>
      </c>
      <c r="DK23" s="250">
        <v>0</v>
      </c>
      <c r="DL23" s="237">
        <f t="shared" si="64"/>
        <v>10</v>
      </c>
      <c r="DM23" s="250">
        <v>694099</v>
      </c>
      <c r="DN23" s="250">
        <f t="shared" si="65"/>
        <v>13</v>
      </c>
      <c r="DO23" s="250">
        <f t="shared" si="66"/>
        <v>7</v>
      </c>
      <c r="DP23" s="237">
        <f t="shared" si="67"/>
        <v>20</v>
      </c>
      <c r="DQ23" s="237">
        <f t="shared" si="68"/>
        <v>896299</v>
      </c>
      <c r="DR23" s="250">
        <v>11</v>
      </c>
      <c r="DS23" s="250">
        <v>6</v>
      </c>
      <c r="DT23" s="237">
        <f t="shared" si="69"/>
        <v>17</v>
      </c>
      <c r="DU23" s="250">
        <v>416300</v>
      </c>
      <c r="DV23" s="250">
        <v>5</v>
      </c>
      <c r="DW23" s="250">
        <v>0</v>
      </c>
      <c r="DX23" s="237">
        <f t="shared" si="70"/>
        <v>5</v>
      </c>
      <c r="DY23" s="250">
        <v>299400</v>
      </c>
      <c r="DZ23" s="237">
        <f t="shared" si="71"/>
        <v>16</v>
      </c>
      <c r="EA23" s="237">
        <f t="shared" si="72"/>
        <v>6</v>
      </c>
      <c r="EB23" s="237">
        <f t="shared" si="73"/>
        <v>22</v>
      </c>
      <c r="EC23" s="237">
        <f t="shared" si="74"/>
        <v>715700</v>
      </c>
      <c r="ED23" s="237">
        <v>2</v>
      </c>
      <c r="EE23" s="237">
        <v>4</v>
      </c>
      <c r="EF23" s="237">
        <f t="shared" si="75"/>
        <v>6</v>
      </c>
      <c r="EG23" s="237">
        <v>52600</v>
      </c>
      <c r="EH23" s="237">
        <v>9</v>
      </c>
      <c r="EI23" s="237">
        <v>0</v>
      </c>
      <c r="EJ23" s="237">
        <f t="shared" si="76"/>
        <v>9</v>
      </c>
      <c r="EK23" s="237">
        <v>494000</v>
      </c>
      <c r="EL23" s="237">
        <f t="shared" si="77"/>
        <v>11</v>
      </c>
      <c r="EM23" s="237">
        <f t="shared" si="78"/>
        <v>4</v>
      </c>
      <c r="EN23" s="237">
        <f t="shared" si="79"/>
        <v>15</v>
      </c>
      <c r="EO23" s="237">
        <f t="shared" si="80"/>
        <v>546600</v>
      </c>
      <c r="EP23" s="271">
        <f t="shared" si="81"/>
        <v>6441999.0800000001</v>
      </c>
      <c r="EQ23" s="284">
        <f t="shared" si="82"/>
        <v>131</v>
      </c>
      <c r="ER23" s="271">
        <f t="shared" si="83"/>
        <v>181</v>
      </c>
      <c r="ES23" s="271"/>
      <c r="ET23" s="271"/>
    </row>
    <row r="24" spans="1:150" x14ac:dyDescent="0.3">
      <c r="A24" s="287" t="s">
        <v>126</v>
      </c>
      <c r="B24" s="253">
        <v>0</v>
      </c>
      <c r="C24" s="253">
        <v>0</v>
      </c>
      <c r="D24" s="253">
        <v>0</v>
      </c>
      <c r="E24" s="253">
        <v>0</v>
      </c>
      <c r="F24" s="253">
        <v>0</v>
      </c>
      <c r="G24" s="253">
        <v>0</v>
      </c>
      <c r="H24" s="253">
        <v>0</v>
      </c>
      <c r="I24" s="253">
        <v>0</v>
      </c>
      <c r="J24" s="253">
        <v>0</v>
      </c>
      <c r="K24" s="253">
        <v>0</v>
      </c>
      <c r="L24" s="253">
        <v>0</v>
      </c>
      <c r="M24" s="253">
        <v>0</v>
      </c>
      <c r="N24" s="253">
        <v>6</v>
      </c>
      <c r="O24" s="253">
        <v>13</v>
      </c>
      <c r="P24" s="283">
        <f>N24+O24</f>
        <v>19</v>
      </c>
      <c r="Q24" s="253">
        <v>690600</v>
      </c>
      <c r="R24" s="253">
        <v>4</v>
      </c>
      <c r="S24" s="253">
        <v>3</v>
      </c>
      <c r="T24" s="283">
        <f>R24+S24</f>
        <v>7</v>
      </c>
      <c r="U24" s="253">
        <v>246466</v>
      </c>
      <c r="V24" s="283">
        <f t="shared" ref="V24:V25" si="84">N24+R24</f>
        <v>10</v>
      </c>
      <c r="W24" s="283">
        <f t="shared" ref="W24:W25" si="85">O24+S24</f>
        <v>16</v>
      </c>
      <c r="X24" s="283">
        <f t="shared" ref="X24:X25" si="86">P24+T24</f>
        <v>26</v>
      </c>
      <c r="Y24" s="283">
        <f t="shared" ref="Y24:Y25" si="87">Q24+U24</f>
        <v>937066</v>
      </c>
      <c r="Z24" s="253">
        <v>9</v>
      </c>
      <c r="AA24" s="250">
        <v>10</v>
      </c>
      <c r="AB24" s="237">
        <f t="shared" si="21"/>
        <v>19</v>
      </c>
      <c r="AC24" s="250">
        <v>968460</v>
      </c>
      <c r="AD24" s="250">
        <v>3</v>
      </c>
      <c r="AE24" s="250">
        <v>2</v>
      </c>
      <c r="AF24" s="237">
        <f t="shared" si="22"/>
        <v>5</v>
      </c>
      <c r="AG24" s="250">
        <v>276321</v>
      </c>
      <c r="AH24" s="250">
        <f t="shared" si="23"/>
        <v>12</v>
      </c>
      <c r="AI24" s="250">
        <f t="shared" si="24"/>
        <v>12</v>
      </c>
      <c r="AJ24" s="237">
        <f t="shared" si="25"/>
        <v>24</v>
      </c>
      <c r="AK24" s="237">
        <f t="shared" si="26"/>
        <v>1244781</v>
      </c>
      <c r="AL24" s="253">
        <v>4</v>
      </c>
      <c r="AM24" s="250">
        <v>6</v>
      </c>
      <c r="AN24" s="237">
        <f t="shared" si="27"/>
        <v>10</v>
      </c>
      <c r="AO24" s="250">
        <v>186400.04</v>
      </c>
      <c r="AP24" s="250">
        <v>2</v>
      </c>
      <c r="AQ24" s="250">
        <v>1</v>
      </c>
      <c r="AR24" s="237">
        <f t="shared" si="28"/>
        <v>3</v>
      </c>
      <c r="AS24" s="250">
        <v>281700</v>
      </c>
      <c r="AT24" s="250">
        <f t="shared" si="29"/>
        <v>6</v>
      </c>
      <c r="AU24" s="250">
        <f t="shared" si="30"/>
        <v>7</v>
      </c>
      <c r="AV24" s="237">
        <f t="shared" si="31"/>
        <v>13</v>
      </c>
      <c r="AW24" s="237">
        <f t="shared" si="32"/>
        <v>468100.04000000004</v>
      </c>
      <c r="AX24" s="253">
        <v>6</v>
      </c>
      <c r="AY24" s="250">
        <v>10</v>
      </c>
      <c r="AZ24" s="237">
        <f t="shared" si="33"/>
        <v>16</v>
      </c>
      <c r="BA24" s="250">
        <v>289000</v>
      </c>
      <c r="BB24" s="250">
        <v>6</v>
      </c>
      <c r="BC24" s="250">
        <v>1</v>
      </c>
      <c r="BD24" s="237">
        <f t="shared" si="34"/>
        <v>7</v>
      </c>
      <c r="BE24" s="250">
        <v>347250</v>
      </c>
      <c r="BF24" s="250">
        <f t="shared" si="35"/>
        <v>12</v>
      </c>
      <c r="BG24" s="250">
        <f t="shared" si="36"/>
        <v>11</v>
      </c>
      <c r="BH24" s="237">
        <f t="shared" si="37"/>
        <v>23</v>
      </c>
      <c r="BI24" s="237">
        <f t="shared" si="38"/>
        <v>636250</v>
      </c>
      <c r="BJ24" s="253">
        <v>6</v>
      </c>
      <c r="BK24" s="250">
        <v>7</v>
      </c>
      <c r="BL24" s="237">
        <f t="shared" si="39"/>
        <v>13</v>
      </c>
      <c r="BM24" s="250">
        <v>565600</v>
      </c>
      <c r="BN24" s="250">
        <v>6</v>
      </c>
      <c r="BO24" s="250">
        <v>1</v>
      </c>
      <c r="BP24" s="237">
        <f t="shared" si="40"/>
        <v>7</v>
      </c>
      <c r="BQ24" s="250">
        <v>394900</v>
      </c>
      <c r="BR24" s="250">
        <f t="shared" si="41"/>
        <v>12</v>
      </c>
      <c r="BS24" s="250">
        <f t="shared" si="42"/>
        <v>8</v>
      </c>
      <c r="BT24" s="237">
        <f t="shared" si="43"/>
        <v>20</v>
      </c>
      <c r="BU24" s="237">
        <f t="shared" si="44"/>
        <v>960500</v>
      </c>
      <c r="BV24" s="253">
        <v>5</v>
      </c>
      <c r="BW24" s="250">
        <v>4</v>
      </c>
      <c r="BX24" s="237">
        <f t="shared" si="45"/>
        <v>9</v>
      </c>
      <c r="BY24" s="250">
        <v>193000</v>
      </c>
      <c r="BZ24" s="250">
        <v>9</v>
      </c>
      <c r="CA24" s="250">
        <v>0</v>
      </c>
      <c r="CB24" s="237">
        <f t="shared" si="46"/>
        <v>9</v>
      </c>
      <c r="CC24" s="250">
        <v>477840</v>
      </c>
      <c r="CD24" s="250">
        <f t="shared" si="47"/>
        <v>14</v>
      </c>
      <c r="CE24" s="250">
        <f t="shared" si="48"/>
        <v>4</v>
      </c>
      <c r="CF24" s="237">
        <f t="shared" si="49"/>
        <v>18</v>
      </c>
      <c r="CG24" s="237">
        <f t="shared" si="50"/>
        <v>670840</v>
      </c>
      <c r="CH24" s="253">
        <v>3</v>
      </c>
      <c r="CI24" s="250">
        <v>7</v>
      </c>
      <c r="CJ24" s="237">
        <f t="shared" si="51"/>
        <v>10</v>
      </c>
      <c r="CK24" s="250">
        <v>95900</v>
      </c>
      <c r="CL24" s="250">
        <v>8</v>
      </c>
      <c r="CM24" s="250">
        <v>2</v>
      </c>
      <c r="CN24" s="237">
        <f t="shared" si="52"/>
        <v>10</v>
      </c>
      <c r="CO24" s="250">
        <v>597700</v>
      </c>
      <c r="CP24" s="250">
        <f t="shared" si="53"/>
        <v>11</v>
      </c>
      <c r="CQ24" s="250">
        <f t="shared" si="54"/>
        <v>9</v>
      </c>
      <c r="CR24" s="237">
        <f t="shared" si="55"/>
        <v>20</v>
      </c>
      <c r="CS24" s="237">
        <f t="shared" si="56"/>
        <v>693600</v>
      </c>
      <c r="CT24" s="253">
        <v>7</v>
      </c>
      <c r="CU24" s="250">
        <v>11</v>
      </c>
      <c r="CV24" s="237">
        <f t="shared" si="57"/>
        <v>18</v>
      </c>
      <c r="CW24" s="250">
        <v>655200</v>
      </c>
      <c r="CX24" s="250">
        <v>12</v>
      </c>
      <c r="CY24" s="250">
        <v>0</v>
      </c>
      <c r="CZ24" s="237">
        <f t="shared" si="58"/>
        <v>12</v>
      </c>
      <c r="DA24" s="250">
        <v>596480</v>
      </c>
      <c r="DB24" s="250">
        <f t="shared" si="59"/>
        <v>19</v>
      </c>
      <c r="DC24" s="250">
        <f t="shared" si="60"/>
        <v>11</v>
      </c>
      <c r="DD24" s="237">
        <f t="shared" si="61"/>
        <v>30</v>
      </c>
      <c r="DE24" s="237">
        <f t="shared" si="62"/>
        <v>1251680</v>
      </c>
      <c r="DF24" s="250">
        <v>2</v>
      </c>
      <c r="DG24" s="250">
        <v>2</v>
      </c>
      <c r="DH24" s="237">
        <f t="shared" si="63"/>
        <v>4</v>
      </c>
      <c r="DI24" s="250">
        <v>376000</v>
      </c>
      <c r="DJ24" s="250">
        <v>14</v>
      </c>
      <c r="DK24" s="250">
        <v>1</v>
      </c>
      <c r="DL24" s="237">
        <f t="shared" si="64"/>
        <v>15</v>
      </c>
      <c r="DM24" s="250">
        <v>698740</v>
      </c>
      <c r="DN24" s="250">
        <f t="shared" si="65"/>
        <v>16</v>
      </c>
      <c r="DO24" s="250">
        <f t="shared" si="66"/>
        <v>3</v>
      </c>
      <c r="DP24" s="237">
        <f t="shared" si="67"/>
        <v>19</v>
      </c>
      <c r="DQ24" s="237">
        <f t="shared" si="68"/>
        <v>1074740</v>
      </c>
      <c r="DR24" s="250">
        <v>0</v>
      </c>
      <c r="DS24" s="250">
        <v>0</v>
      </c>
      <c r="DT24" s="237">
        <f t="shared" si="69"/>
        <v>0</v>
      </c>
      <c r="DU24" s="250">
        <v>0</v>
      </c>
      <c r="DV24" s="250">
        <v>6</v>
      </c>
      <c r="DW24" s="250">
        <v>0</v>
      </c>
      <c r="DX24" s="237">
        <f t="shared" si="70"/>
        <v>6</v>
      </c>
      <c r="DY24" s="250">
        <v>291300</v>
      </c>
      <c r="DZ24" s="237">
        <f t="shared" si="71"/>
        <v>6</v>
      </c>
      <c r="EA24" s="237">
        <f t="shared" si="72"/>
        <v>0</v>
      </c>
      <c r="EB24" s="237">
        <f t="shared" si="73"/>
        <v>6</v>
      </c>
      <c r="EC24" s="237">
        <f t="shared" si="74"/>
        <v>291300</v>
      </c>
      <c r="ED24" s="237">
        <v>0</v>
      </c>
      <c r="EE24" s="237">
        <v>0</v>
      </c>
      <c r="EF24" s="237">
        <f t="shared" si="75"/>
        <v>0</v>
      </c>
      <c r="EG24" s="237">
        <v>0</v>
      </c>
      <c r="EH24" s="237">
        <v>3</v>
      </c>
      <c r="EI24" s="237">
        <v>0</v>
      </c>
      <c r="EJ24" s="237">
        <f t="shared" si="76"/>
        <v>3</v>
      </c>
      <c r="EK24" s="237">
        <v>109740</v>
      </c>
      <c r="EL24" s="237">
        <f t="shared" si="77"/>
        <v>3</v>
      </c>
      <c r="EM24" s="237">
        <f t="shared" si="78"/>
        <v>0</v>
      </c>
      <c r="EN24" s="237">
        <f t="shared" si="79"/>
        <v>3</v>
      </c>
      <c r="EO24" s="237">
        <f t="shared" si="80"/>
        <v>109740</v>
      </c>
      <c r="EP24" s="271">
        <f t="shared" si="81"/>
        <v>8338597.04</v>
      </c>
      <c r="EQ24" s="284">
        <f t="shared" si="82"/>
        <v>121</v>
      </c>
      <c r="ER24" s="271">
        <f t="shared" si="83"/>
        <v>202</v>
      </c>
      <c r="ES24" s="271"/>
      <c r="ET24" s="271"/>
    </row>
    <row r="25" spans="1:150" x14ac:dyDescent="0.3">
      <c r="A25" s="287" t="s">
        <v>113</v>
      </c>
      <c r="B25" s="253">
        <v>0</v>
      </c>
      <c r="C25" s="253">
        <v>0</v>
      </c>
      <c r="D25" s="253">
        <v>0</v>
      </c>
      <c r="E25" s="253">
        <v>0</v>
      </c>
      <c r="F25" s="253">
        <v>0</v>
      </c>
      <c r="G25" s="253">
        <v>0</v>
      </c>
      <c r="H25" s="253">
        <v>0</v>
      </c>
      <c r="I25" s="253">
        <v>0</v>
      </c>
      <c r="J25" s="253">
        <v>0</v>
      </c>
      <c r="K25" s="253">
        <v>0</v>
      </c>
      <c r="L25" s="253">
        <v>0</v>
      </c>
      <c r="M25" s="253">
        <v>0</v>
      </c>
      <c r="N25" s="253">
        <v>13</v>
      </c>
      <c r="O25" s="253">
        <v>7</v>
      </c>
      <c r="P25" s="283">
        <f t="shared" ref="P25" si="88">N25+O25</f>
        <v>20</v>
      </c>
      <c r="Q25" s="253">
        <v>608960</v>
      </c>
      <c r="R25" s="253">
        <v>0</v>
      </c>
      <c r="S25" s="253">
        <v>0</v>
      </c>
      <c r="T25" s="283">
        <f t="shared" ref="T25" si="89">R25+S25</f>
        <v>0</v>
      </c>
      <c r="U25" s="253">
        <v>0</v>
      </c>
      <c r="V25" s="283">
        <f t="shared" si="84"/>
        <v>13</v>
      </c>
      <c r="W25" s="283">
        <f t="shared" si="85"/>
        <v>7</v>
      </c>
      <c r="X25" s="283">
        <f t="shared" si="86"/>
        <v>20</v>
      </c>
      <c r="Y25" s="283">
        <f t="shared" si="87"/>
        <v>608960</v>
      </c>
      <c r="Z25" s="253">
        <v>17</v>
      </c>
      <c r="AA25" s="250">
        <v>17</v>
      </c>
      <c r="AB25" s="237">
        <f t="shared" si="21"/>
        <v>34</v>
      </c>
      <c r="AC25" s="250">
        <v>897000</v>
      </c>
      <c r="AD25" s="250">
        <v>7</v>
      </c>
      <c r="AE25" s="250">
        <v>0</v>
      </c>
      <c r="AF25" s="237">
        <f t="shared" si="22"/>
        <v>7</v>
      </c>
      <c r="AG25" s="250">
        <v>327300</v>
      </c>
      <c r="AH25" s="250">
        <f t="shared" si="23"/>
        <v>24</v>
      </c>
      <c r="AI25" s="250">
        <f t="shared" si="24"/>
        <v>17</v>
      </c>
      <c r="AJ25" s="237">
        <f t="shared" si="25"/>
        <v>41</v>
      </c>
      <c r="AK25" s="237">
        <f t="shared" si="26"/>
        <v>1224300</v>
      </c>
      <c r="AL25" s="253">
        <v>10</v>
      </c>
      <c r="AM25" s="250">
        <v>10</v>
      </c>
      <c r="AN25" s="237">
        <f t="shared" si="27"/>
        <v>20</v>
      </c>
      <c r="AO25" s="250">
        <v>321240</v>
      </c>
      <c r="AP25" s="250">
        <v>10</v>
      </c>
      <c r="AQ25" s="250">
        <v>0</v>
      </c>
      <c r="AR25" s="237">
        <f t="shared" si="28"/>
        <v>10</v>
      </c>
      <c r="AS25" s="250">
        <v>588700</v>
      </c>
      <c r="AT25" s="250">
        <f t="shared" si="29"/>
        <v>20</v>
      </c>
      <c r="AU25" s="250">
        <f t="shared" si="30"/>
        <v>10</v>
      </c>
      <c r="AV25" s="237">
        <f t="shared" si="31"/>
        <v>30</v>
      </c>
      <c r="AW25" s="237">
        <f t="shared" si="32"/>
        <v>909940</v>
      </c>
      <c r="AX25" s="253">
        <v>16</v>
      </c>
      <c r="AY25" s="250">
        <v>20</v>
      </c>
      <c r="AZ25" s="237">
        <f t="shared" si="33"/>
        <v>36</v>
      </c>
      <c r="BA25" s="250">
        <v>611600</v>
      </c>
      <c r="BB25" s="250">
        <v>12</v>
      </c>
      <c r="BC25" s="250">
        <v>1</v>
      </c>
      <c r="BD25" s="237">
        <f t="shared" si="34"/>
        <v>13</v>
      </c>
      <c r="BE25" s="250">
        <v>961200</v>
      </c>
      <c r="BF25" s="250">
        <f t="shared" si="35"/>
        <v>28</v>
      </c>
      <c r="BG25" s="250">
        <f t="shared" si="36"/>
        <v>21</v>
      </c>
      <c r="BH25" s="237">
        <f t="shared" si="37"/>
        <v>49</v>
      </c>
      <c r="BI25" s="237">
        <f t="shared" si="38"/>
        <v>1572800</v>
      </c>
      <c r="BJ25" s="253">
        <v>20</v>
      </c>
      <c r="BK25" s="250">
        <v>21</v>
      </c>
      <c r="BL25" s="237">
        <f t="shared" si="39"/>
        <v>41</v>
      </c>
      <c r="BM25" s="250">
        <v>765900</v>
      </c>
      <c r="BN25" s="250">
        <v>20</v>
      </c>
      <c r="BO25" s="250">
        <v>1</v>
      </c>
      <c r="BP25" s="237">
        <f t="shared" si="40"/>
        <v>21</v>
      </c>
      <c r="BQ25" s="250">
        <v>1029700</v>
      </c>
      <c r="BR25" s="250">
        <f t="shared" si="41"/>
        <v>40</v>
      </c>
      <c r="BS25" s="250">
        <f t="shared" si="42"/>
        <v>22</v>
      </c>
      <c r="BT25" s="237">
        <f t="shared" si="43"/>
        <v>62</v>
      </c>
      <c r="BU25" s="237">
        <f t="shared" si="44"/>
        <v>1795600</v>
      </c>
      <c r="BV25" s="253">
        <v>12</v>
      </c>
      <c r="BW25" s="250">
        <v>19</v>
      </c>
      <c r="BX25" s="237">
        <f t="shared" si="45"/>
        <v>31</v>
      </c>
      <c r="BY25" s="250">
        <v>565500</v>
      </c>
      <c r="BZ25" s="250">
        <v>24</v>
      </c>
      <c r="CA25" s="250">
        <v>0</v>
      </c>
      <c r="CB25" s="237">
        <f t="shared" si="46"/>
        <v>24</v>
      </c>
      <c r="CC25" s="250">
        <v>1108600</v>
      </c>
      <c r="CD25" s="250">
        <f t="shared" si="47"/>
        <v>36</v>
      </c>
      <c r="CE25" s="250">
        <f t="shared" si="48"/>
        <v>19</v>
      </c>
      <c r="CF25" s="237">
        <f t="shared" si="49"/>
        <v>55</v>
      </c>
      <c r="CG25" s="237">
        <f t="shared" si="50"/>
        <v>1674100</v>
      </c>
      <c r="CH25" s="253">
        <v>16</v>
      </c>
      <c r="CI25" s="250">
        <v>11</v>
      </c>
      <c r="CJ25" s="237">
        <f t="shared" si="51"/>
        <v>27</v>
      </c>
      <c r="CK25" s="250">
        <v>739300</v>
      </c>
      <c r="CL25" s="250">
        <v>23</v>
      </c>
      <c r="CM25" s="250">
        <v>0</v>
      </c>
      <c r="CN25" s="237">
        <f t="shared" si="52"/>
        <v>23</v>
      </c>
      <c r="CO25" s="250">
        <v>1215400</v>
      </c>
      <c r="CP25" s="250">
        <f t="shared" si="53"/>
        <v>39</v>
      </c>
      <c r="CQ25" s="250">
        <f t="shared" si="54"/>
        <v>11</v>
      </c>
      <c r="CR25" s="237">
        <f t="shared" si="55"/>
        <v>50</v>
      </c>
      <c r="CS25" s="237">
        <f t="shared" si="56"/>
        <v>1954700</v>
      </c>
      <c r="CT25" s="253">
        <v>9</v>
      </c>
      <c r="CU25" s="250">
        <v>10</v>
      </c>
      <c r="CV25" s="237">
        <f t="shared" si="57"/>
        <v>19</v>
      </c>
      <c r="CW25" s="250">
        <v>256800</v>
      </c>
      <c r="CX25" s="250">
        <v>26</v>
      </c>
      <c r="CY25" s="250">
        <v>0</v>
      </c>
      <c r="CZ25" s="237">
        <f t="shared" si="58"/>
        <v>26</v>
      </c>
      <c r="DA25" s="250">
        <v>1459960</v>
      </c>
      <c r="DB25" s="250">
        <f t="shared" si="59"/>
        <v>35</v>
      </c>
      <c r="DC25" s="250">
        <f t="shared" si="60"/>
        <v>10</v>
      </c>
      <c r="DD25" s="237">
        <f t="shared" si="61"/>
        <v>45</v>
      </c>
      <c r="DE25" s="237">
        <f t="shared" si="62"/>
        <v>1716760</v>
      </c>
      <c r="DF25" s="250">
        <v>20</v>
      </c>
      <c r="DG25" s="250">
        <v>17</v>
      </c>
      <c r="DH25" s="237">
        <f t="shared" si="63"/>
        <v>37</v>
      </c>
      <c r="DI25" s="250">
        <v>860300</v>
      </c>
      <c r="DJ25" s="250">
        <v>18</v>
      </c>
      <c r="DK25" s="250">
        <v>0</v>
      </c>
      <c r="DL25" s="237">
        <f t="shared" si="64"/>
        <v>18</v>
      </c>
      <c r="DM25" s="250">
        <v>780200</v>
      </c>
      <c r="DN25" s="250">
        <f t="shared" si="65"/>
        <v>38</v>
      </c>
      <c r="DO25" s="250">
        <f t="shared" si="66"/>
        <v>17</v>
      </c>
      <c r="DP25" s="237">
        <f t="shared" si="67"/>
        <v>55</v>
      </c>
      <c r="DQ25" s="237">
        <f t="shared" si="68"/>
        <v>1640500</v>
      </c>
      <c r="DR25" s="250">
        <v>16</v>
      </c>
      <c r="DS25" s="250">
        <v>13</v>
      </c>
      <c r="DT25" s="237">
        <f t="shared" si="69"/>
        <v>29</v>
      </c>
      <c r="DU25" s="250">
        <v>566220</v>
      </c>
      <c r="DV25" s="250">
        <v>23</v>
      </c>
      <c r="DW25" s="250">
        <v>0</v>
      </c>
      <c r="DX25" s="237">
        <f t="shared" si="70"/>
        <v>23</v>
      </c>
      <c r="DY25" s="250">
        <v>1434050</v>
      </c>
      <c r="DZ25" s="237">
        <f t="shared" si="71"/>
        <v>39</v>
      </c>
      <c r="EA25" s="237">
        <f t="shared" si="72"/>
        <v>13</v>
      </c>
      <c r="EB25" s="237">
        <f t="shared" si="73"/>
        <v>52</v>
      </c>
      <c r="EC25" s="237">
        <f t="shared" si="74"/>
        <v>2000270</v>
      </c>
      <c r="ED25" s="237">
        <v>12</v>
      </c>
      <c r="EE25" s="237">
        <v>15</v>
      </c>
      <c r="EF25" s="237">
        <f t="shared" si="75"/>
        <v>27</v>
      </c>
      <c r="EG25" s="237">
        <v>745960</v>
      </c>
      <c r="EH25" s="237">
        <v>18</v>
      </c>
      <c r="EI25" s="237">
        <v>0</v>
      </c>
      <c r="EJ25" s="237">
        <f t="shared" si="76"/>
        <v>18</v>
      </c>
      <c r="EK25" s="237">
        <v>735400</v>
      </c>
      <c r="EL25" s="237">
        <f t="shared" si="77"/>
        <v>30</v>
      </c>
      <c r="EM25" s="237">
        <f t="shared" si="78"/>
        <v>15</v>
      </c>
      <c r="EN25" s="237">
        <f t="shared" si="79"/>
        <v>45</v>
      </c>
      <c r="EO25" s="237">
        <f t="shared" si="80"/>
        <v>1481360</v>
      </c>
      <c r="EP25" s="271">
        <f t="shared" si="81"/>
        <v>16579290</v>
      </c>
      <c r="EQ25" s="284">
        <f t="shared" si="82"/>
        <v>330</v>
      </c>
      <c r="ER25" s="271">
        <f t="shared" si="83"/>
        <v>504</v>
      </c>
      <c r="ES25" s="271"/>
      <c r="ET25" s="271"/>
    </row>
    <row r="26" spans="1:150" x14ac:dyDescent="0.3">
      <c r="A26" s="287" t="s">
        <v>114</v>
      </c>
      <c r="B26" s="253">
        <v>0</v>
      </c>
      <c r="C26" s="253">
        <v>0</v>
      </c>
      <c r="D26" s="253">
        <v>0</v>
      </c>
      <c r="E26" s="253">
        <v>0</v>
      </c>
      <c r="F26" s="253">
        <v>0</v>
      </c>
      <c r="G26" s="253">
        <v>0</v>
      </c>
      <c r="H26" s="253">
        <v>0</v>
      </c>
      <c r="I26" s="253">
        <v>0</v>
      </c>
      <c r="J26" s="253">
        <v>0</v>
      </c>
      <c r="K26" s="253">
        <v>0</v>
      </c>
      <c r="L26" s="253">
        <v>0</v>
      </c>
      <c r="M26" s="253">
        <v>0</v>
      </c>
      <c r="N26" s="253">
        <v>0</v>
      </c>
      <c r="O26" s="253">
        <v>0</v>
      </c>
      <c r="P26" s="253">
        <v>0</v>
      </c>
      <c r="Q26" s="253">
        <v>0</v>
      </c>
      <c r="R26" s="253">
        <v>0</v>
      </c>
      <c r="S26" s="253">
        <v>0</v>
      </c>
      <c r="T26" s="253">
        <v>0</v>
      </c>
      <c r="U26" s="253">
        <v>0</v>
      </c>
      <c r="V26" s="253">
        <v>0</v>
      </c>
      <c r="W26" s="253">
        <v>0</v>
      </c>
      <c r="X26" s="253">
        <v>0</v>
      </c>
      <c r="Y26" s="253">
        <v>0</v>
      </c>
      <c r="Z26" s="253">
        <v>0</v>
      </c>
      <c r="AA26" s="253">
        <v>0</v>
      </c>
      <c r="AB26" s="253">
        <v>0</v>
      </c>
      <c r="AC26" s="253">
        <v>0</v>
      </c>
      <c r="AD26" s="253">
        <v>0</v>
      </c>
      <c r="AE26" s="253">
        <v>0</v>
      </c>
      <c r="AF26" s="253">
        <v>0</v>
      </c>
      <c r="AG26" s="253">
        <v>0</v>
      </c>
      <c r="AH26" s="253">
        <v>0</v>
      </c>
      <c r="AI26" s="253">
        <v>0</v>
      </c>
      <c r="AJ26" s="253">
        <v>0</v>
      </c>
      <c r="AK26" s="253">
        <v>0</v>
      </c>
      <c r="AL26" s="253">
        <v>17</v>
      </c>
      <c r="AM26" s="250">
        <v>17</v>
      </c>
      <c r="AN26" s="237">
        <f t="shared" si="27"/>
        <v>34</v>
      </c>
      <c r="AO26" s="250">
        <v>1090000.08</v>
      </c>
      <c r="AP26" s="250">
        <v>1</v>
      </c>
      <c r="AQ26" s="250">
        <v>0</v>
      </c>
      <c r="AR26" s="237">
        <f t="shared" si="28"/>
        <v>1</v>
      </c>
      <c r="AS26" s="250">
        <v>59700</v>
      </c>
      <c r="AT26" s="250">
        <f t="shared" si="29"/>
        <v>18</v>
      </c>
      <c r="AU26" s="250">
        <f t="shared" si="30"/>
        <v>17</v>
      </c>
      <c r="AV26" s="237">
        <f t="shared" si="31"/>
        <v>35</v>
      </c>
      <c r="AW26" s="237">
        <f t="shared" si="32"/>
        <v>1149700.08</v>
      </c>
      <c r="AX26" s="253">
        <v>14</v>
      </c>
      <c r="AY26" s="250">
        <v>22</v>
      </c>
      <c r="AZ26" s="237">
        <f t="shared" si="33"/>
        <v>36</v>
      </c>
      <c r="BA26" s="250">
        <v>787300</v>
      </c>
      <c r="BB26" s="250">
        <v>13</v>
      </c>
      <c r="BC26" s="250">
        <v>1</v>
      </c>
      <c r="BD26" s="237">
        <f t="shared" si="34"/>
        <v>14</v>
      </c>
      <c r="BE26" s="250">
        <v>876600</v>
      </c>
      <c r="BF26" s="250">
        <f t="shared" si="35"/>
        <v>27</v>
      </c>
      <c r="BG26" s="250">
        <f t="shared" si="36"/>
        <v>23</v>
      </c>
      <c r="BH26" s="237">
        <f t="shared" si="37"/>
        <v>50</v>
      </c>
      <c r="BI26" s="237">
        <f t="shared" si="38"/>
        <v>1663900</v>
      </c>
      <c r="BJ26" s="253">
        <v>13</v>
      </c>
      <c r="BK26" s="250">
        <v>13</v>
      </c>
      <c r="BL26" s="237">
        <f t="shared" si="39"/>
        <v>26</v>
      </c>
      <c r="BM26" s="250">
        <v>376900</v>
      </c>
      <c r="BN26" s="250">
        <v>18</v>
      </c>
      <c r="BO26" s="250">
        <v>0</v>
      </c>
      <c r="BP26" s="237">
        <f t="shared" si="40"/>
        <v>18</v>
      </c>
      <c r="BQ26" s="250">
        <v>1325120</v>
      </c>
      <c r="BR26" s="250">
        <f t="shared" si="41"/>
        <v>31</v>
      </c>
      <c r="BS26" s="250">
        <f t="shared" si="42"/>
        <v>13</v>
      </c>
      <c r="BT26" s="237">
        <f t="shared" si="43"/>
        <v>44</v>
      </c>
      <c r="BU26" s="237">
        <f t="shared" si="44"/>
        <v>1702020</v>
      </c>
      <c r="BV26" s="253">
        <v>14</v>
      </c>
      <c r="BW26" s="250">
        <v>17</v>
      </c>
      <c r="BX26" s="237">
        <f t="shared" si="45"/>
        <v>31</v>
      </c>
      <c r="BY26" s="250">
        <v>882820</v>
      </c>
      <c r="BZ26" s="250">
        <v>16</v>
      </c>
      <c r="CA26" s="250">
        <v>2</v>
      </c>
      <c r="CB26" s="237">
        <f t="shared" si="46"/>
        <v>18</v>
      </c>
      <c r="CC26" s="250">
        <v>1268720</v>
      </c>
      <c r="CD26" s="250">
        <f t="shared" si="47"/>
        <v>30</v>
      </c>
      <c r="CE26" s="250">
        <f t="shared" si="48"/>
        <v>19</v>
      </c>
      <c r="CF26" s="237">
        <f t="shared" si="49"/>
        <v>49</v>
      </c>
      <c r="CG26" s="237">
        <f t="shared" si="50"/>
        <v>2151540</v>
      </c>
      <c r="CH26" s="253">
        <v>16</v>
      </c>
      <c r="CI26" s="250">
        <v>14</v>
      </c>
      <c r="CJ26" s="237">
        <f t="shared" si="51"/>
        <v>30</v>
      </c>
      <c r="CK26" s="250">
        <v>944600</v>
      </c>
      <c r="CL26" s="250">
        <v>17</v>
      </c>
      <c r="CM26" s="250">
        <v>0</v>
      </c>
      <c r="CN26" s="237">
        <f t="shared" si="52"/>
        <v>17</v>
      </c>
      <c r="CO26" s="250">
        <v>1041460</v>
      </c>
      <c r="CP26" s="250">
        <f t="shared" si="53"/>
        <v>33</v>
      </c>
      <c r="CQ26" s="250">
        <f t="shared" si="54"/>
        <v>14</v>
      </c>
      <c r="CR26" s="237">
        <f t="shared" si="55"/>
        <v>47</v>
      </c>
      <c r="CS26" s="237">
        <f t="shared" si="56"/>
        <v>1986060</v>
      </c>
      <c r="CT26" s="253">
        <v>11</v>
      </c>
      <c r="CU26" s="250">
        <v>14</v>
      </c>
      <c r="CV26" s="237">
        <f t="shared" si="57"/>
        <v>25</v>
      </c>
      <c r="CW26" s="250">
        <v>395700</v>
      </c>
      <c r="CX26" s="250">
        <v>23</v>
      </c>
      <c r="CY26" s="250">
        <v>0</v>
      </c>
      <c r="CZ26" s="237">
        <f t="shared" si="58"/>
        <v>23</v>
      </c>
      <c r="DA26" s="250">
        <v>1479530</v>
      </c>
      <c r="DB26" s="250">
        <f t="shared" si="59"/>
        <v>34</v>
      </c>
      <c r="DC26" s="250">
        <f t="shared" si="60"/>
        <v>14</v>
      </c>
      <c r="DD26" s="237">
        <f t="shared" si="61"/>
        <v>48</v>
      </c>
      <c r="DE26" s="237">
        <f t="shared" si="62"/>
        <v>1875230</v>
      </c>
      <c r="DF26" s="250">
        <v>7</v>
      </c>
      <c r="DG26" s="250">
        <v>11</v>
      </c>
      <c r="DH26" s="237">
        <f t="shared" si="63"/>
        <v>18</v>
      </c>
      <c r="DI26" s="250">
        <v>298160</v>
      </c>
      <c r="DJ26" s="250">
        <v>25</v>
      </c>
      <c r="DK26" s="250">
        <v>0</v>
      </c>
      <c r="DL26" s="237">
        <f t="shared" si="64"/>
        <v>25</v>
      </c>
      <c r="DM26" s="250">
        <v>1577860</v>
      </c>
      <c r="DN26" s="250">
        <f t="shared" si="65"/>
        <v>32</v>
      </c>
      <c r="DO26" s="250">
        <f t="shared" si="66"/>
        <v>11</v>
      </c>
      <c r="DP26" s="237">
        <f t="shared" si="67"/>
        <v>43</v>
      </c>
      <c r="DQ26" s="237">
        <f t="shared" si="68"/>
        <v>1876020</v>
      </c>
      <c r="DR26" s="250">
        <v>6</v>
      </c>
      <c r="DS26" s="250">
        <v>13</v>
      </c>
      <c r="DT26" s="237">
        <f t="shared" si="69"/>
        <v>19</v>
      </c>
      <c r="DU26" s="250">
        <v>254600</v>
      </c>
      <c r="DV26" s="250">
        <v>21</v>
      </c>
      <c r="DW26" s="250">
        <v>0</v>
      </c>
      <c r="DX26" s="237">
        <f t="shared" si="70"/>
        <v>21</v>
      </c>
      <c r="DY26" s="250">
        <v>1560365</v>
      </c>
      <c r="DZ26" s="237">
        <f t="shared" si="71"/>
        <v>27</v>
      </c>
      <c r="EA26" s="237">
        <f t="shared" si="72"/>
        <v>13</v>
      </c>
      <c r="EB26" s="237">
        <f t="shared" si="73"/>
        <v>40</v>
      </c>
      <c r="EC26" s="237">
        <f t="shared" si="74"/>
        <v>1814965</v>
      </c>
      <c r="ED26" s="237">
        <v>2</v>
      </c>
      <c r="EE26" s="237">
        <v>5</v>
      </c>
      <c r="EF26" s="237">
        <f t="shared" si="75"/>
        <v>7</v>
      </c>
      <c r="EG26" s="237">
        <v>86500</v>
      </c>
      <c r="EH26" s="237">
        <v>18</v>
      </c>
      <c r="EI26" s="237">
        <v>1</v>
      </c>
      <c r="EJ26" s="237">
        <f t="shared" si="76"/>
        <v>19</v>
      </c>
      <c r="EK26" s="237">
        <v>985160</v>
      </c>
      <c r="EL26" s="237">
        <f t="shared" si="77"/>
        <v>20</v>
      </c>
      <c r="EM26" s="237">
        <f t="shared" si="78"/>
        <v>6</v>
      </c>
      <c r="EN26" s="237">
        <f t="shared" si="79"/>
        <v>26</v>
      </c>
      <c r="EO26" s="237">
        <f t="shared" si="80"/>
        <v>1071660</v>
      </c>
      <c r="EP26" s="271">
        <f t="shared" si="81"/>
        <v>15291095.08</v>
      </c>
      <c r="EQ26" s="284">
        <f t="shared" si="82"/>
        <v>250</v>
      </c>
      <c r="ER26" s="271">
        <f t="shared" si="83"/>
        <v>382</v>
      </c>
      <c r="ES26" s="271"/>
      <c r="ET26" s="271"/>
    </row>
    <row r="27" spans="1:150" x14ac:dyDescent="0.3">
      <c r="A27" s="287" t="s">
        <v>117</v>
      </c>
      <c r="B27" s="253">
        <v>0</v>
      </c>
      <c r="C27" s="253">
        <v>0</v>
      </c>
      <c r="D27" s="253">
        <v>0</v>
      </c>
      <c r="E27" s="253">
        <v>0</v>
      </c>
      <c r="F27" s="253">
        <v>0</v>
      </c>
      <c r="G27" s="253">
        <v>0</v>
      </c>
      <c r="H27" s="253">
        <v>0</v>
      </c>
      <c r="I27" s="253">
        <v>0</v>
      </c>
      <c r="J27" s="253">
        <v>0</v>
      </c>
      <c r="K27" s="253">
        <v>0</v>
      </c>
      <c r="L27" s="253">
        <v>0</v>
      </c>
      <c r="M27" s="253">
        <v>0</v>
      </c>
      <c r="N27" s="253">
        <v>0</v>
      </c>
      <c r="O27" s="253">
        <v>0</v>
      </c>
      <c r="P27" s="253">
        <v>0</v>
      </c>
      <c r="Q27" s="253">
        <v>0</v>
      </c>
      <c r="R27" s="253">
        <v>0</v>
      </c>
      <c r="S27" s="253">
        <v>0</v>
      </c>
      <c r="T27" s="253">
        <v>0</v>
      </c>
      <c r="U27" s="253">
        <v>0</v>
      </c>
      <c r="V27" s="253">
        <v>0</v>
      </c>
      <c r="W27" s="253">
        <v>0</v>
      </c>
      <c r="X27" s="253">
        <v>0</v>
      </c>
      <c r="Y27" s="253">
        <v>0</v>
      </c>
      <c r="Z27" s="253">
        <v>0</v>
      </c>
      <c r="AA27" s="253">
        <v>0</v>
      </c>
      <c r="AB27" s="253">
        <v>0</v>
      </c>
      <c r="AC27" s="253">
        <v>0</v>
      </c>
      <c r="AD27" s="253">
        <v>0</v>
      </c>
      <c r="AE27" s="253">
        <v>0</v>
      </c>
      <c r="AF27" s="253">
        <v>0</v>
      </c>
      <c r="AG27" s="253">
        <v>0</v>
      </c>
      <c r="AH27" s="253">
        <v>0</v>
      </c>
      <c r="AI27" s="253">
        <v>0</v>
      </c>
      <c r="AJ27" s="253">
        <v>0</v>
      </c>
      <c r="AK27" s="253">
        <v>0</v>
      </c>
      <c r="AL27" s="253">
        <v>0</v>
      </c>
      <c r="AM27" s="253">
        <v>0</v>
      </c>
      <c r="AN27" s="253">
        <v>0</v>
      </c>
      <c r="AO27" s="253">
        <v>0</v>
      </c>
      <c r="AP27" s="253">
        <v>0</v>
      </c>
      <c r="AQ27" s="253">
        <v>0</v>
      </c>
      <c r="AR27" s="253">
        <v>0</v>
      </c>
      <c r="AS27" s="253">
        <v>0</v>
      </c>
      <c r="AT27" s="253">
        <v>0</v>
      </c>
      <c r="AU27" s="253">
        <v>0</v>
      </c>
      <c r="AV27" s="253">
        <v>0</v>
      </c>
      <c r="AW27" s="253">
        <v>0</v>
      </c>
      <c r="AX27" s="253">
        <v>0</v>
      </c>
      <c r="AY27" s="253">
        <v>0</v>
      </c>
      <c r="AZ27" s="253">
        <v>0</v>
      </c>
      <c r="BA27" s="253">
        <v>0</v>
      </c>
      <c r="BB27" s="253">
        <v>0</v>
      </c>
      <c r="BC27" s="253">
        <v>0</v>
      </c>
      <c r="BD27" s="253">
        <v>0</v>
      </c>
      <c r="BE27" s="253">
        <v>0</v>
      </c>
      <c r="BF27" s="253">
        <v>0</v>
      </c>
      <c r="BG27" s="253">
        <v>0</v>
      </c>
      <c r="BH27" s="253">
        <v>0</v>
      </c>
      <c r="BI27" s="253">
        <v>0</v>
      </c>
      <c r="BJ27" s="253">
        <v>17</v>
      </c>
      <c r="BK27" s="250">
        <v>18</v>
      </c>
      <c r="BL27" s="237">
        <f t="shared" ref="BL27" si="90">BJ27+BK27</f>
        <v>35</v>
      </c>
      <c r="BM27" s="250">
        <v>635600</v>
      </c>
      <c r="BN27" s="250">
        <v>2</v>
      </c>
      <c r="BO27" s="250">
        <v>0</v>
      </c>
      <c r="BP27" s="237">
        <f t="shared" ref="BP27" si="91">SUM(BN27:BO27)</f>
        <v>2</v>
      </c>
      <c r="BQ27" s="250">
        <v>189660</v>
      </c>
      <c r="BR27" s="250">
        <f t="shared" ref="BR27" si="92">BJ27+BN27</f>
        <v>19</v>
      </c>
      <c r="BS27" s="250">
        <f t="shared" ref="BS27" si="93">BK27+BO27</f>
        <v>18</v>
      </c>
      <c r="BT27" s="237">
        <f t="shared" ref="BT27" si="94">BR27+BS27</f>
        <v>37</v>
      </c>
      <c r="BU27" s="237">
        <f t="shared" ref="BU27" si="95">BM27+BQ27</f>
        <v>825260</v>
      </c>
      <c r="BV27" s="253">
        <v>13</v>
      </c>
      <c r="BW27" s="250">
        <v>10</v>
      </c>
      <c r="BX27" s="237">
        <f t="shared" si="45"/>
        <v>23</v>
      </c>
      <c r="BY27" s="250">
        <v>538700</v>
      </c>
      <c r="BZ27" s="250">
        <v>11</v>
      </c>
      <c r="CA27" s="250">
        <v>0</v>
      </c>
      <c r="CB27" s="237">
        <f t="shared" si="46"/>
        <v>11</v>
      </c>
      <c r="CC27" s="250">
        <v>515700</v>
      </c>
      <c r="CD27" s="250">
        <f t="shared" si="47"/>
        <v>24</v>
      </c>
      <c r="CE27" s="250">
        <f t="shared" si="48"/>
        <v>10</v>
      </c>
      <c r="CF27" s="237">
        <f t="shared" si="49"/>
        <v>34</v>
      </c>
      <c r="CG27" s="237">
        <f t="shared" si="50"/>
        <v>1054400</v>
      </c>
      <c r="CH27" s="253">
        <v>12</v>
      </c>
      <c r="CI27" s="250">
        <v>7</v>
      </c>
      <c r="CJ27" s="237">
        <f t="shared" si="51"/>
        <v>19</v>
      </c>
      <c r="CK27" s="250">
        <v>450700</v>
      </c>
      <c r="CL27" s="250">
        <v>15</v>
      </c>
      <c r="CM27" s="250">
        <v>0</v>
      </c>
      <c r="CN27" s="237">
        <f t="shared" si="52"/>
        <v>15</v>
      </c>
      <c r="CO27" s="250">
        <v>619000</v>
      </c>
      <c r="CP27" s="250">
        <f t="shared" si="53"/>
        <v>27</v>
      </c>
      <c r="CQ27" s="250">
        <f t="shared" si="54"/>
        <v>7</v>
      </c>
      <c r="CR27" s="237">
        <f t="shared" si="55"/>
        <v>34</v>
      </c>
      <c r="CS27" s="237">
        <f t="shared" si="56"/>
        <v>1069700</v>
      </c>
      <c r="CT27" s="253">
        <v>9</v>
      </c>
      <c r="CU27" s="250">
        <v>5</v>
      </c>
      <c r="CV27" s="237">
        <f t="shared" si="57"/>
        <v>14</v>
      </c>
      <c r="CW27" s="250">
        <v>319000</v>
      </c>
      <c r="CX27" s="250">
        <v>22</v>
      </c>
      <c r="CY27" s="250">
        <v>0</v>
      </c>
      <c r="CZ27" s="237">
        <f t="shared" si="58"/>
        <v>22</v>
      </c>
      <c r="DA27" s="250">
        <v>1065400</v>
      </c>
      <c r="DB27" s="250">
        <f t="shared" si="59"/>
        <v>31</v>
      </c>
      <c r="DC27" s="250">
        <f t="shared" si="60"/>
        <v>5</v>
      </c>
      <c r="DD27" s="237">
        <f t="shared" si="61"/>
        <v>36</v>
      </c>
      <c r="DE27" s="237">
        <f t="shared" si="62"/>
        <v>1384400</v>
      </c>
      <c r="DF27" s="250">
        <v>7</v>
      </c>
      <c r="DG27" s="250">
        <v>6</v>
      </c>
      <c r="DH27" s="237">
        <f t="shared" si="63"/>
        <v>13</v>
      </c>
      <c r="DI27" s="250">
        <v>148800</v>
      </c>
      <c r="DJ27" s="250">
        <v>21</v>
      </c>
      <c r="DK27" s="250">
        <v>0</v>
      </c>
      <c r="DL27" s="237">
        <f t="shared" si="64"/>
        <v>21</v>
      </c>
      <c r="DM27" s="250">
        <v>867660</v>
      </c>
      <c r="DN27" s="250">
        <f t="shared" si="65"/>
        <v>28</v>
      </c>
      <c r="DO27" s="250">
        <f t="shared" si="66"/>
        <v>6</v>
      </c>
      <c r="DP27" s="237">
        <f t="shared" si="67"/>
        <v>34</v>
      </c>
      <c r="DQ27" s="237">
        <f t="shared" si="68"/>
        <v>1016460</v>
      </c>
      <c r="DR27" s="250">
        <v>6</v>
      </c>
      <c r="DS27" s="250">
        <v>2</v>
      </c>
      <c r="DT27" s="237">
        <f t="shared" si="69"/>
        <v>8</v>
      </c>
      <c r="DU27" s="250">
        <v>210920</v>
      </c>
      <c r="DV27" s="250">
        <v>21</v>
      </c>
      <c r="DW27" s="250">
        <v>0</v>
      </c>
      <c r="DX27" s="237">
        <f t="shared" si="70"/>
        <v>21</v>
      </c>
      <c r="DY27" s="250">
        <v>809420</v>
      </c>
      <c r="DZ27" s="237">
        <f t="shared" si="71"/>
        <v>27</v>
      </c>
      <c r="EA27" s="237">
        <f t="shared" si="72"/>
        <v>2</v>
      </c>
      <c r="EB27" s="237">
        <f t="shared" si="73"/>
        <v>29</v>
      </c>
      <c r="EC27" s="237">
        <f t="shared" si="74"/>
        <v>1020340</v>
      </c>
      <c r="ED27" s="237">
        <v>7</v>
      </c>
      <c r="EE27" s="237">
        <v>4</v>
      </c>
      <c r="EF27" s="237">
        <f t="shared" si="75"/>
        <v>11</v>
      </c>
      <c r="EG27" s="237">
        <v>187900</v>
      </c>
      <c r="EH27" s="237">
        <v>13</v>
      </c>
      <c r="EI27" s="237">
        <v>0</v>
      </c>
      <c r="EJ27" s="237">
        <f t="shared" si="76"/>
        <v>13</v>
      </c>
      <c r="EK27" s="237">
        <v>593700</v>
      </c>
      <c r="EL27" s="237">
        <f t="shared" si="77"/>
        <v>20</v>
      </c>
      <c r="EM27" s="237">
        <f t="shared" si="78"/>
        <v>4</v>
      </c>
      <c r="EN27" s="237">
        <f t="shared" si="79"/>
        <v>24</v>
      </c>
      <c r="EO27" s="237">
        <f t="shared" si="80"/>
        <v>781600</v>
      </c>
      <c r="EP27" s="271">
        <f t="shared" si="81"/>
        <v>7152160</v>
      </c>
      <c r="EQ27" s="284">
        <f t="shared" si="82"/>
        <v>169</v>
      </c>
      <c r="ER27" s="271">
        <f t="shared" si="83"/>
        <v>228</v>
      </c>
      <c r="ES27" s="271"/>
      <c r="ET27" s="271"/>
    </row>
    <row r="28" spans="1:150" x14ac:dyDescent="0.3">
      <c r="A28" s="287" t="s">
        <v>118</v>
      </c>
      <c r="B28" s="253">
        <v>0</v>
      </c>
      <c r="C28" s="253">
        <v>0</v>
      </c>
      <c r="D28" s="253">
        <v>0</v>
      </c>
      <c r="E28" s="253">
        <v>0</v>
      </c>
      <c r="F28" s="253">
        <v>0</v>
      </c>
      <c r="G28" s="253">
        <v>0</v>
      </c>
      <c r="H28" s="253">
        <v>0</v>
      </c>
      <c r="I28" s="253">
        <v>0</v>
      </c>
      <c r="J28" s="253">
        <v>0</v>
      </c>
      <c r="K28" s="253">
        <v>0</v>
      </c>
      <c r="L28" s="253">
        <v>0</v>
      </c>
      <c r="M28" s="253">
        <v>0</v>
      </c>
      <c r="N28" s="253">
        <v>0</v>
      </c>
      <c r="O28" s="253">
        <v>0</v>
      </c>
      <c r="P28" s="253">
        <v>0</v>
      </c>
      <c r="Q28" s="253">
        <v>0</v>
      </c>
      <c r="R28" s="253">
        <v>0</v>
      </c>
      <c r="S28" s="253">
        <v>0</v>
      </c>
      <c r="T28" s="253">
        <v>0</v>
      </c>
      <c r="U28" s="253">
        <v>0</v>
      </c>
      <c r="V28" s="253">
        <v>0</v>
      </c>
      <c r="W28" s="253">
        <v>0</v>
      </c>
      <c r="X28" s="253">
        <v>0</v>
      </c>
      <c r="Y28" s="253">
        <v>0</v>
      </c>
      <c r="Z28" s="253">
        <v>0</v>
      </c>
      <c r="AA28" s="253">
        <v>0</v>
      </c>
      <c r="AB28" s="253">
        <v>0</v>
      </c>
      <c r="AC28" s="253">
        <v>0</v>
      </c>
      <c r="AD28" s="253">
        <v>0</v>
      </c>
      <c r="AE28" s="253">
        <v>0</v>
      </c>
      <c r="AF28" s="253">
        <v>0</v>
      </c>
      <c r="AG28" s="253">
        <v>0</v>
      </c>
      <c r="AH28" s="253">
        <v>0</v>
      </c>
      <c r="AI28" s="253">
        <v>0</v>
      </c>
      <c r="AJ28" s="253">
        <v>0</v>
      </c>
      <c r="AK28" s="253">
        <v>0</v>
      </c>
      <c r="AL28" s="253">
        <v>0</v>
      </c>
      <c r="AM28" s="253">
        <v>0</v>
      </c>
      <c r="AN28" s="253">
        <v>0</v>
      </c>
      <c r="AO28" s="253">
        <v>0</v>
      </c>
      <c r="AP28" s="253">
        <v>0</v>
      </c>
      <c r="AQ28" s="253">
        <v>0</v>
      </c>
      <c r="AR28" s="253">
        <v>0</v>
      </c>
      <c r="AS28" s="253">
        <v>0</v>
      </c>
      <c r="AT28" s="253">
        <v>0</v>
      </c>
      <c r="AU28" s="253">
        <v>0</v>
      </c>
      <c r="AV28" s="253">
        <v>0</v>
      </c>
      <c r="AW28" s="253">
        <v>0</v>
      </c>
      <c r="AX28" s="253">
        <v>0</v>
      </c>
      <c r="AY28" s="253">
        <v>0</v>
      </c>
      <c r="AZ28" s="253">
        <v>0</v>
      </c>
      <c r="BA28" s="253">
        <v>0</v>
      </c>
      <c r="BB28" s="253">
        <v>0</v>
      </c>
      <c r="BC28" s="253">
        <v>0</v>
      </c>
      <c r="BD28" s="253">
        <v>0</v>
      </c>
      <c r="BE28" s="253">
        <v>0</v>
      </c>
      <c r="BF28" s="253">
        <v>0</v>
      </c>
      <c r="BG28" s="253">
        <v>0</v>
      </c>
      <c r="BH28" s="253">
        <v>0</v>
      </c>
      <c r="BI28" s="253">
        <v>0</v>
      </c>
      <c r="BJ28" s="253">
        <v>0</v>
      </c>
      <c r="BK28" s="250">
        <v>0</v>
      </c>
      <c r="BL28" s="237">
        <v>0</v>
      </c>
      <c r="BM28" s="250">
        <v>0</v>
      </c>
      <c r="BN28" s="250">
        <v>0</v>
      </c>
      <c r="BO28" s="250">
        <v>0</v>
      </c>
      <c r="BP28" s="237">
        <v>0</v>
      </c>
      <c r="BQ28" s="250">
        <v>0</v>
      </c>
      <c r="BR28" s="250">
        <v>0</v>
      </c>
      <c r="BS28" s="250">
        <v>0</v>
      </c>
      <c r="BT28" s="237">
        <v>0</v>
      </c>
      <c r="BU28" s="237">
        <v>0</v>
      </c>
      <c r="BV28" s="253">
        <v>6</v>
      </c>
      <c r="BW28" s="250">
        <v>7</v>
      </c>
      <c r="BX28" s="237">
        <f t="shared" ref="BX28" si="96">BV28+BW28</f>
        <v>13</v>
      </c>
      <c r="BY28" s="250">
        <v>213400</v>
      </c>
      <c r="BZ28" s="250">
        <v>1</v>
      </c>
      <c r="CA28" s="250">
        <v>0</v>
      </c>
      <c r="CB28" s="237">
        <f t="shared" ref="CB28" si="97">SUM(BZ28:CA28)</f>
        <v>1</v>
      </c>
      <c r="CC28" s="250">
        <v>19900</v>
      </c>
      <c r="CD28" s="250">
        <f t="shared" ref="CD28" si="98">BV28+BZ28</f>
        <v>7</v>
      </c>
      <c r="CE28" s="250">
        <f t="shared" ref="CE28" si="99">BW28+CA28</f>
        <v>7</v>
      </c>
      <c r="CF28" s="237">
        <f t="shared" ref="CF28" si="100">CD28+CE28</f>
        <v>14</v>
      </c>
      <c r="CG28" s="237">
        <f t="shared" ref="CG28" si="101">BY28+CC28</f>
        <v>233300</v>
      </c>
      <c r="CH28" s="253">
        <v>9</v>
      </c>
      <c r="CI28" s="250">
        <v>4</v>
      </c>
      <c r="CJ28" s="237">
        <f t="shared" si="51"/>
        <v>13</v>
      </c>
      <c r="CK28" s="250">
        <v>397800</v>
      </c>
      <c r="CL28" s="250">
        <v>2</v>
      </c>
      <c r="CM28" s="250">
        <v>0</v>
      </c>
      <c r="CN28" s="237">
        <f t="shared" si="52"/>
        <v>2</v>
      </c>
      <c r="CO28" s="250">
        <v>132500</v>
      </c>
      <c r="CP28" s="250">
        <f t="shared" si="53"/>
        <v>11</v>
      </c>
      <c r="CQ28" s="250">
        <f t="shared" si="54"/>
        <v>4</v>
      </c>
      <c r="CR28" s="237">
        <f t="shared" si="55"/>
        <v>15</v>
      </c>
      <c r="CS28" s="237">
        <f t="shared" si="56"/>
        <v>530300</v>
      </c>
      <c r="CT28" s="253">
        <v>7</v>
      </c>
      <c r="CU28" s="250">
        <v>4</v>
      </c>
      <c r="CV28" s="237">
        <f t="shared" si="57"/>
        <v>11</v>
      </c>
      <c r="CW28" s="250">
        <v>300700</v>
      </c>
      <c r="CX28" s="250">
        <v>7</v>
      </c>
      <c r="CY28" s="250">
        <v>1</v>
      </c>
      <c r="CZ28" s="237">
        <f t="shared" si="58"/>
        <v>8</v>
      </c>
      <c r="DA28" s="250">
        <v>411500</v>
      </c>
      <c r="DB28" s="250">
        <f t="shared" si="59"/>
        <v>14</v>
      </c>
      <c r="DC28" s="250">
        <f t="shared" si="60"/>
        <v>5</v>
      </c>
      <c r="DD28" s="237">
        <f t="shared" si="61"/>
        <v>19</v>
      </c>
      <c r="DE28" s="237">
        <f t="shared" si="62"/>
        <v>712200</v>
      </c>
      <c r="DF28" s="250">
        <v>7</v>
      </c>
      <c r="DG28" s="250">
        <v>3</v>
      </c>
      <c r="DH28" s="237">
        <f t="shared" si="63"/>
        <v>10</v>
      </c>
      <c r="DI28" s="250">
        <v>241200</v>
      </c>
      <c r="DJ28" s="250">
        <v>8</v>
      </c>
      <c r="DK28" s="250">
        <v>1</v>
      </c>
      <c r="DL28" s="237">
        <f t="shared" si="64"/>
        <v>9</v>
      </c>
      <c r="DM28" s="250">
        <v>472000</v>
      </c>
      <c r="DN28" s="250">
        <f t="shared" si="65"/>
        <v>15</v>
      </c>
      <c r="DO28" s="250">
        <f t="shared" si="66"/>
        <v>4</v>
      </c>
      <c r="DP28" s="237">
        <f t="shared" si="67"/>
        <v>19</v>
      </c>
      <c r="DQ28" s="237">
        <f t="shared" si="68"/>
        <v>713200</v>
      </c>
      <c r="DR28" s="250">
        <v>8</v>
      </c>
      <c r="DS28" s="250">
        <v>4</v>
      </c>
      <c r="DT28" s="237">
        <f t="shared" si="69"/>
        <v>12</v>
      </c>
      <c r="DU28" s="250">
        <v>211900</v>
      </c>
      <c r="DV28" s="250">
        <v>7</v>
      </c>
      <c r="DW28" s="250">
        <v>0</v>
      </c>
      <c r="DX28" s="237">
        <f t="shared" si="70"/>
        <v>7</v>
      </c>
      <c r="DY28" s="250">
        <v>300190</v>
      </c>
      <c r="DZ28" s="237">
        <f t="shared" si="71"/>
        <v>15</v>
      </c>
      <c r="EA28" s="237">
        <f t="shared" si="72"/>
        <v>4</v>
      </c>
      <c r="EB28" s="237">
        <f t="shared" si="73"/>
        <v>19</v>
      </c>
      <c r="EC28" s="237">
        <f t="shared" si="74"/>
        <v>512090</v>
      </c>
      <c r="ED28" s="237">
        <v>7</v>
      </c>
      <c r="EE28" s="237">
        <v>6</v>
      </c>
      <c r="EF28" s="237">
        <f t="shared" si="75"/>
        <v>13</v>
      </c>
      <c r="EG28" s="237">
        <v>274800</v>
      </c>
      <c r="EH28" s="237">
        <v>7</v>
      </c>
      <c r="EI28" s="237">
        <v>0</v>
      </c>
      <c r="EJ28" s="237">
        <f t="shared" si="76"/>
        <v>7</v>
      </c>
      <c r="EK28" s="237">
        <v>387300</v>
      </c>
      <c r="EL28" s="237">
        <f t="shared" si="77"/>
        <v>14</v>
      </c>
      <c r="EM28" s="237">
        <f t="shared" si="78"/>
        <v>6</v>
      </c>
      <c r="EN28" s="237">
        <f t="shared" si="79"/>
        <v>20</v>
      </c>
      <c r="EO28" s="237">
        <f t="shared" si="80"/>
        <v>662100</v>
      </c>
      <c r="EP28" s="271">
        <f t="shared" si="81"/>
        <v>3363190</v>
      </c>
      <c r="EQ28" s="284">
        <f t="shared" si="82"/>
        <v>69</v>
      </c>
      <c r="ER28" s="271">
        <f t="shared" si="83"/>
        <v>106</v>
      </c>
      <c r="ES28" s="271"/>
      <c r="ET28" s="271"/>
    </row>
    <row r="29" spans="1:150" x14ac:dyDescent="0.3">
      <c r="A29" s="287" t="s">
        <v>131</v>
      </c>
      <c r="B29" s="253">
        <v>0</v>
      </c>
      <c r="C29" s="253">
        <v>0</v>
      </c>
      <c r="D29" s="253">
        <v>0</v>
      </c>
      <c r="E29" s="253">
        <v>0</v>
      </c>
      <c r="F29" s="253">
        <v>0</v>
      </c>
      <c r="G29" s="253">
        <v>0</v>
      </c>
      <c r="H29" s="253">
        <v>0</v>
      </c>
      <c r="I29" s="253">
        <v>0</v>
      </c>
      <c r="J29" s="253">
        <v>0</v>
      </c>
      <c r="K29" s="253">
        <v>0</v>
      </c>
      <c r="L29" s="253">
        <v>0</v>
      </c>
      <c r="M29" s="253">
        <v>0</v>
      </c>
      <c r="N29" s="253">
        <v>0</v>
      </c>
      <c r="O29" s="253">
        <v>0</v>
      </c>
      <c r="P29" s="253">
        <v>0</v>
      </c>
      <c r="Q29" s="253">
        <v>0</v>
      </c>
      <c r="R29" s="253">
        <v>0</v>
      </c>
      <c r="S29" s="253">
        <v>0</v>
      </c>
      <c r="T29" s="253">
        <v>0</v>
      </c>
      <c r="U29" s="253">
        <v>0</v>
      </c>
      <c r="V29" s="253">
        <v>0</v>
      </c>
      <c r="W29" s="253">
        <v>0</v>
      </c>
      <c r="X29" s="253">
        <v>0</v>
      </c>
      <c r="Y29" s="253">
        <v>0</v>
      </c>
      <c r="Z29" s="253">
        <v>0</v>
      </c>
      <c r="AA29" s="253">
        <v>0</v>
      </c>
      <c r="AB29" s="253">
        <v>0</v>
      </c>
      <c r="AC29" s="253">
        <v>0</v>
      </c>
      <c r="AD29" s="253">
        <v>0</v>
      </c>
      <c r="AE29" s="253">
        <v>0</v>
      </c>
      <c r="AF29" s="253">
        <v>0</v>
      </c>
      <c r="AG29" s="253">
        <v>0</v>
      </c>
      <c r="AH29" s="253">
        <v>0</v>
      </c>
      <c r="AI29" s="253">
        <v>0</v>
      </c>
      <c r="AJ29" s="253">
        <v>0</v>
      </c>
      <c r="AK29" s="253">
        <v>0</v>
      </c>
      <c r="AL29" s="253">
        <v>0</v>
      </c>
      <c r="AM29" s="253">
        <v>0</v>
      </c>
      <c r="AN29" s="253">
        <v>0</v>
      </c>
      <c r="AO29" s="253">
        <v>0</v>
      </c>
      <c r="AP29" s="253">
        <v>0</v>
      </c>
      <c r="AQ29" s="253">
        <v>0</v>
      </c>
      <c r="AR29" s="253">
        <v>0</v>
      </c>
      <c r="AS29" s="253">
        <v>0</v>
      </c>
      <c r="AT29" s="253">
        <v>0</v>
      </c>
      <c r="AU29" s="253">
        <v>0</v>
      </c>
      <c r="AV29" s="253">
        <v>0</v>
      </c>
      <c r="AW29" s="253">
        <v>0</v>
      </c>
      <c r="AX29" s="253">
        <v>0</v>
      </c>
      <c r="AY29" s="253">
        <v>0</v>
      </c>
      <c r="AZ29" s="253">
        <v>0</v>
      </c>
      <c r="BA29" s="253">
        <v>0</v>
      </c>
      <c r="BB29" s="253">
        <v>0</v>
      </c>
      <c r="BC29" s="253">
        <v>0</v>
      </c>
      <c r="BD29" s="253">
        <v>0</v>
      </c>
      <c r="BE29" s="253">
        <v>0</v>
      </c>
      <c r="BF29" s="253">
        <v>0</v>
      </c>
      <c r="BG29" s="253">
        <v>0</v>
      </c>
      <c r="BH29" s="253">
        <v>0</v>
      </c>
      <c r="BI29" s="253">
        <v>0</v>
      </c>
      <c r="BJ29" s="253">
        <v>0</v>
      </c>
      <c r="BK29" s="250">
        <v>0</v>
      </c>
      <c r="BL29" s="237">
        <v>0</v>
      </c>
      <c r="BM29" s="250">
        <v>0</v>
      </c>
      <c r="BN29" s="250">
        <v>0</v>
      </c>
      <c r="BO29" s="250">
        <v>0</v>
      </c>
      <c r="BP29" s="237">
        <v>0</v>
      </c>
      <c r="BQ29" s="250">
        <v>0</v>
      </c>
      <c r="BR29" s="250">
        <v>0</v>
      </c>
      <c r="BS29" s="250">
        <v>0</v>
      </c>
      <c r="BT29" s="237">
        <v>0</v>
      </c>
      <c r="BU29" s="237">
        <v>0</v>
      </c>
      <c r="BV29" s="253"/>
      <c r="BW29" s="250"/>
      <c r="BX29" s="237"/>
      <c r="BY29" s="250"/>
      <c r="BZ29" s="250"/>
      <c r="CA29" s="250"/>
      <c r="CB29" s="237"/>
      <c r="CC29" s="250"/>
      <c r="CD29" s="250"/>
      <c r="CE29" s="250"/>
      <c r="CF29" s="237"/>
      <c r="CG29" s="237">
        <v>0</v>
      </c>
      <c r="CH29" s="253">
        <v>15</v>
      </c>
      <c r="CI29" s="250">
        <v>22</v>
      </c>
      <c r="CJ29" s="237">
        <f t="shared" ref="CJ29" si="102">CH29+CI29</f>
        <v>37</v>
      </c>
      <c r="CK29" s="250">
        <v>1463700</v>
      </c>
      <c r="CL29" s="250">
        <v>1</v>
      </c>
      <c r="CM29" s="250">
        <v>2</v>
      </c>
      <c r="CN29" s="237">
        <f t="shared" ref="CN29" si="103">SUM(CL29:CM29)</f>
        <v>3</v>
      </c>
      <c r="CO29" s="250">
        <v>400700</v>
      </c>
      <c r="CP29" s="250">
        <f t="shared" ref="CP29" si="104">CH29+CL29</f>
        <v>16</v>
      </c>
      <c r="CQ29" s="250">
        <f t="shared" ref="CQ29" si="105">CI29+CM29</f>
        <v>24</v>
      </c>
      <c r="CR29" s="237">
        <f t="shared" ref="CR29" si="106">CP29+CQ29</f>
        <v>40</v>
      </c>
      <c r="CS29" s="237">
        <f t="shared" ref="CS29" si="107">CK29+CO29</f>
        <v>1864400</v>
      </c>
      <c r="CT29" s="253">
        <v>16</v>
      </c>
      <c r="CU29" s="250">
        <v>19</v>
      </c>
      <c r="CV29" s="237">
        <f t="shared" si="57"/>
        <v>35</v>
      </c>
      <c r="CW29" s="250">
        <v>1318280</v>
      </c>
      <c r="CX29" s="250">
        <v>12</v>
      </c>
      <c r="CY29" s="250">
        <v>0</v>
      </c>
      <c r="CZ29" s="237">
        <f t="shared" si="58"/>
        <v>12</v>
      </c>
      <c r="DA29" s="250">
        <v>1461260</v>
      </c>
      <c r="DB29" s="250">
        <f t="shared" si="59"/>
        <v>28</v>
      </c>
      <c r="DC29" s="250">
        <f t="shared" si="60"/>
        <v>19</v>
      </c>
      <c r="DD29" s="237">
        <f t="shared" si="61"/>
        <v>47</v>
      </c>
      <c r="DE29" s="237">
        <f t="shared" si="62"/>
        <v>2779540</v>
      </c>
      <c r="DF29" s="250">
        <v>10</v>
      </c>
      <c r="DG29" s="250">
        <v>18</v>
      </c>
      <c r="DH29" s="237">
        <f t="shared" si="63"/>
        <v>28</v>
      </c>
      <c r="DI29" s="250">
        <v>348000</v>
      </c>
      <c r="DJ29" s="250">
        <v>16</v>
      </c>
      <c r="DK29" s="250">
        <v>0</v>
      </c>
      <c r="DL29" s="237">
        <f t="shared" si="64"/>
        <v>16</v>
      </c>
      <c r="DM29" s="250">
        <v>1465500</v>
      </c>
      <c r="DN29" s="250">
        <f t="shared" si="65"/>
        <v>26</v>
      </c>
      <c r="DO29" s="250">
        <f t="shared" si="66"/>
        <v>18</v>
      </c>
      <c r="DP29" s="237">
        <f t="shared" si="67"/>
        <v>44</v>
      </c>
      <c r="DQ29" s="237">
        <f t="shared" si="68"/>
        <v>1813500</v>
      </c>
      <c r="DR29" s="250">
        <v>11</v>
      </c>
      <c r="DS29" s="250">
        <v>20</v>
      </c>
      <c r="DT29" s="237">
        <f t="shared" si="69"/>
        <v>31</v>
      </c>
      <c r="DU29" s="250">
        <v>628200</v>
      </c>
      <c r="DV29" s="250">
        <v>15</v>
      </c>
      <c r="DW29" s="250">
        <v>1</v>
      </c>
      <c r="DX29" s="237">
        <f t="shared" si="70"/>
        <v>16</v>
      </c>
      <c r="DY29" s="250">
        <v>1497300</v>
      </c>
      <c r="DZ29" s="237">
        <f t="shared" si="71"/>
        <v>26</v>
      </c>
      <c r="EA29" s="237">
        <f t="shared" si="72"/>
        <v>21</v>
      </c>
      <c r="EB29" s="237">
        <f t="shared" si="73"/>
        <v>47</v>
      </c>
      <c r="EC29" s="237">
        <f t="shared" si="74"/>
        <v>2125500</v>
      </c>
      <c r="ED29" s="237">
        <v>4</v>
      </c>
      <c r="EE29" s="237">
        <v>16</v>
      </c>
      <c r="EF29" s="237">
        <f t="shared" si="75"/>
        <v>20</v>
      </c>
      <c r="EG29" s="237">
        <v>257000</v>
      </c>
      <c r="EH29" s="237">
        <v>19</v>
      </c>
      <c r="EI29" s="237">
        <v>0</v>
      </c>
      <c r="EJ29" s="237">
        <f t="shared" si="76"/>
        <v>19</v>
      </c>
      <c r="EK29" s="237">
        <v>2278260</v>
      </c>
      <c r="EL29" s="237">
        <f t="shared" si="77"/>
        <v>23</v>
      </c>
      <c r="EM29" s="237">
        <f t="shared" si="78"/>
        <v>16</v>
      </c>
      <c r="EN29" s="237">
        <f t="shared" si="79"/>
        <v>39</v>
      </c>
      <c r="EO29" s="237">
        <f t="shared" si="80"/>
        <v>2535260</v>
      </c>
      <c r="EP29" s="271">
        <f t="shared" si="81"/>
        <v>11118200</v>
      </c>
      <c r="EQ29" s="284">
        <f t="shared" si="82"/>
        <v>115</v>
      </c>
      <c r="ER29" s="271">
        <f t="shared" si="83"/>
        <v>217</v>
      </c>
      <c r="ES29" s="271"/>
      <c r="ET29" s="271"/>
    </row>
    <row r="30" spans="1:150" x14ac:dyDescent="0.3">
      <c r="A30" s="287" t="s">
        <v>121</v>
      </c>
      <c r="B30" s="253">
        <v>0</v>
      </c>
      <c r="C30" s="253">
        <v>0</v>
      </c>
      <c r="D30" s="253">
        <v>0</v>
      </c>
      <c r="E30" s="253">
        <v>0</v>
      </c>
      <c r="F30" s="253">
        <v>0</v>
      </c>
      <c r="G30" s="253">
        <v>0</v>
      </c>
      <c r="H30" s="253">
        <v>0</v>
      </c>
      <c r="I30" s="253">
        <v>0</v>
      </c>
      <c r="J30" s="253">
        <v>0</v>
      </c>
      <c r="K30" s="253">
        <v>0</v>
      </c>
      <c r="L30" s="253">
        <v>0</v>
      </c>
      <c r="M30" s="253">
        <v>0</v>
      </c>
      <c r="N30" s="253">
        <v>0</v>
      </c>
      <c r="O30" s="253">
        <v>0</v>
      </c>
      <c r="P30" s="253">
        <v>0</v>
      </c>
      <c r="Q30" s="253">
        <v>0</v>
      </c>
      <c r="R30" s="253">
        <v>0</v>
      </c>
      <c r="S30" s="253">
        <v>0</v>
      </c>
      <c r="T30" s="253">
        <v>0</v>
      </c>
      <c r="U30" s="253">
        <v>0</v>
      </c>
      <c r="V30" s="253">
        <v>0</v>
      </c>
      <c r="W30" s="253">
        <v>0</v>
      </c>
      <c r="X30" s="253">
        <v>0</v>
      </c>
      <c r="Y30" s="253">
        <v>0</v>
      </c>
      <c r="Z30" s="253">
        <v>0</v>
      </c>
      <c r="AA30" s="253">
        <v>0</v>
      </c>
      <c r="AB30" s="253">
        <v>0</v>
      </c>
      <c r="AC30" s="253">
        <v>0</v>
      </c>
      <c r="AD30" s="253">
        <v>0</v>
      </c>
      <c r="AE30" s="253">
        <v>0</v>
      </c>
      <c r="AF30" s="253">
        <v>0</v>
      </c>
      <c r="AG30" s="253">
        <v>0</v>
      </c>
      <c r="AH30" s="253">
        <v>0</v>
      </c>
      <c r="AI30" s="253">
        <v>0</v>
      </c>
      <c r="AJ30" s="253">
        <v>0</v>
      </c>
      <c r="AK30" s="253">
        <v>0</v>
      </c>
      <c r="AL30" s="253">
        <v>0</v>
      </c>
      <c r="AM30" s="253">
        <v>0</v>
      </c>
      <c r="AN30" s="253">
        <v>0</v>
      </c>
      <c r="AO30" s="253">
        <v>0</v>
      </c>
      <c r="AP30" s="253">
        <v>0</v>
      </c>
      <c r="AQ30" s="253">
        <v>0</v>
      </c>
      <c r="AR30" s="253">
        <v>0</v>
      </c>
      <c r="AS30" s="253">
        <v>0</v>
      </c>
      <c r="AT30" s="253">
        <v>0</v>
      </c>
      <c r="AU30" s="253">
        <v>0</v>
      </c>
      <c r="AV30" s="253">
        <v>0</v>
      </c>
      <c r="AW30" s="253">
        <v>0</v>
      </c>
      <c r="AX30" s="253">
        <v>0</v>
      </c>
      <c r="AY30" s="253">
        <v>0</v>
      </c>
      <c r="AZ30" s="253">
        <v>0</v>
      </c>
      <c r="BA30" s="253">
        <v>0</v>
      </c>
      <c r="BB30" s="253">
        <v>0</v>
      </c>
      <c r="BC30" s="253">
        <v>0</v>
      </c>
      <c r="BD30" s="253">
        <v>0</v>
      </c>
      <c r="BE30" s="253">
        <v>0</v>
      </c>
      <c r="BF30" s="253">
        <v>0</v>
      </c>
      <c r="BG30" s="253">
        <v>0</v>
      </c>
      <c r="BH30" s="253">
        <v>0</v>
      </c>
      <c r="BI30" s="253">
        <v>0</v>
      </c>
      <c r="BJ30" s="253">
        <v>0</v>
      </c>
      <c r="BK30" s="250">
        <v>0</v>
      </c>
      <c r="BL30" s="237">
        <v>0</v>
      </c>
      <c r="BM30" s="250">
        <v>0</v>
      </c>
      <c r="BN30" s="250">
        <v>0</v>
      </c>
      <c r="BO30" s="250">
        <v>0</v>
      </c>
      <c r="BP30" s="237">
        <v>0</v>
      </c>
      <c r="BQ30" s="250">
        <v>0</v>
      </c>
      <c r="BR30" s="250">
        <v>0</v>
      </c>
      <c r="BS30" s="250">
        <v>0</v>
      </c>
      <c r="BT30" s="237">
        <v>0</v>
      </c>
      <c r="BU30" s="237">
        <v>0</v>
      </c>
      <c r="BV30" s="253">
        <v>0</v>
      </c>
      <c r="BW30" s="250">
        <v>0</v>
      </c>
      <c r="BX30" s="237">
        <v>0</v>
      </c>
      <c r="BY30" s="250">
        <v>0</v>
      </c>
      <c r="BZ30" s="250">
        <v>0</v>
      </c>
      <c r="CA30" s="250">
        <v>0</v>
      </c>
      <c r="CB30" s="237">
        <v>0</v>
      </c>
      <c r="CC30" s="250">
        <v>0</v>
      </c>
      <c r="CD30" s="250">
        <v>0</v>
      </c>
      <c r="CE30" s="250">
        <v>0</v>
      </c>
      <c r="CF30" s="237">
        <v>0</v>
      </c>
      <c r="CG30" s="237">
        <v>0</v>
      </c>
      <c r="CH30" s="253">
        <v>0</v>
      </c>
      <c r="CI30" s="250">
        <v>0</v>
      </c>
      <c r="CJ30" s="237">
        <v>0</v>
      </c>
      <c r="CK30" s="250">
        <v>0</v>
      </c>
      <c r="CL30" s="250">
        <v>0</v>
      </c>
      <c r="CM30" s="250">
        <v>0</v>
      </c>
      <c r="CN30" s="237">
        <v>0</v>
      </c>
      <c r="CO30" s="250">
        <v>0</v>
      </c>
      <c r="CP30" s="250">
        <v>0</v>
      </c>
      <c r="CQ30" s="250">
        <v>0</v>
      </c>
      <c r="CR30" s="237">
        <v>0</v>
      </c>
      <c r="CS30" s="237">
        <v>0</v>
      </c>
      <c r="CT30" s="253">
        <v>6</v>
      </c>
      <c r="CU30" s="250">
        <v>6</v>
      </c>
      <c r="CV30" s="237">
        <f t="shared" si="57"/>
        <v>12</v>
      </c>
      <c r="CW30" s="250">
        <v>625100</v>
      </c>
      <c r="CX30" s="250">
        <v>1</v>
      </c>
      <c r="CY30" s="250">
        <v>0</v>
      </c>
      <c r="CZ30" s="237">
        <f t="shared" si="58"/>
        <v>1</v>
      </c>
      <c r="DA30" s="250">
        <v>22500</v>
      </c>
      <c r="DB30" s="250">
        <f t="shared" si="59"/>
        <v>7</v>
      </c>
      <c r="DC30" s="250">
        <f t="shared" si="60"/>
        <v>6</v>
      </c>
      <c r="DD30" s="237">
        <f t="shared" si="61"/>
        <v>13</v>
      </c>
      <c r="DE30" s="237">
        <f t="shared" si="62"/>
        <v>647600</v>
      </c>
      <c r="DF30" s="250">
        <v>7</v>
      </c>
      <c r="DG30" s="250">
        <v>5</v>
      </c>
      <c r="DH30" s="237">
        <f t="shared" si="63"/>
        <v>12</v>
      </c>
      <c r="DI30" s="250">
        <v>253500</v>
      </c>
      <c r="DJ30" s="250">
        <v>7</v>
      </c>
      <c r="DK30" s="250">
        <v>0</v>
      </c>
      <c r="DL30" s="237">
        <f t="shared" si="64"/>
        <v>7</v>
      </c>
      <c r="DM30" s="250">
        <v>922500</v>
      </c>
      <c r="DN30" s="250">
        <f t="shared" si="65"/>
        <v>14</v>
      </c>
      <c r="DO30" s="250">
        <f t="shared" si="66"/>
        <v>5</v>
      </c>
      <c r="DP30" s="237">
        <f t="shared" si="67"/>
        <v>19</v>
      </c>
      <c r="DQ30" s="237">
        <f t="shared" si="68"/>
        <v>1176000</v>
      </c>
      <c r="DR30" s="250">
        <v>7</v>
      </c>
      <c r="DS30" s="250">
        <v>10</v>
      </c>
      <c r="DT30" s="237">
        <f t="shared" si="69"/>
        <v>17</v>
      </c>
      <c r="DU30" s="250">
        <v>284400</v>
      </c>
      <c r="DV30" s="250">
        <v>7</v>
      </c>
      <c r="DW30" s="250">
        <v>0</v>
      </c>
      <c r="DX30" s="237">
        <f t="shared" si="70"/>
        <v>7</v>
      </c>
      <c r="DY30" s="250">
        <v>430500</v>
      </c>
      <c r="DZ30" s="237">
        <f t="shared" si="71"/>
        <v>14</v>
      </c>
      <c r="EA30" s="237">
        <f t="shared" si="72"/>
        <v>10</v>
      </c>
      <c r="EB30" s="237">
        <f t="shared" si="73"/>
        <v>24</v>
      </c>
      <c r="EC30" s="237">
        <f t="shared" si="74"/>
        <v>714900</v>
      </c>
      <c r="ED30" s="237">
        <v>7</v>
      </c>
      <c r="EE30" s="237">
        <v>4</v>
      </c>
      <c r="EF30" s="237">
        <f t="shared" si="75"/>
        <v>11</v>
      </c>
      <c r="EG30" s="237">
        <v>230500</v>
      </c>
      <c r="EH30" s="237">
        <v>11</v>
      </c>
      <c r="EI30" s="237">
        <v>0</v>
      </c>
      <c r="EJ30" s="237">
        <f t="shared" si="76"/>
        <v>11</v>
      </c>
      <c r="EK30" s="237">
        <v>1077100</v>
      </c>
      <c r="EL30" s="237">
        <f t="shared" si="77"/>
        <v>18</v>
      </c>
      <c r="EM30" s="237">
        <f t="shared" si="78"/>
        <v>4</v>
      </c>
      <c r="EN30" s="237">
        <f t="shared" si="79"/>
        <v>22</v>
      </c>
      <c r="EO30" s="237">
        <f t="shared" si="80"/>
        <v>1307600</v>
      </c>
      <c r="EP30" s="271">
        <f t="shared" si="81"/>
        <v>3846100</v>
      </c>
      <c r="EQ30" s="284">
        <f t="shared" si="82"/>
        <v>46</v>
      </c>
      <c r="ER30" s="271">
        <f t="shared" si="83"/>
        <v>78</v>
      </c>
      <c r="ES30" s="271"/>
      <c r="ET30" s="271"/>
    </row>
    <row r="31" spans="1:150" x14ac:dyDescent="0.3">
      <c r="A31" s="287" t="s">
        <v>125</v>
      </c>
      <c r="B31" s="253">
        <v>0</v>
      </c>
      <c r="C31" s="253">
        <v>0</v>
      </c>
      <c r="D31" s="253">
        <v>0</v>
      </c>
      <c r="E31" s="253">
        <v>0</v>
      </c>
      <c r="F31" s="253">
        <v>0</v>
      </c>
      <c r="G31" s="253">
        <v>0</v>
      </c>
      <c r="H31" s="253">
        <v>0</v>
      </c>
      <c r="I31" s="253">
        <v>0</v>
      </c>
      <c r="J31" s="253">
        <v>0</v>
      </c>
      <c r="K31" s="253">
        <v>0</v>
      </c>
      <c r="L31" s="253">
        <v>0</v>
      </c>
      <c r="M31" s="253">
        <v>0</v>
      </c>
      <c r="N31" s="253">
        <v>0</v>
      </c>
      <c r="O31" s="253">
        <v>0</v>
      </c>
      <c r="P31" s="253">
        <v>0</v>
      </c>
      <c r="Q31" s="253">
        <v>0</v>
      </c>
      <c r="R31" s="253">
        <v>0</v>
      </c>
      <c r="S31" s="253">
        <v>0</v>
      </c>
      <c r="T31" s="253">
        <v>0</v>
      </c>
      <c r="U31" s="253">
        <v>0</v>
      </c>
      <c r="V31" s="253">
        <v>0</v>
      </c>
      <c r="W31" s="253">
        <v>0</v>
      </c>
      <c r="X31" s="253">
        <v>0</v>
      </c>
      <c r="Y31" s="253">
        <v>0</v>
      </c>
      <c r="Z31" s="253">
        <v>0</v>
      </c>
      <c r="AA31" s="253">
        <v>0</v>
      </c>
      <c r="AB31" s="253">
        <v>0</v>
      </c>
      <c r="AC31" s="253">
        <v>0</v>
      </c>
      <c r="AD31" s="253">
        <v>0</v>
      </c>
      <c r="AE31" s="253">
        <v>0</v>
      </c>
      <c r="AF31" s="253">
        <v>0</v>
      </c>
      <c r="AG31" s="253">
        <v>0</v>
      </c>
      <c r="AH31" s="253">
        <v>0</v>
      </c>
      <c r="AI31" s="253">
        <v>0</v>
      </c>
      <c r="AJ31" s="253">
        <v>0</v>
      </c>
      <c r="AK31" s="253">
        <v>0</v>
      </c>
      <c r="AL31" s="253">
        <v>0</v>
      </c>
      <c r="AM31" s="253">
        <v>0</v>
      </c>
      <c r="AN31" s="253">
        <v>0</v>
      </c>
      <c r="AO31" s="253">
        <v>0</v>
      </c>
      <c r="AP31" s="253">
        <v>0</v>
      </c>
      <c r="AQ31" s="253">
        <v>0</v>
      </c>
      <c r="AR31" s="253">
        <v>0</v>
      </c>
      <c r="AS31" s="253">
        <v>0</v>
      </c>
      <c r="AT31" s="253">
        <v>0</v>
      </c>
      <c r="AU31" s="253">
        <v>0</v>
      </c>
      <c r="AV31" s="253">
        <v>0</v>
      </c>
      <c r="AW31" s="253">
        <v>0</v>
      </c>
      <c r="AX31" s="253">
        <v>0</v>
      </c>
      <c r="AY31" s="253">
        <v>0</v>
      </c>
      <c r="AZ31" s="253">
        <v>0</v>
      </c>
      <c r="BA31" s="253">
        <v>0</v>
      </c>
      <c r="BB31" s="253">
        <v>0</v>
      </c>
      <c r="BC31" s="253">
        <v>0</v>
      </c>
      <c r="BD31" s="253">
        <v>0</v>
      </c>
      <c r="BE31" s="253">
        <v>0</v>
      </c>
      <c r="BF31" s="253">
        <v>0</v>
      </c>
      <c r="BG31" s="253">
        <v>0</v>
      </c>
      <c r="BH31" s="253">
        <v>0</v>
      </c>
      <c r="BI31" s="253">
        <v>0</v>
      </c>
      <c r="BJ31" s="253">
        <v>0</v>
      </c>
      <c r="BK31" s="250">
        <v>0</v>
      </c>
      <c r="BL31" s="237">
        <v>0</v>
      </c>
      <c r="BM31" s="250">
        <v>0</v>
      </c>
      <c r="BN31" s="250">
        <v>0</v>
      </c>
      <c r="BO31" s="250">
        <v>0</v>
      </c>
      <c r="BP31" s="237">
        <v>0</v>
      </c>
      <c r="BQ31" s="250">
        <v>0</v>
      </c>
      <c r="BR31" s="250">
        <v>0</v>
      </c>
      <c r="BS31" s="250">
        <v>0</v>
      </c>
      <c r="BT31" s="237">
        <v>0</v>
      </c>
      <c r="BU31" s="237">
        <v>0</v>
      </c>
      <c r="BV31" s="253">
        <v>0</v>
      </c>
      <c r="BW31" s="250">
        <v>0</v>
      </c>
      <c r="BX31" s="237">
        <v>0</v>
      </c>
      <c r="BY31" s="250">
        <v>0</v>
      </c>
      <c r="BZ31" s="250">
        <v>0</v>
      </c>
      <c r="CA31" s="250">
        <v>0</v>
      </c>
      <c r="CB31" s="237">
        <v>0</v>
      </c>
      <c r="CC31" s="250">
        <v>0</v>
      </c>
      <c r="CD31" s="250">
        <v>0</v>
      </c>
      <c r="CE31" s="250">
        <v>0</v>
      </c>
      <c r="CF31" s="237">
        <v>0</v>
      </c>
      <c r="CG31" s="237">
        <v>0</v>
      </c>
      <c r="CH31" s="253">
        <v>0</v>
      </c>
      <c r="CI31" s="250">
        <v>0</v>
      </c>
      <c r="CJ31" s="237">
        <v>0</v>
      </c>
      <c r="CK31" s="250">
        <v>0</v>
      </c>
      <c r="CL31" s="250">
        <v>0</v>
      </c>
      <c r="CM31" s="250">
        <v>0</v>
      </c>
      <c r="CN31" s="237">
        <v>0</v>
      </c>
      <c r="CO31" s="250">
        <v>0</v>
      </c>
      <c r="CP31" s="250">
        <v>0</v>
      </c>
      <c r="CQ31" s="250">
        <v>0</v>
      </c>
      <c r="CR31" s="237">
        <v>0</v>
      </c>
      <c r="CS31" s="237">
        <v>0</v>
      </c>
      <c r="CT31" s="253">
        <v>0</v>
      </c>
      <c r="CU31" s="250">
        <v>0</v>
      </c>
      <c r="CV31" s="237">
        <v>0</v>
      </c>
      <c r="CW31" s="250">
        <v>0</v>
      </c>
      <c r="CX31" s="250">
        <v>0</v>
      </c>
      <c r="CY31" s="250">
        <v>0</v>
      </c>
      <c r="CZ31" s="237">
        <v>0</v>
      </c>
      <c r="DA31" s="250">
        <v>0</v>
      </c>
      <c r="DB31" s="250">
        <v>0</v>
      </c>
      <c r="DC31" s="250">
        <v>0</v>
      </c>
      <c r="DD31" s="237">
        <v>0</v>
      </c>
      <c r="DE31" s="237">
        <v>0</v>
      </c>
      <c r="DF31" s="250">
        <v>0</v>
      </c>
      <c r="DG31" s="250">
        <v>0</v>
      </c>
      <c r="DH31" s="237">
        <v>0</v>
      </c>
      <c r="DI31" s="250">
        <v>0</v>
      </c>
      <c r="DJ31" s="250">
        <v>0</v>
      </c>
      <c r="DK31" s="250">
        <v>0</v>
      </c>
      <c r="DL31" s="237">
        <v>0</v>
      </c>
      <c r="DM31" s="250">
        <v>0</v>
      </c>
      <c r="DN31" s="250">
        <v>0</v>
      </c>
      <c r="DO31" s="250">
        <v>0</v>
      </c>
      <c r="DP31" s="237">
        <v>0</v>
      </c>
      <c r="DQ31" s="237">
        <v>0</v>
      </c>
      <c r="DR31" s="250">
        <v>0</v>
      </c>
      <c r="DS31" s="250">
        <v>0</v>
      </c>
      <c r="DT31" s="237">
        <v>0</v>
      </c>
      <c r="DU31" s="250">
        <v>0</v>
      </c>
      <c r="DV31" s="250">
        <v>0</v>
      </c>
      <c r="DW31" s="250">
        <v>0</v>
      </c>
      <c r="DX31" s="237">
        <v>0</v>
      </c>
      <c r="DY31" s="250">
        <v>0</v>
      </c>
      <c r="DZ31" s="237">
        <v>0</v>
      </c>
      <c r="EA31" s="237">
        <v>0</v>
      </c>
      <c r="EB31" s="237">
        <v>0</v>
      </c>
      <c r="EC31" s="237">
        <v>0</v>
      </c>
      <c r="ED31" s="237">
        <v>0</v>
      </c>
      <c r="EE31" s="237">
        <v>1</v>
      </c>
      <c r="EF31" s="237">
        <f t="shared" si="75"/>
        <v>1</v>
      </c>
      <c r="EG31" s="237">
        <v>1200</v>
      </c>
      <c r="EH31" s="237">
        <v>1</v>
      </c>
      <c r="EI31" s="237">
        <v>0</v>
      </c>
      <c r="EJ31" s="237">
        <f t="shared" si="76"/>
        <v>1</v>
      </c>
      <c r="EK31" s="237">
        <v>201600</v>
      </c>
      <c r="EL31" s="237">
        <f t="shared" si="77"/>
        <v>1</v>
      </c>
      <c r="EM31" s="237">
        <f t="shared" si="78"/>
        <v>1</v>
      </c>
      <c r="EN31" s="237">
        <f t="shared" si="79"/>
        <v>2</v>
      </c>
      <c r="EO31" s="237">
        <f t="shared" si="80"/>
        <v>202800</v>
      </c>
      <c r="EP31" s="271">
        <f t="shared" si="81"/>
        <v>202800</v>
      </c>
      <c r="EQ31" s="284">
        <f t="shared" si="82"/>
        <v>1</v>
      </c>
      <c r="ER31" s="271">
        <f t="shared" si="83"/>
        <v>2</v>
      </c>
      <c r="ES31" s="271"/>
      <c r="ET31" s="271"/>
    </row>
    <row r="32" spans="1:150" x14ac:dyDescent="0.3">
      <c r="A32" s="279" t="s">
        <v>14</v>
      </c>
      <c r="B32" s="277">
        <f>SUM(B4:B31)</f>
        <v>314</v>
      </c>
      <c r="C32" s="277">
        <f t="shared" ref="C32:BN32" si="108">SUM(C4:C31)</f>
        <v>357</v>
      </c>
      <c r="D32" s="277">
        <f t="shared" si="108"/>
        <v>671</v>
      </c>
      <c r="E32" s="277">
        <f t="shared" si="108"/>
        <v>24499330</v>
      </c>
      <c r="F32" s="277">
        <f t="shared" si="108"/>
        <v>491</v>
      </c>
      <c r="G32" s="277">
        <f t="shared" si="108"/>
        <v>11</v>
      </c>
      <c r="H32" s="277">
        <f t="shared" si="108"/>
        <v>502</v>
      </c>
      <c r="I32" s="277">
        <f t="shared" si="108"/>
        <v>45661420</v>
      </c>
      <c r="J32" s="277">
        <f t="shared" si="108"/>
        <v>805</v>
      </c>
      <c r="K32" s="277">
        <f t="shared" si="108"/>
        <v>368</v>
      </c>
      <c r="L32" s="277">
        <f t="shared" si="108"/>
        <v>1173</v>
      </c>
      <c r="M32" s="277">
        <f t="shared" si="108"/>
        <v>70160750</v>
      </c>
      <c r="N32" s="277">
        <f t="shared" si="108"/>
        <v>399</v>
      </c>
      <c r="O32" s="277">
        <f t="shared" si="108"/>
        <v>367</v>
      </c>
      <c r="P32" s="277">
        <f t="shared" si="108"/>
        <v>766</v>
      </c>
      <c r="Q32" s="277">
        <f t="shared" si="108"/>
        <v>28113651</v>
      </c>
      <c r="R32" s="277">
        <f t="shared" si="108"/>
        <v>533</v>
      </c>
      <c r="S32" s="277">
        <f t="shared" si="108"/>
        <v>19</v>
      </c>
      <c r="T32" s="277">
        <f t="shared" si="108"/>
        <v>552</v>
      </c>
      <c r="U32" s="277">
        <f t="shared" si="108"/>
        <v>51844613</v>
      </c>
      <c r="V32" s="277">
        <f t="shared" si="108"/>
        <v>932</v>
      </c>
      <c r="W32" s="277">
        <f t="shared" si="108"/>
        <v>386</v>
      </c>
      <c r="X32" s="277">
        <f t="shared" si="108"/>
        <v>1318</v>
      </c>
      <c r="Y32" s="277">
        <f t="shared" si="108"/>
        <v>79958264</v>
      </c>
      <c r="Z32" s="277">
        <f t="shared" si="108"/>
        <v>392</v>
      </c>
      <c r="AA32" s="277">
        <f t="shared" si="108"/>
        <v>412</v>
      </c>
      <c r="AB32" s="277">
        <f t="shared" si="108"/>
        <v>804</v>
      </c>
      <c r="AC32" s="277">
        <f t="shared" si="108"/>
        <v>24586010</v>
      </c>
      <c r="AD32" s="277">
        <f t="shared" si="108"/>
        <v>539</v>
      </c>
      <c r="AE32" s="277">
        <f t="shared" si="108"/>
        <v>16</v>
      </c>
      <c r="AF32" s="277">
        <f t="shared" si="108"/>
        <v>555</v>
      </c>
      <c r="AG32" s="277">
        <f t="shared" si="108"/>
        <v>48555083</v>
      </c>
      <c r="AH32" s="277">
        <f t="shared" si="108"/>
        <v>931</v>
      </c>
      <c r="AI32" s="277">
        <f t="shared" si="108"/>
        <v>428</v>
      </c>
      <c r="AJ32" s="277">
        <f t="shared" si="108"/>
        <v>1359</v>
      </c>
      <c r="AK32" s="277">
        <f t="shared" si="108"/>
        <v>73141093</v>
      </c>
      <c r="AL32" s="277">
        <f t="shared" si="108"/>
        <v>435</v>
      </c>
      <c r="AM32" s="277">
        <f t="shared" si="108"/>
        <v>388</v>
      </c>
      <c r="AN32" s="277">
        <f t="shared" si="108"/>
        <v>823</v>
      </c>
      <c r="AO32" s="277">
        <f t="shared" si="108"/>
        <v>25064222.07</v>
      </c>
      <c r="AP32" s="277">
        <f t="shared" si="108"/>
        <v>607</v>
      </c>
      <c r="AQ32" s="277">
        <f t="shared" si="108"/>
        <v>13</v>
      </c>
      <c r="AR32" s="277">
        <f t="shared" si="108"/>
        <v>620</v>
      </c>
      <c r="AS32" s="277">
        <f t="shared" si="108"/>
        <v>54067542.93999999</v>
      </c>
      <c r="AT32" s="277">
        <f t="shared" si="108"/>
        <v>1042</v>
      </c>
      <c r="AU32" s="277">
        <f t="shared" si="108"/>
        <v>401</v>
      </c>
      <c r="AV32" s="277">
        <f t="shared" si="108"/>
        <v>1443</v>
      </c>
      <c r="AW32" s="277">
        <f t="shared" si="108"/>
        <v>79131765.010000005</v>
      </c>
      <c r="AX32" s="277">
        <f t="shared" si="108"/>
        <v>460</v>
      </c>
      <c r="AY32" s="277">
        <f t="shared" si="108"/>
        <v>515</v>
      </c>
      <c r="AZ32" s="277">
        <f t="shared" si="108"/>
        <v>975</v>
      </c>
      <c r="BA32" s="277">
        <f t="shared" si="108"/>
        <v>27029958</v>
      </c>
      <c r="BB32" s="277">
        <f t="shared" si="108"/>
        <v>636</v>
      </c>
      <c r="BC32" s="277">
        <f t="shared" si="108"/>
        <v>15</v>
      </c>
      <c r="BD32" s="277">
        <f t="shared" si="108"/>
        <v>651</v>
      </c>
      <c r="BE32" s="277">
        <f t="shared" si="108"/>
        <v>51632419</v>
      </c>
      <c r="BF32" s="277">
        <f t="shared" si="108"/>
        <v>1096</v>
      </c>
      <c r="BG32" s="277">
        <f t="shared" si="108"/>
        <v>530</v>
      </c>
      <c r="BH32" s="277">
        <f t="shared" si="108"/>
        <v>1626</v>
      </c>
      <c r="BI32" s="277">
        <f t="shared" si="108"/>
        <v>78662377</v>
      </c>
      <c r="BJ32" s="277">
        <f t="shared" si="108"/>
        <v>511</v>
      </c>
      <c r="BK32" s="277">
        <f t="shared" si="108"/>
        <v>498</v>
      </c>
      <c r="BL32" s="277">
        <f t="shared" si="108"/>
        <v>1009</v>
      </c>
      <c r="BM32" s="277">
        <f t="shared" si="108"/>
        <v>29531110</v>
      </c>
      <c r="BN32" s="277">
        <f t="shared" si="108"/>
        <v>721</v>
      </c>
      <c r="BO32" s="277">
        <f t="shared" ref="BO32:DZ32" si="109">SUM(BO4:BO31)</f>
        <v>19</v>
      </c>
      <c r="BP32" s="277">
        <f t="shared" si="109"/>
        <v>740</v>
      </c>
      <c r="BQ32" s="277">
        <f t="shared" si="109"/>
        <v>59820365</v>
      </c>
      <c r="BR32" s="277">
        <f t="shared" si="109"/>
        <v>1232</v>
      </c>
      <c r="BS32" s="277">
        <f t="shared" si="109"/>
        <v>517</v>
      </c>
      <c r="BT32" s="277">
        <f t="shared" si="109"/>
        <v>1749</v>
      </c>
      <c r="BU32" s="277">
        <f t="shared" si="109"/>
        <v>89351475</v>
      </c>
      <c r="BV32" s="277">
        <f t="shared" si="109"/>
        <v>448</v>
      </c>
      <c r="BW32" s="277">
        <f t="shared" si="109"/>
        <v>520</v>
      </c>
      <c r="BX32" s="277">
        <f t="shared" si="109"/>
        <v>968</v>
      </c>
      <c r="BY32" s="277">
        <f t="shared" si="109"/>
        <v>27153420</v>
      </c>
      <c r="BZ32" s="277">
        <f t="shared" si="109"/>
        <v>779</v>
      </c>
      <c r="CA32" s="277">
        <f t="shared" si="109"/>
        <v>16</v>
      </c>
      <c r="CB32" s="277">
        <f t="shared" si="109"/>
        <v>795</v>
      </c>
      <c r="CC32" s="277">
        <f t="shared" si="109"/>
        <v>63368604</v>
      </c>
      <c r="CD32" s="277">
        <f t="shared" si="109"/>
        <v>1227</v>
      </c>
      <c r="CE32" s="277">
        <f t="shared" si="109"/>
        <v>536</v>
      </c>
      <c r="CF32" s="277">
        <f t="shared" si="109"/>
        <v>1763</v>
      </c>
      <c r="CG32" s="277">
        <f t="shared" si="109"/>
        <v>90522024</v>
      </c>
      <c r="CH32" s="277">
        <f t="shared" si="109"/>
        <v>459</v>
      </c>
      <c r="CI32" s="277">
        <f t="shared" si="109"/>
        <v>505</v>
      </c>
      <c r="CJ32" s="277">
        <f t="shared" si="109"/>
        <v>964</v>
      </c>
      <c r="CK32" s="277">
        <f t="shared" si="109"/>
        <v>27072720</v>
      </c>
      <c r="CL32" s="277">
        <f t="shared" si="109"/>
        <v>743</v>
      </c>
      <c r="CM32" s="277">
        <f t="shared" si="109"/>
        <v>22</v>
      </c>
      <c r="CN32" s="277">
        <f t="shared" si="109"/>
        <v>765</v>
      </c>
      <c r="CO32" s="277">
        <f t="shared" si="109"/>
        <v>56625468</v>
      </c>
      <c r="CP32" s="277">
        <f t="shared" si="109"/>
        <v>1202</v>
      </c>
      <c r="CQ32" s="277">
        <f t="shared" si="109"/>
        <v>527</v>
      </c>
      <c r="CR32" s="277">
        <f t="shared" si="109"/>
        <v>1729</v>
      </c>
      <c r="CS32" s="277">
        <f t="shared" si="109"/>
        <v>83698188</v>
      </c>
      <c r="CT32" s="277">
        <f t="shared" si="109"/>
        <v>430</v>
      </c>
      <c r="CU32" s="277">
        <f t="shared" si="109"/>
        <v>454</v>
      </c>
      <c r="CV32" s="277">
        <f t="shared" si="109"/>
        <v>884</v>
      </c>
      <c r="CW32" s="277">
        <f t="shared" si="109"/>
        <v>23908065</v>
      </c>
      <c r="CX32" s="277">
        <f t="shared" si="109"/>
        <v>827</v>
      </c>
      <c r="CY32" s="277">
        <f t="shared" si="109"/>
        <v>10</v>
      </c>
      <c r="CZ32" s="277">
        <f t="shared" si="109"/>
        <v>837</v>
      </c>
      <c r="DA32" s="277">
        <f t="shared" si="109"/>
        <v>66305361</v>
      </c>
      <c r="DB32" s="277">
        <f t="shared" si="109"/>
        <v>1257</v>
      </c>
      <c r="DC32" s="277">
        <f t="shared" si="109"/>
        <v>464</v>
      </c>
      <c r="DD32" s="277">
        <f t="shared" si="109"/>
        <v>1721</v>
      </c>
      <c r="DE32" s="277">
        <f t="shared" si="109"/>
        <v>90213426</v>
      </c>
      <c r="DF32" s="277">
        <f t="shared" si="109"/>
        <v>414</v>
      </c>
      <c r="DG32" s="277">
        <f t="shared" si="109"/>
        <v>424</v>
      </c>
      <c r="DH32" s="277">
        <f t="shared" si="109"/>
        <v>838</v>
      </c>
      <c r="DI32" s="277">
        <f t="shared" si="109"/>
        <v>26174420</v>
      </c>
      <c r="DJ32" s="277">
        <f t="shared" si="109"/>
        <v>786</v>
      </c>
      <c r="DK32" s="277">
        <f t="shared" si="109"/>
        <v>32</v>
      </c>
      <c r="DL32" s="277">
        <f t="shared" si="109"/>
        <v>818</v>
      </c>
      <c r="DM32" s="277">
        <f t="shared" si="109"/>
        <v>62703880</v>
      </c>
      <c r="DN32" s="277">
        <f t="shared" si="109"/>
        <v>1200</v>
      </c>
      <c r="DO32" s="277">
        <f t="shared" si="109"/>
        <v>456</v>
      </c>
      <c r="DP32" s="277">
        <f t="shared" si="109"/>
        <v>1656</v>
      </c>
      <c r="DQ32" s="277">
        <f t="shared" si="109"/>
        <v>88878300</v>
      </c>
      <c r="DR32" s="277">
        <f t="shared" si="109"/>
        <v>420</v>
      </c>
      <c r="DS32" s="277">
        <f t="shared" si="109"/>
        <v>474</v>
      </c>
      <c r="DT32" s="277">
        <f t="shared" si="109"/>
        <v>894</v>
      </c>
      <c r="DU32" s="277">
        <f t="shared" si="109"/>
        <v>22559430</v>
      </c>
      <c r="DV32" s="277">
        <f t="shared" si="109"/>
        <v>750</v>
      </c>
      <c r="DW32" s="277">
        <f t="shared" si="109"/>
        <v>27</v>
      </c>
      <c r="DX32" s="277">
        <f t="shared" si="109"/>
        <v>777</v>
      </c>
      <c r="DY32" s="277">
        <f t="shared" si="109"/>
        <v>58722238</v>
      </c>
      <c r="DZ32" s="277">
        <f t="shared" si="109"/>
        <v>1170</v>
      </c>
      <c r="EA32" s="277">
        <f t="shared" ref="EA32:EC32" si="110">SUM(EA4:EA31)</f>
        <v>501</v>
      </c>
      <c r="EB32" s="277">
        <f t="shared" si="110"/>
        <v>1671</v>
      </c>
      <c r="EC32" s="277">
        <f t="shared" si="110"/>
        <v>81281668</v>
      </c>
      <c r="ED32" s="277">
        <f t="shared" ref="ED32" si="111">SUM(ED4:ED31)</f>
        <v>369</v>
      </c>
      <c r="EE32" s="277">
        <f t="shared" ref="EE32" si="112">SUM(EE4:EE31)</f>
        <v>438</v>
      </c>
      <c r="EF32" s="277">
        <f t="shared" ref="EF32" si="113">SUM(EF4:EF31)</f>
        <v>807</v>
      </c>
      <c r="EG32" s="277">
        <f t="shared" ref="EG32" si="114">SUM(EG4:EG31)</f>
        <v>20634628</v>
      </c>
      <c r="EH32" s="277">
        <f t="shared" ref="EH32" si="115">SUM(EH4:EH31)</f>
        <v>730</v>
      </c>
      <c r="EI32" s="277">
        <f t="shared" ref="EI32" si="116">SUM(EI4:EI31)</f>
        <v>36</v>
      </c>
      <c r="EJ32" s="277">
        <f t="shared" ref="EJ32" si="117">SUM(EJ4:EJ31)</f>
        <v>766</v>
      </c>
      <c r="EK32" s="277">
        <f t="shared" ref="EK32" si="118">SUM(EK4:EK31)</f>
        <v>61046121</v>
      </c>
      <c r="EL32" s="277">
        <f t="shared" ref="EL32" si="119">SUM(EL4:EL31)</f>
        <v>1099</v>
      </c>
      <c r="EM32" s="277">
        <f t="shared" ref="EM32" si="120">SUM(EM4:EM31)</f>
        <v>474</v>
      </c>
      <c r="EN32" s="277">
        <f t="shared" ref="EN32" si="121">SUM(EN4:EN31)</f>
        <v>1573</v>
      </c>
      <c r="EO32" s="277">
        <f t="shared" ref="EO32" si="122">SUM(EO4:EO31)</f>
        <v>81680749</v>
      </c>
      <c r="EP32" s="288">
        <f t="shared" ref="EP32" si="123">SUM(EP4:EP31)</f>
        <v>986680079.00999987</v>
      </c>
      <c r="EQ32" s="277">
        <f>SUM(EQ4:EQ31)</f>
        <v>12824</v>
      </c>
      <c r="ER32" s="277">
        <f t="shared" ref="ER32" si="124">SUM(ER4:ER31)</f>
        <v>18781</v>
      </c>
      <c r="ES32" s="271"/>
      <c r="ET32" s="271"/>
    </row>
    <row r="33" spans="1:150" x14ac:dyDescent="0.3">
      <c r="A33" s="268"/>
      <c r="B33" s="268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8"/>
      <c r="BJ33" s="268"/>
      <c r="BK33" s="268"/>
      <c r="BL33" s="268"/>
      <c r="BM33" s="268"/>
      <c r="BN33" s="268"/>
      <c r="BO33" s="268"/>
      <c r="BP33" s="268"/>
      <c r="BQ33" s="268"/>
      <c r="BR33" s="268"/>
      <c r="BS33" s="268"/>
      <c r="BT33" s="268"/>
      <c r="BU33" s="267">
        <f>M32+Y32+AK32+AW32+BI32+BU32</f>
        <v>470405724.00999999</v>
      </c>
      <c r="BV33" s="268"/>
      <c r="BW33" s="268"/>
      <c r="BX33" s="268"/>
      <c r="BY33" s="268"/>
      <c r="BZ33" s="268"/>
      <c r="CA33" s="268"/>
      <c r="CB33" s="268"/>
      <c r="CC33" s="268"/>
      <c r="CD33" s="268"/>
      <c r="CE33" s="268"/>
      <c r="CF33" s="268"/>
      <c r="CG33" s="268"/>
      <c r="CH33" s="268"/>
      <c r="CI33" s="268"/>
      <c r="CJ33" s="268"/>
      <c r="CK33" s="268"/>
      <c r="CL33" s="268"/>
      <c r="CM33" s="268"/>
      <c r="CN33" s="268"/>
      <c r="CO33" s="268"/>
      <c r="CP33" s="268"/>
      <c r="CQ33" s="268"/>
      <c r="CR33" s="268"/>
      <c r="CS33" s="268">
        <f>BU33+CG32+CS32</f>
        <v>644625936.00999999</v>
      </c>
      <c r="CT33" s="268"/>
      <c r="CU33" s="268"/>
      <c r="CV33" s="268"/>
      <c r="CW33" s="268"/>
      <c r="CX33" s="268"/>
      <c r="CY33" s="268"/>
      <c r="CZ33" s="268"/>
      <c r="DA33" s="268"/>
      <c r="DB33" s="268"/>
      <c r="DC33" s="268"/>
      <c r="DD33" s="268"/>
      <c r="DE33" s="268">
        <f>CS33+DE32</f>
        <v>734839362.00999999</v>
      </c>
      <c r="DF33" s="268"/>
      <c r="DG33" s="268"/>
      <c r="DH33" s="268"/>
      <c r="DI33" s="268"/>
      <c r="DJ33" s="268"/>
      <c r="DK33" s="268"/>
      <c r="DL33" s="268"/>
      <c r="DM33" s="268"/>
      <c r="DN33" s="268"/>
      <c r="DO33" s="268"/>
      <c r="DP33" s="268"/>
      <c r="DQ33" s="268"/>
      <c r="DR33" s="271"/>
      <c r="DS33" s="271"/>
      <c r="DT33" s="271"/>
      <c r="DU33" s="271"/>
      <c r="DV33" s="271"/>
      <c r="DW33" s="271"/>
      <c r="DX33" s="271"/>
      <c r="DY33" s="271"/>
      <c r="DZ33" s="271"/>
      <c r="EA33" s="271"/>
      <c r="EB33" s="271"/>
      <c r="EC33" s="271"/>
      <c r="ED33" s="271"/>
      <c r="EE33" s="271"/>
      <c r="EF33" s="271"/>
      <c r="EG33" s="271"/>
      <c r="EH33" s="271"/>
      <c r="EI33" s="271"/>
      <c r="EJ33" s="271"/>
      <c r="EK33" s="271"/>
      <c r="EL33" s="271"/>
      <c r="EM33" s="271"/>
      <c r="EN33" s="271"/>
      <c r="EO33" s="271"/>
      <c r="EP33" s="271"/>
      <c r="EQ33" s="271"/>
      <c r="ER33" s="271"/>
      <c r="ES33" s="271"/>
      <c r="ET33" s="271"/>
    </row>
  </sheetData>
  <mergeCells count="48">
    <mergeCell ref="ED1:EO1"/>
    <mergeCell ref="ED2:EG2"/>
    <mergeCell ref="EH2:EK2"/>
    <mergeCell ref="EL2:EO2"/>
    <mergeCell ref="CT1:DE1"/>
    <mergeCell ref="CT2:CW2"/>
    <mergeCell ref="CX2:DA2"/>
    <mergeCell ref="DB2:DE2"/>
    <mergeCell ref="DR1:EC1"/>
    <mergeCell ref="DR2:DU2"/>
    <mergeCell ref="DV2:DY2"/>
    <mergeCell ref="DZ2:EC2"/>
    <mergeCell ref="DF1:DQ1"/>
    <mergeCell ref="DF2:DI2"/>
    <mergeCell ref="DJ2:DM2"/>
    <mergeCell ref="DN2:DQ2"/>
    <mergeCell ref="BV1:CG1"/>
    <mergeCell ref="BV2:BY2"/>
    <mergeCell ref="BZ2:CC2"/>
    <mergeCell ref="CD2:CG2"/>
    <mergeCell ref="CH1:CS1"/>
    <mergeCell ref="CH2:CK2"/>
    <mergeCell ref="CL2:CO2"/>
    <mergeCell ref="CP2:CS2"/>
    <mergeCell ref="B1:M1"/>
    <mergeCell ref="B2:E2"/>
    <mergeCell ref="F2:I2"/>
    <mergeCell ref="J2:M2"/>
    <mergeCell ref="N1:Y1"/>
    <mergeCell ref="N2:Q2"/>
    <mergeCell ref="R2:U2"/>
    <mergeCell ref="V2:Y2"/>
    <mergeCell ref="Z1:AK1"/>
    <mergeCell ref="Z2:AC2"/>
    <mergeCell ref="AD2:AG2"/>
    <mergeCell ref="AH2:AK2"/>
    <mergeCell ref="BJ1:BU1"/>
    <mergeCell ref="BJ2:BM2"/>
    <mergeCell ref="BN2:BQ2"/>
    <mergeCell ref="BR2:BU2"/>
    <mergeCell ref="AX1:BI1"/>
    <mergeCell ref="AX2:BA2"/>
    <mergeCell ref="BB2:BE2"/>
    <mergeCell ref="BF2:BI2"/>
    <mergeCell ref="AL1:AW1"/>
    <mergeCell ref="AL2:AO2"/>
    <mergeCell ref="AP2:AS2"/>
    <mergeCell ref="AT2:AW2"/>
  </mergeCells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34F2-AEB8-40CF-BDF8-3942156AEC3D}">
  <sheetPr codeName="Sheet3"/>
  <dimension ref="A2:BS42"/>
  <sheetViews>
    <sheetView zoomScale="90" zoomScaleNormal="90" workbookViewId="0">
      <selection activeCell="AD20" sqref="AD20"/>
    </sheetView>
  </sheetViews>
  <sheetFormatPr defaultRowHeight="14.4" x14ac:dyDescent="0.3"/>
  <cols>
    <col min="1" max="1" width="18.5546875" bestFit="1" customWidth="1"/>
    <col min="2" max="2" width="5.44140625" bestFit="1" customWidth="1"/>
    <col min="3" max="3" width="6.5546875" bestFit="1" customWidth="1"/>
    <col min="4" max="4" width="5.77734375" bestFit="1" customWidth="1"/>
    <col min="5" max="5" width="5.33203125" bestFit="1" customWidth="1"/>
    <col min="6" max="6" width="5.77734375" bestFit="1" customWidth="1"/>
    <col min="7" max="7" width="4.88671875" bestFit="1" customWidth="1"/>
    <col min="8" max="8" width="5.33203125" bestFit="1" customWidth="1"/>
    <col min="9" max="9" width="5.77734375" bestFit="1" customWidth="1"/>
    <col min="10" max="10" width="5.33203125" bestFit="1" customWidth="1"/>
    <col min="11" max="11" width="5.21875" bestFit="1" customWidth="1"/>
    <col min="12" max="12" width="5.5546875" bestFit="1" customWidth="1"/>
    <col min="13" max="13" width="6.109375" bestFit="1" customWidth="1"/>
    <col min="14" max="14" width="7.21875" bestFit="1" customWidth="1"/>
    <col min="15" max="15" width="5.44140625" bestFit="1" customWidth="1"/>
    <col min="16" max="16" width="6.5546875" bestFit="1" customWidth="1"/>
    <col min="17" max="17" width="5.77734375" bestFit="1" customWidth="1"/>
    <col min="18" max="18" width="5.33203125" bestFit="1" customWidth="1"/>
    <col min="19" max="19" width="5.77734375" bestFit="1" customWidth="1"/>
    <col min="20" max="20" width="4.88671875" bestFit="1" customWidth="1"/>
    <col min="21" max="21" width="5.33203125" bestFit="1" customWidth="1"/>
    <col min="22" max="22" width="5.77734375" bestFit="1" customWidth="1"/>
    <col min="23" max="23" width="5.33203125" bestFit="1" customWidth="1"/>
    <col min="24" max="24" width="5.21875" bestFit="1" customWidth="1"/>
    <col min="25" max="25" width="5" bestFit="1" customWidth="1"/>
    <col min="26" max="26" width="6.109375" bestFit="1" customWidth="1"/>
    <col min="27" max="27" width="7.21875" bestFit="1" customWidth="1"/>
    <col min="28" max="28" width="5.44140625" bestFit="1" customWidth="1"/>
    <col min="29" max="29" width="6.5546875" bestFit="1" customWidth="1"/>
    <col min="30" max="30" width="5.77734375" bestFit="1" customWidth="1"/>
    <col min="31" max="31" width="5.5546875" bestFit="1" customWidth="1"/>
    <col min="32" max="32" width="5.77734375" bestFit="1" customWidth="1"/>
    <col min="33" max="34" width="5.5546875" bestFit="1" customWidth="1"/>
    <col min="35" max="35" width="5.77734375" bestFit="1" customWidth="1"/>
    <col min="36" max="38" width="5.5546875" bestFit="1" customWidth="1"/>
    <col min="39" max="39" width="6.109375" bestFit="1" customWidth="1"/>
    <col min="40" max="40" width="7.21875" bestFit="1" customWidth="1"/>
    <col min="41" max="41" width="7.5546875" customWidth="1"/>
    <col min="42" max="42" width="18.5546875" bestFit="1" customWidth="1"/>
    <col min="43" max="43" width="5.44140625" bestFit="1" customWidth="1"/>
    <col min="44" max="44" width="6.5546875" bestFit="1" customWidth="1"/>
    <col min="45" max="45" width="5.77734375" bestFit="1" customWidth="1"/>
    <col min="46" max="46" width="5.33203125" bestFit="1" customWidth="1"/>
    <col min="47" max="47" width="5.77734375" bestFit="1" customWidth="1"/>
    <col min="48" max="48" width="4.88671875" bestFit="1" customWidth="1"/>
    <col min="49" max="49" width="5.33203125" bestFit="1" customWidth="1"/>
    <col min="50" max="50" width="5.77734375" bestFit="1" customWidth="1"/>
    <col min="51" max="51" width="5.33203125" bestFit="1" customWidth="1"/>
    <col min="52" max="52" width="5.21875" bestFit="1" customWidth="1"/>
    <col min="53" max="53" width="5" bestFit="1" customWidth="1"/>
    <col min="54" max="54" width="5.44140625" bestFit="1" customWidth="1"/>
    <col min="55" max="55" width="6.5546875" bestFit="1" customWidth="1"/>
    <col min="56" max="56" width="5.77734375" bestFit="1" customWidth="1"/>
    <col min="57" max="57" width="5.33203125" bestFit="1" customWidth="1"/>
    <col min="58" max="58" width="5.77734375" bestFit="1" customWidth="1"/>
    <col min="59" max="59" width="4.88671875" bestFit="1" customWidth="1"/>
    <col min="60" max="60" width="5.33203125" bestFit="1" customWidth="1"/>
    <col min="61" max="61" width="5.77734375" bestFit="1" customWidth="1"/>
    <col min="62" max="62" width="5.33203125" customWidth="1"/>
    <col min="63" max="63" width="5.21875" bestFit="1" customWidth="1"/>
    <col min="64" max="64" width="5" bestFit="1" customWidth="1"/>
    <col min="65" max="65" width="5.44140625" bestFit="1" customWidth="1"/>
    <col min="66" max="66" width="6.5546875" bestFit="1" customWidth="1"/>
    <col min="67" max="67" width="5.77734375" bestFit="1" customWidth="1"/>
    <col min="68" max="68" width="5.33203125" bestFit="1" customWidth="1"/>
    <col min="69" max="69" width="5.77734375" bestFit="1" customWidth="1"/>
    <col min="70" max="70" width="4.88671875" bestFit="1" customWidth="1"/>
    <col min="71" max="71" width="5.33203125" bestFit="1" customWidth="1"/>
    <col min="72" max="72" width="5.77734375" bestFit="1" customWidth="1"/>
    <col min="73" max="73" width="5.33203125" bestFit="1" customWidth="1"/>
    <col min="74" max="74" width="5.21875" bestFit="1" customWidth="1"/>
    <col min="75" max="75" width="5" bestFit="1" customWidth="1"/>
  </cols>
  <sheetData>
    <row r="2" spans="1:41" ht="15" thickBot="1" x14ac:dyDescent="0.35">
      <c r="A2" s="370" t="s">
        <v>30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  <c r="AL2" s="371"/>
      <c r="AM2" s="371"/>
      <c r="AN2" s="372"/>
    </row>
    <row r="3" spans="1:41" x14ac:dyDescent="0.3">
      <c r="A3" s="101" t="s">
        <v>26</v>
      </c>
      <c r="B3" s="373" t="s">
        <v>15</v>
      </c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  <c r="O3" s="373" t="s">
        <v>16</v>
      </c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5"/>
      <c r="AB3" s="373" t="s">
        <v>28</v>
      </c>
      <c r="AC3" s="374"/>
      <c r="AD3" s="374"/>
      <c r="AE3" s="374"/>
      <c r="AF3" s="374"/>
      <c r="AG3" s="374"/>
      <c r="AH3" s="374"/>
      <c r="AI3" s="374"/>
      <c r="AJ3" s="374"/>
      <c r="AK3" s="374"/>
      <c r="AL3" s="374"/>
      <c r="AM3" s="374"/>
      <c r="AN3" s="375"/>
    </row>
    <row r="4" spans="1:41" x14ac:dyDescent="0.3">
      <c r="A4" s="102" t="s">
        <v>1</v>
      </c>
      <c r="B4" s="105" t="s">
        <v>0</v>
      </c>
      <c r="C4" s="2" t="s">
        <v>19</v>
      </c>
      <c r="D4" s="2" t="s">
        <v>20</v>
      </c>
      <c r="E4" s="2" t="s">
        <v>21</v>
      </c>
      <c r="F4" s="2" t="s">
        <v>24</v>
      </c>
      <c r="G4" s="2" t="s">
        <v>25</v>
      </c>
      <c r="H4" s="2" t="s">
        <v>29</v>
      </c>
      <c r="I4" s="2" t="s">
        <v>45</v>
      </c>
      <c r="J4" s="2" t="s">
        <v>52</v>
      </c>
      <c r="K4" s="2" t="s">
        <v>54</v>
      </c>
      <c r="L4" s="2" t="s">
        <v>57</v>
      </c>
      <c r="M4" s="2" t="s">
        <v>69</v>
      </c>
      <c r="N4" s="106" t="s">
        <v>14</v>
      </c>
      <c r="O4" s="105" t="s">
        <v>0</v>
      </c>
      <c r="P4" s="2" t="s">
        <v>19</v>
      </c>
      <c r="Q4" s="2" t="s">
        <v>20</v>
      </c>
      <c r="R4" s="2" t="s">
        <v>21</v>
      </c>
      <c r="S4" s="2" t="s">
        <v>24</v>
      </c>
      <c r="T4" s="2" t="s">
        <v>25</v>
      </c>
      <c r="U4" s="2" t="s">
        <v>29</v>
      </c>
      <c r="V4" s="2" t="s">
        <v>45</v>
      </c>
      <c r="W4" s="2" t="s">
        <v>52</v>
      </c>
      <c r="X4" s="2" t="s">
        <v>54</v>
      </c>
      <c r="Y4" s="2" t="s">
        <v>57</v>
      </c>
      <c r="Z4" s="2" t="s">
        <v>69</v>
      </c>
      <c r="AA4" s="106" t="s">
        <v>14</v>
      </c>
      <c r="AB4" s="105" t="s">
        <v>0</v>
      </c>
      <c r="AC4" s="2" t="s">
        <v>19</v>
      </c>
      <c r="AD4" s="2" t="s">
        <v>20</v>
      </c>
      <c r="AE4" s="2" t="s">
        <v>21</v>
      </c>
      <c r="AF4" s="2" t="s">
        <v>24</v>
      </c>
      <c r="AG4" s="2" t="s">
        <v>25</v>
      </c>
      <c r="AH4" s="2" t="s">
        <v>29</v>
      </c>
      <c r="AI4" s="2" t="s">
        <v>45</v>
      </c>
      <c r="AJ4" s="2" t="s">
        <v>52</v>
      </c>
      <c r="AK4" s="2" t="s">
        <v>54</v>
      </c>
      <c r="AL4" s="2" t="s">
        <v>57</v>
      </c>
      <c r="AM4" s="2" t="s">
        <v>69</v>
      </c>
      <c r="AN4" s="106" t="s">
        <v>14</v>
      </c>
    </row>
    <row r="5" spans="1:41" x14ac:dyDescent="0.3">
      <c r="A5" s="103" t="s">
        <v>4</v>
      </c>
      <c r="B5" s="6">
        <v>48</v>
      </c>
      <c r="C5" s="1">
        <v>40</v>
      </c>
      <c r="D5" s="1">
        <v>45</v>
      </c>
      <c r="E5" s="1">
        <v>46</v>
      </c>
      <c r="F5" s="1">
        <v>27</v>
      </c>
      <c r="G5" s="1">
        <v>31</v>
      </c>
      <c r="H5" s="1">
        <v>28</v>
      </c>
      <c r="I5" s="1">
        <v>19</v>
      </c>
      <c r="J5" s="1">
        <v>45</v>
      </c>
      <c r="K5" s="1">
        <v>53</v>
      </c>
      <c r="L5" s="1">
        <v>40</v>
      </c>
      <c r="M5" s="1">
        <v>31</v>
      </c>
      <c r="N5" s="107">
        <f>SUM(B5:M5)</f>
        <v>453</v>
      </c>
      <c r="O5" s="6">
        <v>20</v>
      </c>
      <c r="P5" s="1">
        <v>16</v>
      </c>
      <c r="Q5" s="1">
        <v>26</v>
      </c>
      <c r="R5" s="1">
        <v>16</v>
      </c>
      <c r="S5" s="1">
        <v>15</v>
      </c>
      <c r="T5" s="1">
        <v>14</v>
      </c>
      <c r="U5" s="1">
        <v>16</v>
      </c>
      <c r="V5" s="1">
        <v>19</v>
      </c>
      <c r="W5" s="1">
        <v>20</v>
      </c>
      <c r="X5" s="1">
        <v>18</v>
      </c>
      <c r="Y5" s="1">
        <v>13</v>
      </c>
      <c r="Z5" s="1">
        <v>14</v>
      </c>
      <c r="AA5" s="107">
        <f>SUM(O5:Z5)</f>
        <v>207</v>
      </c>
      <c r="AB5" s="108">
        <f t="shared" ref="AB5:AB20" si="0">B5+O5</f>
        <v>68</v>
      </c>
      <c r="AC5" s="3">
        <f t="shared" ref="AC5:AC20" si="1">C5+P5</f>
        <v>56</v>
      </c>
      <c r="AD5" s="3">
        <f t="shared" ref="AD5:AD20" si="2">D5+Q5</f>
        <v>71</v>
      </c>
      <c r="AE5" s="3">
        <f t="shared" ref="AE5:AE20" si="3">E5+R5</f>
        <v>62</v>
      </c>
      <c r="AF5" s="3">
        <f t="shared" ref="AF5:AF20" si="4">F5+S5</f>
        <v>42</v>
      </c>
      <c r="AG5" s="3">
        <f t="shared" ref="AG5:AG20" si="5">G5+T5</f>
        <v>45</v>
      </c>
      <c r="AH5" s="3">
        <f t="shared" ref="AH5:AH20" si="6">H5+U5</f>
        <v>44</v>
      </c>
      <c r="AI5" s="3">
        <f t="shared" ref="AI5:AI20" si="7">I5+V5</f>
        <v>38</v>
      </c>
      <c r="AJ5" s="3">
        <f t="shared" ref="AJ5:AJ20" si="8">J5+W5</f>
        <v>65</v>
      </c>
      <c r="AK5" s="3">
        <f t="shared" ref="AK5:AK20" si="9">K5+X5</f>
        <v>71</v>
      </c>
      <c r="AL5" s="3">
        <f t="shared" ref="AL5:AL20" si="10">L5+Y5</f>
        <v>53</v>
      </c>
      <c r="AM5" s="3">
        <f t="shared" ref="AM5:AM20" si="11">M5+Z5</f>
        <v>45</v>
      </c>
      <c r="AN5" s="39">
        <f>SUM(AB5:AM5)</f>
        <v>660</v>
      </c>
      <c r="AO5" s="51"/>
    </row>
    <row r="6" spans="1:41" x14ac:dyDescent="0.3">
      <c r="A6" s="103" t="s">
        <v>8</v>
      </c>
      <c r="B6" s="6">
        <v>17</v>
      </c>
      <c r="C6" s="1">
        <v>9</v>
      </c>
      <c r="D6" s="1">
        <v>18</v>
      </c>
      <c r="E6" s="1">
        <v>15</v>
      </c>
      <c r="F6" s="1">
        <v>15</v>
      </c>
      <c r="G6" s="1">
        <v>18</v>
      </c>
      <c r="H6" s="1">
        <v>15</v>
      </c>
      <c r="I6" s="1">
        <v>12</v>
      </c>
      <c r="J6" s="1">
        <v>21</v>
      </c>
      <c r="K6" s="1">
        <v>11</v>
      </c>
      <c r="L6" s="1">
        <v>17</v>
      </c>
      <c r="M6" s="1">
        <v>14</v>
      </c>
      <c r="N6" s="107">
        <f t="shared" ref="N6:N19" si="12">SUM(B6:M6)</f>
        <v>182</v>
      </c>
      <c r="O6" s="6">
        <v>7</v>
      </c>
      <c r="P6" s="1">
        <v>5</v>
      </c>
      <c r="Q6" s="1">
        <v>4</v>
      </c>
      <c r="R6" s="1">
        <v>7</v>
      </c>
      <c r="S6" s="1">
        <v>5</v>
      </c>
      <c r="T6" s="1">
        <v>6</v>
      </c>
      <c r="U6" s="1">
        <v>2</v>
      </c>
      <c r="V6" s="1">
        <v>7</v>
      </c>
      <c r="W6" s="1">
        <v>6</v>
      </c>
      <c r="X6" s="1">
        <v>11</v>
      </c>
      <c r="Y6" s="1">
        <v>12</v>
      </c>
      <c r="Z6" s="1">
        <v>14</v>
      </c>
      <c r="AA6" s="107">
        <f t="shared" ref="AA6:AA19" si="13">SUM(O6:Z6)</f>
        <v>86</v>
      </c>
      <c r="AB6" s="108">
        <f t="shared" si="0"/>
        <v>24</v>
      </c>
      <c r="AC6" s="3">
        <f t="shared" si="1"/>
        <v>14</v>
      </c>
      <c r="AD6" s="3">
        <f t="shared" si="2"/>
        <v>22</v>
      </c>
      <c r="AE6" s="3">
        <f t="shared" si="3"/>
        <v>22</v>
      </c>
      <c r="AF6" s="3">
        <f t="shared" si="4"/>
        <v>20</v>
      </c>
      <c r="AG6" s="3">
        <f t="shared" si="5"/>
        <v>24</v>
      </c>
      <c r="AH6" s="3">
        <f t="shared" si="6"/>
        <v>17</v>
      </c>
      <c r="AI6" s="3">
        <f t="shared" si="7"/>
        <v>19</v>
      </c>
      <c r="AJ6" s="3">
        <f t="shared" si="8"/>
        <v>27</v>
      </c>
      <c r="AK6" s="3">
        <f t="shared" si="9"/>
        <v>22</v>
      </c>
      <c r="AL6" s="3">
        <f t="shared" si="10"/>
        <v>29</v>
      </c>
      <c r="AM6" s="3">
        <f t="shared" si="11"/>
        <v>28</v>
      </c>
      <c r="AN6" s="39">
        <f t="shared" ref="AN6:AN19" si="14">SUM(AB6:AM6)</f>
        <v>268</v>
      </c>
    </row>
    <row r="7" spans="1:41" x14ac:dyDescent="0.3">
      <c r="A7" s="103" t="s">
        <v>7</v>
      </c>
      <c r="B7" s="6">
        <v>9</v>
      </c>
      <c r="C7" s="1">
        <v>20</v>
      </c>
      <c r="D7" s="1">
        <v>18</v>
      </c>
      <c r="E7" s="1">
        <v>17</v>
      </c>
      <c r="F7" s="1">
        <v>22</v>
      </c>
      <c r="G7" s="1">
        <v>11</v>
      </c>
      <c r="H7" s="1">
        <v>7</v>
      </c>
      <c r="I7" s="1">
        <v>5</v>
      </c>
      <c r="J7" s="1">
        <v>9</v>
      </c>
      <c r="K7" s="1">
        <v>15</v>
      </c>
      <c r="L7" s="1">
        <v>18</v>
      </c>
      <c r="M7" s="1">
        <v>12</v>
      </c>
      <c r="N7" s="107">
        <f t="shared" si="12"/>
        <v>163</v>
      </c>
      <c r="O7" s="6">
        <v>11</v>
      </c>
      <c r="P7" s="1">
        <v>10</v>
      </c>
      <c r="Q7" s="1">
        <v>8</v>
      </c>
      <c r="R7" s="1">
        <v>9</v>
      </c>
      <c r="S7" s="1">
        <v>11</v>
      </c>
      <c r="T7" s="1">
        <v>2</v>
      </c>
      <c r="U7" s="1">
        <v>6</v>
      </c>
      <c r="V7" s="1">
        <v>9</v>
      </c>
      <c r="W7" s="1">
        <v>12</v>
      </c>
      <c r="X7" s="1">
        <v>7</v>
      </c>
      <c r="Y7" s="1">
        <v>8</v>
      </c>
      <c r="Z7" s="1">
        <v>14</v>
      </c>
      <c r="AA7" s="107">
        <f t="shared" si="13"/>
        <v>107</v>
      </c>
      <c r="AB7" s="108">
        <f t="shared" si="0"/>
        <v>20</v>
      </c>
      <c r="AC7" s="3">
        <f t="shared" si="1"/>
        <v>30</v>
      </c>
      <c r="AD7" s="3">
        <f t="shared" si="2"/>
        <v>26</v>
      </c>
      <c r="AE7" s="3">
        <f t="shared" si="3"/>
        <v>26</v>
      </c>
      <c r="AF7" s="3">
        <f t="shared" si="4"/>
        <v>33</v>
      </c>
      <c r="AG7" s="3">
        <f t="shared" si="5"/>
        <v>13</v>
      </c>
      <c r="AH7" s="3">
        <f t="shared" si="6"/>
        <v>13</v>
      </c>
      <c r="AI7" s="3">
        <f t="shared" si="7"/>
        <v>14</v>
      </c>
      <c r="AJ7" s="3">
        <f t="shared" si="8"/>
        <v>21</v>
      </c>
      <c r="AK7" s="3">
        <f t="shared" si="9"/>
        <v>22</v>
      </c>
      <c r="AL7" s="3">
        <f t="shared" si="10"/>
        <v>26</v>
      </c>
      <c r="AM7" s="3">
        <f t="shared" si="11"/>
        <v>26</v>
      </c>
      <c r="AN7" s="39">
        <f t="shared" si="14"/>
        <v>270</v>
      </c>
    </row>
    <row r="8" spans="1:41" x14ac:dyDescent="0.3">
      <c r="A8" s="103" t="s">
        <v>13</v>
      </c>
      <c r="B8" s="6">
        <v>1</v>
      </c>
      <c r="C8" s="1">
        <v>3</v>
      </c>
      <c r="D8" s="1">
        <v>2</v>
      </c>
      <c r="E8" s="1">
        <v>3</v>
      </c>
      <c r="F8" s="1">
        <v>4</v>
      </c>
      <c r="G8" s="1">
        <v>4</v>
      </c>
      <c r="H8" s="1">
        <v>5</v>
      </c>
      <c r="I8" s="1">
        <v>3</v>
      </c>
      <c r="J8" s="1">
        <v>4</v>
      </c>
      <c r="K8" s="1">
        <v>10</v>
      </c>
      <c r="L8" s="1">
        <v>5</v>
      </c>
      <c r="M8" s="1">
        <v>7</v>
      </c>
      <c r="N8" s="107">
        <f t="shared" si="12"/>
        <v>51</v>
      </c>
      <c r="O8" s="6">
        <v>3</v>
      </c>
      <c r="P8" s="1">
        <v>3</v>
      </c>
      <c r="Q8" s="1">
        <v>0</v>
      </c>
      <c r="R8" s="1">
        <v>2</v>
      </c>
      <c r="S8" s="1">
        <v>0</v>
      </c>
      <c r="T8" s="1">
        <v>2</v>
      </c>
      <c r="U8" s="1">
        <v>3</v>
      </c>
      <c r="V8" s="1">
        <v>2</v>
      </c>
      <c r="W8" s="1">
        <v>6</v>
      </c>
      <c r="X8" s="1">
        <v>5</v>
      </c>
      <c r="Y8" s="1">
        <v>9</v>
      </c>
      <c r="Z8" s="1">
        <v>4</v>
      </c>
      <c r="AA8" s="107">
        <f t="shared" si="13"/>
        <v>39</v>
      </c>
      <c r="AB8" s="108">
        <f t="shared" si="0"/>
        <v>4</v>
      </c>
      <c r="AC8" s="3">
        <f t="shared" si="1"/>
        <v>6</v>
      </c>
      <c r="AD8" s="3">
        <f t="shared" si="2"/>
        <v>2</v>
      </c>
      <c r="AE8" s="3">
        <f t="shared" si="3"/>
        <v>5</v>
      </c>
      <c r="AF8" s="3">
        <f t="shared" si="4"/>
        <v>4</v>
      </c>
      <c r="AG8" s="3">
        <f t="shared" si="5"/>
        <v>6</v>
      </c>
      <c r="AH8" s="3">
        <f t="shared" si="6"/>
        <v>8</v>
      </c>
      <c r="AI8" s="3">
        <f t="shared" si="7"/>
        <v>5</v>
      </c>
      <c r="AJ8" s="3">
        <f t="shared" si="8"/>
        <v>10</v>
      </c>
      <c r="AK8" s="3">
        <f t="shared" si="9"/>
        <v>15</v>
      </c>
      <c r="AL8" s="3">
        <f t="shared" si="10"/>
        <v>14</v>
      </c>
      <c r="AM8" s="3">
        <f t="shared" si="11"/>
        <v>11</v>
      </c>
      <c r="AN8" s="39">
        <f t="shared" si="14"/>
        <v>90</v>
      </c>
    </row>
    <row r="9" spans="1:41" x14ac:dyDescent="0.3">
      <c r="A9" s="103" t="s">
        <v>127</v>
      </c>
      <c r="B9" s="6">
        <v>24</v>
      </c>
      <c r="C9" s="1">
        <v>36</v>
      </c>
      <c r="D9" s="1">
        <v>26</v>
      </c>
      <c r="E9" s="1">
        <v>27</v>
      </c>
      <c r="F9" s="1">
        <v>29</v>
      </c>
      <c r="G9" s="1">
        <v>11</v>
      </c>
      <c r="H9" s="1">
        <v>18</v>
      </c>
      <c r="I9" s="1">
        <v>16</v>
      </c>
      <c r="J9" s="1">
        <v>18</v>
      </c>
      <c r="K9" s="1">
        <v>16</v>
      </c>
      <c r="L9" s="1">
        <v>24</v>
      </c>
      <c r="M9" s="1">
        <v>17</v>
      </c>
      <c r="N9" s="107">
        <f t="shared" si="12"/>
        <v>262</v>
      </c>
      <c r="O9" s="6">
        <v>15</v>
      </c>
      <c r="P9" s="1">
        <v>5</v>
      </c>
      <c r="Q9" s="1">
        <v>14</v>
      </c>
      <c r="R9" s="1">
        <v>10</v>
      </c>
      <c r="S9" s="1">
        <v>13</v>
      </c>
      <c r="T9" s="1">
        <v>15</v>
      </c>
      <c r="U9" s="1">
        <v>11</v>
      </c>
      <c r="V9" s="1">
        <v>9</v>
      </c>
      <c r="W9" s="1">
        <v>11</v>
      </c>
      <c r="X9" s="1">
        <v>11</v>
      </c>
      <c r="Y9" s="1">
        <v>12</v>
      </c>
      <c r="Z9" s="1">
        <v>10</v>
      </c>
      <c r="AA9" s="107">
        <f t="shared" si="13"/>
        <v>136</v>
      </c>
      <c r="AB9" s="108">
        <f t="shared" si="0"/>
        <v>39</v>
      </c>
      <c r="AC9" s="3">
        <f t="shared" si="1"/>
        <v>41</v>
      </c>
      <c r="AD9" s="3">
        <f t="shared" si="2"/>
        <v>40</v>
      </c>
      <c r="AE9" s="3">
        <f t="shared" si="3"/>
        <v>37</v>
      </c>
      <c r="AF9" s="3">
        <f t="shared" si="4"/>
        <v>42</v>
      </c>
      <c r="AG9" s="3">
        <f t="shared" si="5"/>
        <v>26</v>
      </c>
      <c r="AH9" s="3">
        <f t="shared" si="6"/>
        <v>29</v>
      </c>
      <c r="AI9" s="3">
        <f t="shared" si="7"/>
        <v>25</v>
      </c>
      <c r="AJ9" s="3">
        <f t="shared" si="8"/>
        <v>29</v>
      </c>
      <c r="AK9" s="3">
        <f t="shared" si="9"/>
        <v>27</v>
      </c>
      <c r="AL9" s="3">
        <f t="shared" si="10"/>
        <v>36</v>
      </c>
      <c r="AM9" s="3">
        <f t="shared" si="11"/>
        <v>27</v>
      </c>
      <c r="AN9" s="39">
        <f t="shared" si="14"/>
        <v>398</v>
      </c>
    </row>
    <row r="10" spans="1:41" x14ac:dyDescent="0.3">
      <c r="A10" s="103" t="s">
        <v>128</v>
      </c>
      <c r="B10" s="6">
        <v>29</v>
      </c>
      <c r="C10" s="1">
        <v>52</v>
      </c>
      <c r="D10" s="1">
        <v>52</v>
      </c>
      <c r="E10" s="1">
        <v>44</v>
      </c>
      <c r="F10" s="1">
        <v>37</v>
      </c>
      <c r="G10" s="1">
        <v>20</v>
      </c>
      <c r="H10" s="1">
        <v>21</v>
      </c>
      <c r="I10" s="1">
        <v>29</v>
      </c>
      <c r="J10" s="1">
        <v>23</v>
      </c>
      <c r="K10" s="1">
        <v>23</v>
      </c>
      <c r="L10" s="1">
        <v>25</v>
      </c>
      <c r="M10" s="1">
        <v>24</v>
      </c>
      <c r="N10" s="107">
        <f t="shared" si="12"/>
        <v>379</v>
      </c>
      <c r="O10" s="6">
        <v>22</v>
      </c>
      <c r="P10" s="1">
        <v>22</v>
      </c>
      <c r="Q10" s="1">
        <v>22</v>
      </c>
      <c r="R10" s="1">
        <v>18</v>
      </c>
      <c r="S10" s="1">
        <v>18</v>
      </c>
      <c r="T10" s="1">
        <v>17</v>
      </c>
      <c r="U10" s="1">
        <v>4</v>
      </c>
      <c r="V10" s="1">
        <v>10</v>
      </c>
      <c r="W10" s="1">
        <v>22</v>
      </c>
      <c r="X10" s="1">
        <v>10</v>
      </c>
      <c r="Y10" s="1">
        <v>10</v>
      </c>
      <c r="Z10" s="1">
        <v>18</v>
      </c>
      <c r="AA10" s="107">
        <f t="shared" si="13"/>
        <v>193</v>
      </c>
      <c r="AB10" s="108">
        <f t="shared" si="0"/>
        <v>51</v>
      </c>
      <c r="AC10" s="3">
        <f t="shared" si="1"/>
        <v>74</v>
      </c>
      <c r="AD10" s="3">
        <f t="shared" si="2"/>
        <v>74</v>
      </c>
      <c r="AE10" s="3">
        <f t="shared" si="3"/>
        <v>62</v>
      </c>
      <c r="AF10" s="3">
        <f t="shared" si="4"/>
        <v>55</v>
      </c>
      <c r="AG10" s="3">
        <f t="shared" si="5"/>
        <v>37</v>
      </c>
      <c r="AH10" s="3">
        <f t="shared" si="6"/>
        <v>25</v>
      </c>
      <c r="AI10" s="3">
        <f t="shared" si="7"/>
        <v>39</v>
      </c>
      <c r="AJ10" s="3">
        <f t="shared" si="8"/>
        <v>45</v>
      </c>
      <c r="AK10" s="3">
        <f t="shared" si="9"/>
        <v>33</v>
      </c>
      <c r="AL10" s="3">
        <f t="shared" si="10"/>
        <v>35</v>
      </c>
      <c r="AM10" s="3">
        <f t="shared" si="11"/>
        <v>42</v>
      </c>
      <c r="AN10" s="39">
        <f t="shared" si="14"/>
        <v>572</v>
      </c>
    </row>
    <row r="11" spans="1:41" x14ac:dyDescent="0.3">
      <c r="A11" s="103" t="s">
        <v>3</v>
      </c>
      <c r="B11" s="6">
        <v>13</v>
      </c>
      <c r="C11" s="1">
        <v>25</v>
      </c>
      <c r="D11" s="1">
        <v>39</v>
      </c>
      <c r="E11" s="1">
        <v>41</v>
      </c>
      <c r="F11" s="1">
        <v>27</v>
      </c>
      <c r="G11" s="1">
        <v>25</v>
      </c>
      <c r="H11" s="1">
        <v>32</v>
      </c>
      <c r="I11" s="1">
        <v>22</v>
      </c>
      <c r="J11" s="1">
        <v>30</v>
      </c>
      <c r="K11" s="1">
        <v>31</v>
      </c>
      <c r="L11" s="1">
        <v>22</v>
      </c>
      <c r="M11" s="1">
        <v>23</v>
      </c>
      <c r="N11" s="107">
        <f t="shared" si="12"/>
        <v>330</v>
      </c>
      <c r="O11" s="6">
        <v>3</v>
      </c>
      <c r="P11" s="1">
        <v>11</v>
      </c>
      <c r="Q11" s="1">
        <v>13</v>
      </c>
      <c r="R11" s="1">
        <v>7</v>
      </c>
      <c r="S11" s="1">
        <v>9</v>
      </c>
      <c r="T11" s="1">
        <v>7</v>
      </c>
      <c r="U11" s="1">
        <v>13</v>
      </c>
      <c r="V11" s="1">
        <v>11</v>
      </c>
      <c r="W11" s="1">
        <v>17</v>
      </c>
      <c r="X11" s="1">
        <v>12</v>
      </c>
      <c r="Y11" s="1">
        <v>12</v>
      </c>
      <c r="Z11" s="1">
        <v>14</v>
      </c>
      <c r="AA11" s="107">
        <f t="shared" si="13"/>
        <v>129</v>
      </c>
      <c r="AB11" s="108">
        <f t="shared" si="0"/>
        <v>16</v>
      </c>
      <c r="AC11" s="3">
        <f t="shared" si="1"/>
        <v>36</v>
      </c>
      <c r="AD11" s="3">
        <f t="shared" si="2"/>
        <v>52</v>
      </c>
      <c r="AE11" s="3">
        <f t="shared" si="3"/>
        <v>48</v>
      </c>
      <c r="AF11" s="3">
        <f t="shared" si="4"/>
        <v>36</v>
      </c>
      <c r="AG11" s="3">
        <f t="shared" si="5"/>
        <v>32</v>
      </c>
      <c r="AH11" s="3">
        <f t="shared" si="6"/>
        <v>45</v>
      </c>
      <c r="AI11" s="3">
        <f t="shared" si="7"/>
        <v>33</v>
      </c>
      <c r="AJ11" s="3">
        <f t="shared" si="8"/>
        <v>47</v>
      </c>
      <c r="AK11" s="3">
        <f t="shared" si="9"/>
        <v>43</v>
      </c>
      <c r="AL11" s="3">
        <f t="shared" si="10"/>
        <v>34</v>
      </c>
      <c r="AM11" s="3">
        <f t="shared" si="11"/>
        <v>37</v>
      </c>
      <c r="AN11" s="39">
        <f t="shared" si="14"/>
        <v>459</v>
      </c>
    </row>
    <row r="12" spans="1:41" x14ac:dyDescent="0.3">
      <c r="A12" s="103" t="s">
        <v>10</v>
      </c>
      <c r="B12" s="6">
        <v>9</v>
      </c>
      <c r="C12" s="1">
        <v>8</v>
      </c>
      <c r="D12" s="1">
        <v>8</v>
      </c>
      <c r="E12" s="1">
        <v>4</v>
      </c>
      <c r="F12" s="1">
        <v>11</v>
      </c>
      <c r="G12" s="1">
        <v>6</v>
      </c>
      <c r="H12" s="1">
        <v>6</v>
      </c>
      <c r="I12" s="1">
        <v>6</v>
      </c>
      <c r="J12" s="1">
        <v>9</v>
      </c>
      <c r="K12" s="1">
        <v>16</v>
      </c>
      <c r="L12" s="1">
        <v>18</v>
      </c>
      <c r="M12" s="1">
        <v>9</v>
      </c>
      <c r="N12" s="107">
        <f t="shared" si="12"/>
        <v>110</v>
      </c>
      <c r="O12" s="6">
        <v>6</v>
      </c>
      <c r="P12" s="1">
        <v>6</v>
      </c>
      <c r="Q12" s="1">
        <v>5</v>
      </c>
      <c r="R12" s="1">
        <v>7</v>
      </c>
      <c r="S12" s="1">
        <v>8</v>
      </c>
      <c r="T12" s="1">
        <v>3</v>
      </c>
      <c r="U12" s="1">
        <v>13</v>
      </c>
      <c r="V12" s="1">
        <v>2</v>
      </c>
      <c r="W12" s="1">
        <v>9</v>
      </c>
      <c r="X12" s="1">
        <v>17</v>
      </c>
      <c r="Y12" s="1">
        <v>13</v>
      </c>
      <c r="Z12" s="1">
        <v>17</v>
      </c>
      <c r="AA12" s="107">
        <f t="shared" si="13"/>
        <v>106</v>
      </c>
      <c r="AB12" s="108">
        <f t="shared" si="0"/>
        <v>15</v>
      </c>
      <c r="AC12" s="3">
        <f t="shared" si="1"/>
        <v>14</v>
      </c>
      <c r="AD12" s="3">
        <f t="shared" si="2"/>
        <v>13</v>
      </c>
      <c r="AE12" s="3">
        <f t="shared" si="3"/>
        <v>11</v>
      </c>
      <c r="AF12" s="3">
        <f t="shared" si="4"/>
        <v>19</v>
      </c>
      <c r="AG12" s="3">
        <f t="shared" si="5"/>
        <v>9</v>
      </c>
      <c r="AH12" s="3">
        <f t="shared" si="6"/>
        <v>19</v>
      </c>
      <c r="AI12" s="3">
        <f t="shared" si="7"/>
        <v>8</v>
      </c>
      <c r="AJ12" s="3">
        <f t="shared" si="8"/>
        <v>18</v>
      </c>
      <c r="AK12" s="3">
        <f t="shared" si="9"/>
        <v>33</v>
      </c>
      <c r="AL12" s="3">
        <f t="shared" si="10"/>
        <v>31</v>
      </c>
      <c r="AM12" s="3">
        <f t="shared" si="11"/>
        <v>26</v>
      </c>
      <c r="AN12" s="39">
        <f t="shared" si="14"/>
        <v>216</v>
      </c>
    </row>
    <row r="13" spans="1:41" x14ac:dyDescent="0.3">
      <c r="A13" s="103" t="s">
        <v>11</v>
      </c>
      <c r="B13" s="6">
        <v>9</v>
      </c>
      <c r="C13" s="1">
        <v>12</v>
      </c>
      <c r="D13" s="1">
        <v>30</v>
      </c>
      <c r="E13" s="1">
        <v>11</v>
      </c>
      <c r="F13" s="1">
        <v>23</v>
      </c>
      <c r="G13" s="1">
        <v>14</v>
      </c>
      <c r="H13" s="1">
        <v>13</v>
      </c>
      <c r="I13" s="1">
        <v>13</v>
      </c>
      <c r="J13" s="1">
        <v>9</v>
      </c>
      <c r="K13" s="1">
        <v>23</v>
      </c>
      <c r="L13" s="1">
        <v>23</v>
      </c>
      <c r="M13" s="1">
        <v>24</v>
      </c>
      <c r="N13" s="107">
        <f t="shared" si="12"/>
        <v>204</v>
      </c>
      <c r="O13" s="6">
        <v>5</v>
      </c>
      <c r="P13" s="1">
        <v>6</v>
      </c>
      <c r="Q13" s="1">
        <v>7</v>
      </c>
      <c r="R13" s="1">
        <v>10</v>
      </c>
      <c r="S13" s="1">
        <v>7</v>
      </c>
      <c r="T13" s="1">
        <v>4</v>
      </c>
      <c r="U13" s="1">
        <v>7</v>
      </c>
      <c r="V13" s="1">
        <v>11</v>
      </c>
      <c r="W13" s="1">
        <v>7</v>
      </c>
      <c r="X13" s="1">
        <v>3</v>
      </c>
      <c r="Y13" s="1">
        <v>7</v>
      </c>
      <c r="Z13" s="1">
        <v>9</v>
      </c>
      <c r="AA13" s="107">
        <f t="shared" si="13"/>
        <v>83</v>
      </c>
      <c r="AB13" s="108">
        <f t="shared" si="0"/>
        <v>14</v>
      </c>
      <c r="AC13" s="3">
        <f t="shared" si="1"/>
        <v>18</v>
      </c>
      <c r="AD13" s="3">
        <f t="shared" si="2"/>
        <v>37</v>
      </c>
      <c r="AE13" s="3">
        <f t="shared" si="3"/>
        <v>21</v>
      </c>
      <c r="AF13" s="3">
        <f t="shared" si="4"/>
        <v>30</v>
      </c>
      <c r="AG13" s="3">
        <f t="shared" si="5"/>
        <v>18</v>
      </c>
      <c r="AH13" s="3">
        <f t="shared" si="6"/>
        <v>20</v>
      </c>
      <c r="AI13" s="3">
        <f t="shared" si="7"/>
        <v>24</v>
      </c>
      <c r="AJ13" s="3">
        <f t="shared" si="8"/>
        <v>16</v>
      </c>
      <c r="AK13" s="3">
        <f t="shared" si="9"/>
        <v>26</v>
      </c>
      <c r="AL13" s="3">
        <f t="shared" si="10"/>
        <v>30</v>
      </c>
      <c r="AM13" s="3">
        <f t="shared" si="11"/>
        <v>33</v>
      </c>
      <c r="AN13" s="39">
        <f t="shared" si="14"/>
        <v>287</v>
      </c>
    </row>
    <row r="14" spans="1:41" x14ac:dyDescent="0.3">
      <c r="A14" s="103" t="s">
        <v>5</v>
      </c>
      <c r="B14" s="6">
        <v>4</v>
      </c>
      <c r="C14" s="1">
        <v>21</v>
      </c>
      <c r="D14" s="1">
        <v>16</v>
      </c>
      <c r="E14" s="1">
        <v>18</v>
      </c>
      <c r="F14" s="1">
        <v>14</v>
      </c>
      <c r="G14" s="1">
        <v>16</v>
      </c>
      <c r="H14" s="1">
        <v>9</v>
      </c>
      <c r="I14" s="1">
        <v>10</v>
      </c>
      <c r="J14" s="1">
        <v>13</v>
      </c>
      <c r="K14" s="1">
        <v>26</v>
      </c>
      <c r="L14" s="1">
        <v>14</v>
      </c>
      <c r="M14" s="1">
        <v>21</v>
      </c>
      <c r="N14" s="107">
        <f t="shared" si="12"/>
        <v>182</v>
      </c>
      <c r="O14" s="6">
        <v>2</v>
      </c>
      <c r="P14" s="1">
        <v>8</v>
      </c>
      <c r="Q14" s="1">
        <v>4</v>
      </c>
      <c r="R14" s="1">
        <v>2</v>
      </c>
      <c r="S14" s="1">
        <v>2</v>
      </c>
      <c r="T14" s="1">
        <v>2</v>
      </c>
      <c r="U14" s="1">
        <v>5</v>
      </c>
      <c r="V14" s="1">
        <v>11</v>
      </c>
      <c r="W14" s="1">
        <v>7</v>
      </c>
      <c r="X14" s="1">
        <v>10</v>
      </c>
      <c r="Y14" s="1">
        <v>6</v>
      </c>
      <c r="Z14" s="1">
        <v>4</v>
      </c>
      <c r="AA14" s="107">
        <f t="shared" si="13"/>
        <v>63</v>
      </c>
      <c r="AB14" s="108">
        <f t="shared" si="0"/>
        <v>6</v>
      </c>
      <c r="AC14" s="3">
        <f t="shared" si="1"/>
        <v>29</v>
      </c>
      <c r="AD14" s="3">
        <f t="shared" si="2"/>
        <v>20</v>
      </c>
      <c r="AE14" s="3">
        <f t="shared" si="3"/>
        <v>20</v>
      </c>
      <c r="AF14" s="3">
        <f t="shared" si="4"/>
        <v>16</v>
      </c>
      <c r="AG14" s="3">
        <f t="shared" si="5"/>
        <v>18</v>
      </c>
      <c r="AH14" s="3">
        <f t="shared" si="6"/>
        <v>14</v>
      </c>
      <c r="AI14" s="3">
        <f t="shared" si="7"/>
        <v>21</v>
      </c>
      <c r="AJ14" s="3">
        <f t="shared" si="8"/>
        <v>20</v>
      </c>
      <c r="AK14" s="3">
        <f t="shared" si="9"/>
        <v>36</v>
      </c>
      <c r="AL14" s="3">
        <f t="shared" si="10"/>
        <v>20</v>
      </c>
      <c r="AM14" s="3">
        <f t="shared" si="11"/>
        <v>25</v>
      </c>
      <c r="AN14" s="39">
        <f t="shared" si="14"/>
        <v>245</v>
      </c>
    </row>
    <row r="15" spans="1:41" x14ac:dyDescent="0.3">
      <c r="A15" s="103" t="s">
        <v>129</v>
      </c>
      <c r="B15" s="6">
        <v>45</v>
      </c>
      <c r="C15" s="1">
        <v>39</v>
      </c>
      <c r="D15" s="1">
        <v>22</v>
      </c>
      <c r="E15" s="1">
        <v>52</v>
      </c>
      <c r="F15" s="1">
        <v>29</v>
      </c>
      <c r="G15" s="1">
        <v>38</v>
      </c>
      <c r="H15" s="1">
        <v>35</v>
      </c>
      <c r="I15" s="1">
        <v>23</v>
      </c>
      <c r="J15" s="1">
        <v>38</v>
      </c>
      <c r="K15" s="1">
        <v>38</v>
      </c>
      <c r="L15" s="1">
        <v>44</v>
      </c>
      <c r="M15" s="1">
        <v>37</v>
      </c>
      <c r="N15" s="107">
        <f t="shared" si="12"/>
        <v>440</v>
      </c>
      <c r="O15" s="6">
        <v>15</v>
      </c>
      <c r="P15" s="1">
        <v>26</v>
      </c>
      <c r="Q15" s="1">
        <v>13</v>
      </c>
      <c r="R15" s="1">
        <v>19</v>
      </c>
      <c r="S15" s="1">
        <v>19</v>
      </c>
      <c r="T15" s="1">
        <v>22</v>
      </c>
      <c r="U15" s="1">
        <v>19</v>
      </c>
      <c r="V15" s="1">
        <v>17</v>
      </c>
      <c r="W15" s="1">
        <v>29</v>
      </c>
      <c r="X15" s="1">
        <v>31</v>
      </c>
      <c r="Y15" s="1">
        <v>22</v>
      </c>
      <c r="Z15" s="1">
        <v>26</v>
      </c>
      <c r="AA15" s="107">
        <f t="shared" si="13"/>
        <v>258</v>
      </c>
      <c r="AB15" s="108">
        <f t="shared" si="0"/>
        <v>60</v>
      </c>
      <c r="AC15" s="3">
        <f t="shared" si="1"/>
        <v>65</v>
      </c>
      <c r="AD15" s="3">
        <f t="shared" si="2"/>
        <v>35</v>
      </c>
      <c r="AE15" s="3">
        <f t="shared" si="3"/>
        <v>71</v>
      </c>
      <c r="AF15" s="3">
        <f t="shared" si="4"/>
        <v>48</v>
      </c>
      <c r="AG15" s="3">
        <f t="shared" si="5"/>
        <v>60</v>
      </c>
      <c r="AH15" s="3">
        <f t="shared" si="6"/>
        <v>54</v>
      </c>
      <c r="AI15" s="3">
        <f t="shared" si="7"/>
        <v>40</v>
      </c>
      <c r="AJ15" s="3">
        <f t="shared" si="8"/>
        <v>67</v>
      </c>
      <c r="AK15" s="3">
        <f t="shared" si="9"/>
        <v>69</v>
      </c>
      <c r="AL15" s="3">
        <f t="shared" si="10"/>
        <v>66</v>
      </c>
      <c r="AM15" s="3">
        <f t="shared" si="11"/>
        <v>63</v>
      </c>
      <c r="AN15" s="39">
        <f t="shared" si="14"/>
        <v>698</v>
      </c>
    </row>
    <row r="16" spans="1:41" x14ac:dyDescent="0.3">
      <c r="A16" s="103" t="s">
        <v>9</v>
      </c>
      <c r="B16" s="6">
        <v>11</v>
      </c>
      <c r="C16" s="1">
        <v>10</v>
      </c>
      <c r="D16" s="1">
        <v>14</v>
      </c>
      <c r="E16" s="1">
        <v>19</v>
      </c>
      <c r="F16" s="1">
        <v>8</v>
      </c>
      <c r="G16" s="1">
        <v>10</v>
      </c>
      <c r="H16" s="1">
        <v>5</v>
      </c>
      <c r="I16" s="1">
        <v>7</v>
      </c>
      <c r="J16" s="1">
        <v>6</v>
      </c>
      <c r="K16" s="1">
        <v>7</v>
      </c>
      <c r="L16" s="1">
        <v>17</v>
      </c>
      <c r="M16" s="1">
        <v>16</v>
      </c>
      <c r="N16" s="107">
        <f t="shared" si="12"/>
        <v>130</v>
      </c>
      <c r="O16" s="6">
        <v>4</v>
      </c>
      <c r="P16" s="1">
        <v>7</v>
      </c>
      <c r="Q16" s="1">
        <v>3</v>
      </c>
      <c r="R16" s="1">
        <v>7</v>
      </c>
      <c r="S16" s="1">
        <v>6</v>
      </c>
      <c r="T16" s="1">
        <v>4</v>
      </c>
      <c r="U16" s="1">
        <v>2</v>
      </c>
      <c r="V16" s="1">
        <v>2</v>
      </c>
      <c r="W16" s="1">
        <v>1</v>
      </c>
      <c r="X16" s="1">
        <v>3</v>
      </c>
      <c r="Y16" s="1">
        <v>6</v>
      </c>
      <c r="Z16" s="1">
        <v>13</v>
      </c>
      <c r="AA16" s="107">
        <f t="shared" si="13"/>
        <v>58</v>
      </c>
      <c r="AB16" s="108">
        <f t="shared" si="0"/>
        <v>15</v>
      </c>
      <c r="AC16" s="3">
        <f t="shared" si="1"/>
        <v>17</v>
      </c>
      <c r="AD16" s="3">
        <f t="shared" si="2"/>
        <v>17</v>
      </c>
      <c r="AE16" s="3">
        <f t="shared" si="3"/>
        <v>26</v>
      </c>
      <c r="AF16" s="3">
        <f t="shared" si="4"/>
        <v>14</v>
      </c>
      <c r="AG16" s="3">
        <f t="shared" si="5"/>
        <v>14</v>
      </c>
      <c r="AH16" s="3">
        <f t="shared" si="6"/>
        <v>7</v>
      </c>
      <c r="AI16" s="3">
        <f t="shared" si="7"/>
        <v>9</v>
      </c>
      <c r="AJ16" s="3">
        <f t="shared" si="8"/>
        <v>7</v>
      </c>
      <c r="AK16" s="3">
        <f t="shared" si="9"/>
        <v>10</v>
      </c>
      <c r="AL16" s="3">
        <f t="shared" si="10"/>
        <v>23</v>
      </c>
      <c r="AM16" s="3">
        <f t="shared" si="11"/>
        <v>29</v>
      </c>
      <c r="AN16" s="39">
        <f t="shared" si="14"/>
        <v>188</v>
      </c>
    </row>
    <row r="17" spans="1:71" x14ac:dyDescent="0.3">
      <c r="A17" s="103" t="s">
        <v>12</v>
      </c>
      <c r="B17" s="6">
        <v>4</v>
      </c>
      <c r="C17" s="1">
        <v>10</v>
      </c>
      <c r="D17" s="1">
        <v>10</v>
      </c>
      <c r="E17" s="1">
        <v>7</v>
      </c>
      <c r="F17" s="1">
        <v>11</v>
      </c>
      <c r="G17" s="1">
        <v>7</v>
      </c>
      <c r="H17" s="1">
        <v>10</v>
      </c>
      <c r="I17" s="1">
        <v>6</v>
      </c>
      <c r="J17" s="1">
        <v>10</v>
      </c>
      <c r="K17" s="1">
        <v>12</v>
      </c>
      <c r="L17" s="1">
        <v>18</v>
      </c>
      <c r="M17" s="1">
        <v>14</v>
      </c>
      <c r="N17" s="107">
        <f t="shared" si="12"/>
        <v>119</v>
      </c>
      <c r="O17" s="6">
        <v>1</v>
      </c>
      <c r="P17" s="1">
        <v>5</v>
      </c>
      <c r="Q17" s="1">
        <v>5</v>
      </c>
      <c r="R17" s="1">
        <v>2</v>
      </c>
      <c r="S17" s="1">
        <v>3</v>
      </c>
      <c r="T17" s="1">
        <v>1</v>
      </c>
      <c r="U17" s="1">
        <v>1</v>
      </c>
      <c r="V17" s="1">
        <v>1</v>
      </c>
      <c r="W17" s="1">
        <v>4</v>
      </c>
      <c r="X17" s="1">
        <v>4</v>
      </c>
      <c r="Y17" s="1">
        <v>3</v>
      </c>
      <c r="Z17" s="1">
        <v>3</v>
      </c>
      <c r="AA17" s="107">
        <f t="shared" si="13"/>
        <v>33</v>
      </c>
      <c r="AB17" s="108">
        <f t="shared" si="0"/>
        <v>5</v>
      </c>
      <c r="AC17" s="3">
        <f t="shared" si="1"/>
        <v>15</v>
      </c>
      <c r="AD17" s="3">
        <f t="shared" si="2"/>
        <v>15</v>
      </c>
      <c r="AE17" s="3">
        <f t="shared" si="3"/>
        <v>9</v>
      </c>
      <c r="AF17" s="3">
        <f t="shared" si="4"/>
        <v>14</v>
      </c>
      <c r="AG17" s="3">
        <f t="shared" si="5"/>
        <v>8</v>
      </c>
      <c r="AH17" s="3">
        <f t="shared" si="6"/>
        <v>11</v>
      </c>
      <c r="AI17" s="3">
        <f t="shared" si="7"/>
        <v>7</v>
      </c>
      <c r="AJ17" s="3">
        <f t="shared" si="8"/>
        <v>14</v>
      </c>
      <c r="AK17" s="3">
        <f t="shared" si="9"/>
        <v>16</v>
      </c>
      <c r="AL17" s="3">
        <f t="shared" si="10"/>
        <v>21</v>
      </c>
      <c r="AM17" s="3">
        <f t="shared" si="11"/>
        <v>17</v>
      </c>
      <c r="AN17" s="39">
        <f t="shared" si="14"/>
        <v>152</v>
      </c>
    </row>
    <row r="18" spans="1:71" x14ac:dyDescent="0.3">
      <c r="A18" s="103" t="s">
        <v>23</v>
      </c>
      <c r="B18" s="10">
        <v>0</v>
      </c>
      <c r="C18" s="8">
        <v>0</v>
      </c>
      <c r="D18" s="8">
        <v>0</v>
      </c>
      <c r="E18" s="8">
        <v>0</v>
      </c>
      <c r="F18" s="1">
        <v>9</v>
      </c>
      <c r="G18" s="1">
        <v>13</v>
      </c>
      <c r="H18" s="1">
        <v>16</v>
      </c>
      <c r="I18" s="1">
        <v>11</v>
      </c>
      <c r="J18" s="1">
        <v>18</v>
      </c>
      <c r="K18" s="1">
        <v>17</v>
      </c>
      <c r="L18" s="1">
        <v>33</v>
      </c>
      <c r="M18" s="1">
        <v>16</v>
      </c>
      <c r="N18" s="107">
        <f t="shared" si="12"/>
        <v>133</v>
      </c>
      <c r="O18" s="10">
        <v>0</v>
      </c>
      <c r="P18" s="8">
        <v>0</v>
      </c>
      <c r="Q18" s="8">
        <v>0</v>
      </c>
      <c r="R18" s="8">
        <v>0</v>
      </c>
      <c r="S18" s="1">
        <v>8</v>
      </c>
      <c r="T18" s="1">
        <v>6</v>
      </c>
      <c r="U18" s="1">
        <v>8</v>
      </c>
      <c r="V18" s="1">
        <v>3</v>
      </c>
      <c r="W18" s="1">
        <v>11</v>
      </c>
      <c r="X18" s="1">
        <v>15</v>
      </c>
      <c r="Y18" s="1">
        <v>10</v>
      </c>
      <c r="Z18" s="1">
        <v>16</v>
      </c>
      <c r="AA18" s="107">
        <f t="shared" si="13"/>
        <v>77</v>
      </c>
      <c r="AB18" s="108">
        <f t="shared" si="0"/>
        <v>0</v>
      </c>
      <c r="AC18" s="3">
        <f t="shared" si="1"/>
        <v>0</v>
      </c>
      <c r="AD18" s="3">
        <f t="shared" si="2"/>
        <v>0</v>
      </c>
      <c r="AE18" s="3">
        <f t="shared" si="3"/>
        <v>0</v>
      </c>
      <c r="AF18" s="3">
        <f t="shared" si="4"/>
        <v>17</v>
      </c>
      <c r="AG18" s="3">
        <f t="shared" si="5"/>
        <v>19</v>
      </c>
      <c r="AH18" s="3">
        <f t="shared" si="6"/>
        <v>24</v>
      </c>
      <c r="AI18" s="3">
        <f t="shared" si="7"/>
        <v>14</v>
      </c>
      <c r="AJ18" s="3">
        <f t="shared" si="8"/>
        <v>29</v>
      </c>
      <c r="AK18" s="3">
        <f t="shared" si="9"/>
        <v>32</v>
      </c>
      <c r="AL18" s="3">
        <f t="shared" si="10"/>
        <v>43</v>
      </c>
      <c r="AM18" s="3">
        <f t="shared" si="11"/>
        <v>32</v>
      </c>
      <c r="AN18" s="39">
        <f t="shared" si="14"/>
        <v>210</v>
      </c>
    </row>
    <row r="19" spans="1:71" x14ac:dyDescent="0.3">
      <c r="A19" s="103" t="s">
        <v>103</v>
      </c>
      <c r="B19" s="6">
        <v>53</v>
      </c>
      <c r="C19" s="1">
        <v>57</v>
      </c>
      <c r="D19" s="1">
        <v>56</v>
      </c>
      <c r="E19" s="1">
        <v>58</v>
      </c>
      <c r="F19" s="1">
        <v>46</v>
      </c>
      <c r="G19" s="1">
        <v>29</v>
      </c>
      <c r="H19" s="1">
        <v>26</v>
      </c>
      <c r="I19" s="1">
        <v>21</v>
      </c>
      <c r="J19" s="1">
        <v>44</v>
      </c>
      <c r="K19" s="1">
        <v>38</v>
      </c>
      <c r="L19" s="1">
        <v>28</v>
      </c>
      <c r="M19" s="1">
        <v>18</v>
      </c>
      <c r="N19" s="107">
        <f t="shared" si="12"/>
        <v>474</v>
      </c>
      <c r="O19" s="6">
        <v>53</v>
      </c>
      <c r="P19" s="1">
        <v>67</v>
      </c>
      <c r="Q19" s="1">
        <v>67</v>
      </c>
      <c r="R19" s="1">
        <v>49</v>
      </c>
      <c r="S19" s="1">
        <v>69</v>
      </c>
      <c r="T19" s="1">
        <v>24</v>
      </c>
      <c r="U19" s="1">
        <v>33</v>
      </c>
      <c r="V19" s="1">
        <v>36</v>
      </c>
      <c r="W19" s="1">
        <v>41</v>
      </c>
      <c r="X19" s="1">
        <v>74</v>
      </c>
      <c r="Y19" s="1">
        <v>71</v>
      </c>
      <c r="Z19" s="1">
        <v>36</v>
      </c>
      <c r="AA19" s="107">
        <f t="shared" si="13"/>
        <v>620</v>
      </c>
      <c r="AB19" s="108">
        <f t="shared" si="0"/>
        <v>106</v>
      </c>
      <c r="AC19" s="3">
        <f t="shared" si="1"/>
        <v>124</v>
      </c>
      <c r="AD19" s="3">
        <f t="shared" si="2"/>
        <v>123</v>
      </c>
      <c r="AE19" s="3">
        <f t="shared" si="3"/>
        <v>107</v>
      </c>
      <c r="AF19" s="3">
        <f t="shared" si="4"/>
        <v>115</v>
      </c>
      <c r="AG19" s="3">
        <f t="shared" si="5"/>
        <v>53</v>
      </c>
      <c r="AH19" s="3">
        <f t="shared" si="6"/>
        <v>59</v>
      </c>
      <c r="AI19" s="3">
        <f t="shared" si="7"/>
        <v>57</v>
      </c>
      <c r="AJ19" s="3">
        <f t="shared" si="8"/>
        <v>85</v>
      </c>
      <c r="AK19" s="3">
        <f t="shared" si="9"/>
        <v>112</v>
      </c>
      <c r="AL19" s="3">
        <f t="shared" si="10"/>
        <v>99</v>
      </c>
      <c r="AM19" s="3">
        <f t="shared" si="11"/>
        <v>54</v>
      </c>
      <c r="AN19" s="39">
        <f t="shared" si="14"/>
        <v>1094</v>
      </c>
    </row>
    <row r="20" spans="1:71" ht="15" thickBot="1" x14ac:dyDescent="0.35">
      <c r="A20" s="104" t="s">
        <v>14</v>
      </c>
      <c r="B20" s="9">
        <v>276</v>
      </c>
      <c r="C20" s="5">
        <v>342</v>
      </c>
      <c r="D20" s="5">
        <v>356</v>
      </c>
      <c r="E20" s="5">
        <v>362</v>
      </c>
      <c r="F20" s="5">
        <f t="shared" ref="F20:K20" si="15">SUM(F5:F19)</f>
        <v>312</v>
      </c>
      <c r="G20" s="5">
        <f t="shared" si="15"/>
        <v>253</v>
      </c>
      <c r="H20" s="5">
        <f t="shared" si="15"/>
        <v>246</v>
      </c>
      <c r="I20" s="5">
        <f t="shared" si="15"/>
        <v>203</v>
      </c>
      <c r="J20" s="5">
        <f t="shared" si="15"/>
        <v>297</v>
      </c>
      <c r="K20" s="5">
        <f t="shared" si="15"/>
        <v>336</v>
      </c>
      <c r="L20" s="5">
        <f>SUM(L5:L19)</f>
        <v>346</v>
      </c>
      <c r="M20" s="5">
        <f>SUM(M5:M19)</f>
        <v>283</v>
      </c>
      <c r="N20" s="40">
        <f>SUM(N5:N19)</f>
        <v>3612</v>
      </c>
      <c r="O20" s="9">
        <v>167</v>
      </c>
      <c r="P20" s="5">
        <v>197</v>
      </c>
      <c r="Q20" s="5">
        <v>191</v>
      </c>
      <c r="R20" s="5">
        <v>165</v>
      </c>
      <c r="S20" s="5">
        <f t="shared" ref="S20:X20" si="16">SUM(S5:S19)</f>
        <v>193</v>
      </c>
      <c r="T20" s="5">
        <f t="shared" si="16"/>
        <v>129</v>
      </c>
      <c r="U20" s="5">
        <f t="shared" si="16"/>
        <v>143</v>
      </c>
      <c r="V20" s="5">
        <f t="shared" si="16"/>
        <v>150</v>
      </c>
      <c r="W20" s="5">
        <f t="shared" si="16"/>
        <v>203</v>
      </c>
      <c r="X20" s="5">
        <f t="shared" si="16"/>
        <v>231</v>
      </c>
      <c r="Y20" s="5">
        <f>SUM(Y5:Y19)</f>
        <v>214</v>
      </c>
      <c r="Z20" s="5">
        <f>SUM(Z5:Z19)</f>
        <v>212</v>
      </c>
      <c r="AA20" s="40">
        <f>SUM(AA5:AA19)</f>
        <v>2195</v>
      </c>
      <c r="AB20" s="9">
        <f t="shared" si="0"/>
        <v>443</v>
      </c>
      <c r="AC20" s="5">
        <f t="shared" si="1"/>
        <v>539</v>
      </c>
      <c r="AD20" s="5">
        <f t="shared" si="2"/>
        <v>547</v>
      </c>
      <c r="AE20" s="5">
        <f t="shared" si="3"/>
        <v>527</v>
      </c>
      <c r="AF20" s="5">
        <f t="shared" si="4"/>
        <v>505</v>
      </c>
      <c r="AG20" s="5">
        <f t="shared" si="5"/>
        <v>382</v>
      </c>
      <c r="AH20" s="5">
        <f t="shared" si="6"/>
        <v>389</v>
      </c>
      <c r="AI20" s="5">
        <f t="shared" si="7"/>
        <v>353</v>
      </c>
      <c r="AJ20" s="5">
        <f t="shared" si="8"/>
        <v>500</v>
      </c>
      <c r="AK20" s="5">
        <f t="shared" si="9"/>
        <v>567</v>
      </c>
      <c r="AL20" s="5">
        <f t="shared" si="10"/>
        <v>560</v>
      </c>
      <c r="AM20" s="5">
        <f t="shared" si="11"/>
        <v>495</v>
      </c>
      <c r="AN20" s="40">
        <f>SUM(AN5:AN19)</f>
        <v>5807</v>
      </c>
    </row>
    <row r="21" spans="1:71" x14ac:dyDescent="0.3">
      <c r="AP21" s="4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</row>
    <row r="22" spans="1:71" ht="15" thickBot="1" x14ac:dyDescent="0.35">
      <c r="A22" s="379" t="s">
        <v>31</v>
      </c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</row>
    <row r="23" spans="1:71" x14ac:dyDescent="0.3">
      <c r="A23" s="101" t="s">
        <v>27</v>
      </c>
      <c r="B23" s="376" t="s">
        <v>15</v>
      </c>
      <c r="C23" s="377"/>
      <c r="D23" s="377"/>
      <c r="E23" s="377"/>
      <c r="F23" s="377"/>
      <c r="G23" s="377"/>
      <c r="H23" s="377"/>
      <c r="I23" s="377"/>
      <c r="J23" s="377"/>
      <c r="K23" s="377"/>
      <c r="L23" s="377"/>
      <c r="M23" s="377"/>
      <c r="N23" s="378"/>
      <c r="O23" s="376" t="s">
        <v>16</v>
      </c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  <c r="AA23" s="378"/>
      <c r="AB23" s="376" t="s">
        <v>28</v>
      </c>
      <c r="AC23" s="377"/>
      <c r="AD23" s="377"/>
      <c r="AE23" s="377"/>
      <c r="AF23" s="377"/>
      <c r="AG23" s="377"/>
      <c r="AH23" s="377"/>
      <c r="AI23" s="377"/>
      <c r="AJ23" s="377"/>
      <c r="AK23" s="377"/>
      <c r="AL23" s="377"/>
      <c r="AM23" s="377"/>
      <c r="AN23" s="378"/>
    </row>
    <row r="24" spans="1:71" x14ac:dyDescent="0.3">
      <c r="A24" s="109" t="s">
        <v>1</v>
      </c>
      <c r="B24" s="105" t="s">
        <v>0</v>
      </c>
      <c r="C24" s="2" t="s">
        <v>19</v>
      </c>
      <c r="D24" s="2" t="s">
        <v>20</v>
      </c>
      <c r="E24" s="2" t="s">
        <v>21</v>
      </c>
      <c r="F24" s="2" t="s">
        <v>24</v>
      </c>
      <c r="G24" s="2" t="s">
        <v>25</v>
      </c>
      <c r="H24" s="2" t="s">
        <v>29</v>
      </c>
      <c r="I24" s="2" t="s">
        <v>45</v>
      </c>
      <c r="J24" s="2" t="s">
        <v>52</v>
      </c>
      <c r="K24" s="2" t="s">
        <v>54</v>
      </c>
      <c r="L24" s="2" t="s">
        <v>57</v>
      </c>
      <c r="M24" s="2" t="s">
        <v>69</v>
      </c>
      <c r="N24" s="106" t="s">
        <v>14</v>
      </c>
      <c r="O24" s="105" t="s">
        <v>0</v>
      </c>
      <c r="P24" s="2" t="s">
        <v>19</v>
      </c>
      <c r="Q24" s="2" t="s">
        <v>20</v>
      </c>
      <c r="R24" s="2" t="s">
        <v>21</v>
      </c>
      <c r="S24" s="2" t="s">
        <v>24</v>
      </c>
      <c r="T24" s="2" t="s">
        <v>25</v>
      </c>
      <c r="U24" s="2" t="s">
        <v>29</v>
      </c>
      <c r="V24" s="2" t="s">
        <v>45</v>
      </c>
      <c r="W24" s="2" t="s">
        <v>52</v>
      </c>
      <c r="X24" s="2" t="s">
        <v>54</v>
      </c>
      <c r="Y24" s="2" t="s">
        <v>57</v>
      </c>
      <c r="Z24" s="2" t="s">
        <v>69</v>
      </c>
      <c r="AA24" s="106" t="s">
        <v>14</v>
      </c>
      <c r="AB24" s="105" t="s">
        <v>0</v>
      </c>
      <c r="AC24" s="2" t="s">
        <v>19</v>
      </c>
      <c r="AD24" s="2" t="s">
        <v>20</v>
      </c>
      <c r="AE24" s="2" t="s">
        <v>21</v>
      </c>
      <c r="AF24" s="2" t="s">
        <v>24</v>
      </c>
      <c r="AG24" s="2" t="s">
        <v>25</v>
      </c>
      <c r="AH24" s="2" t="s">
        <v>29</v>
      </c>
      <c r="AI24" s="2" t="s">
        <v>45</v>
      </c>
      <c r="AJ24" s="2" t="s">
        <v>52</v>
      </c>
      <c r="AK24" s="2" t="s">
        <v>54</v>
      </c>
      <c r="AL24" s="2" t="s">
        <v>57</v>
      </c>
      <c r="AM24" s="2" t="s">
        <v>69</v>
      </c>
      <c r="AN24" s="106" t="s">
        <v>14</v>
      </c>
    </row>
    <row r="25" spans="1:71" x14ac:dyDescent="0.3">
      <c r="A25" s="103" t="s">
        <v>4</v>
      </c>
      <c r="B25" s="6">
        <v>43</v>
      </c>
      <c r="C25" s="1">
        <v>59</v>
      </c>
      <c r="D25" s="1">
        <v>71</v>
      </c>
      <c r="E25" s="1">
        <v>84</v>
      </c>
      <c r="F25" s="1">
        <v>76</v>
      </c>
      <c r="G25" s="1">
        <v>79</v>
      </c>
      <c r="H25" s="1">
        <v>75</v>
      </c>
      <c r="I25" s="1">
        <v>67</v>
      </c>
      <c r="J25" s="1">
        <v>80</v>
      </c>
      <c r="K25" s="1">
        <v>87</v>
      </c>
      <c r="L25" s="1">
        <v>90</v>
      </c>
      <c r="M25" s="1">
        <v>92</v>
      </c>
      <c r="N25" s="107">
        <f t="shared" ref="N25:N39" si="17">SUM(B25:M25)</f>
        <v>903</v>
      </c>
      <c r="O25" s="6">
        <v>0</v>
      </c>
      <c r="P25" s="1">
        <v>1</v>
      </c>
      <c r="Q25" s="1">
        <v>2</v>
      </c>
      <c r="R25" s="1">
        <v>2</v>
      </c>
      <c r="S25" s="1">
        <v>3</v>
      </c>
      <c r="T25" s="1">
        <v>5</v>
      </c>
      <c r="U25" s="1">
        <v>1</v>
      </c>
      <c r="V25" s="1">
        <v>5</v>
      </c>
      <c r="W25" s="1">
        <v>0</v>
      </c>
      <c r="X25" s="1">
        <v>5</v>
      </c>
      <c r="Y25" s="1">
        <v>4</v>
      </c>
      <c r="Z25" s="1">
        <v>4</v>
      </c>
      <c r="AA25" s="107">
        <f>SUM(O25:Z25)</f>
        <v>32</v>
      </c>
      <c r="AB25" s="108">
        <f t="shared" ref="AB25:AB39" si="18">B25+O25</f>
        <v>43</v>
      </c>
      <c r="AC25" s="3">
        <f t="shared" ref="AC25:AC39" si="19">C25+P25</f>
        <v>60</v>
      </c>
      <c r="AD25" s="3">
        <f t="shared" ref="AD25:AD39" si="20">D25+Q25</f>
        <v>73</v>
      </c>
      <c r="AE25" s="3">
        <f t="shared" ref="AE25:AE39" si="21">E25+R25</f>
        <v>86</v>
      </c>
      <c r="AF25" s="3">
        <f t="shared" ref="AF25:AF39" si="22">F25+S25</f>
        <v>79</v>
      </c>
      <c r="AG25" s="3">
        <f t="shared" ref="AG25:AG39" si="23">G25+T25</f>
        <v>84</v>
      </c>
      <c r="AH25" s="3">
        <f t="shared" ref="AH25:AH39" si="24">H25+U25</f>
        <v>76</v>
      </c>
      <c r="AI25" s="3">
        <f t="shared" ref="AI25:AI39" si="25">I25+V25</f>
        <v>72</v>
      </c>
      <c r="AJ25" s="3">
        <f t="shared" ref="AJ25:AJ39" si="26">J25+W25</f>
        <v>80</v>
      </c>
      <c r="AK25" s="3">
        <f t="shared" ref="AK25:AK39" si="27">K25+X25</f>
        <v>92</v>
      </c>
      <c r="AL25" s="3">
        <f t="shared" ref="AL25:AM39" si="28">L25+Y25</f>
        <v>94</v>
      </c>
      <c r="AM25" s="3">
        <f t="shared" si="28"/>
        <v>96</v>
      </c>
      <c r="AN25" s="39">
        <f t="shared" ref="AN25:AN39" si="29">SUM(AB25:AM25)</f>
        <v>935</v>
      </c>
      <c r="AO25" s="64"/>
    </row>
    <row r="26" spans="1:71" x14ac:dyDescent="0.3">
      <c r="A26" s="103" t="s">
        <v>8</v>
      </c>
      <c r="B26" s="6">
        <v>26</v>
      </c>
      <c r="C26" s="1">
        <v>30</v>
      </c>
      <c r="D26" s="1">
        <v>28</v>
      </c>
      <c r="E26" s="1">
        <v>33</v>
      </c>
      <c r="F26" s="1">
        <v>35</v>
      </c>
      <c r="G26" s="1">
        <v>37</v>
      </c>
      <c r="H26" s="1">
        <v>37</v>
      </c>
      <c r="I26" s="1">
        <v>32</v>
      </c>
      <c r="J26" s="1">
        <v>29</v>
      </c>
      <c r="K26" s="1">
        <v>27</v>
      </c>
      <c r="L26" s="1">
        <v>29</v>
      </c>
      <c r="M26" s="1">
        <v>21</v>
      </c>
      <c r="N26" s="107">
        <f t="shared" si="17"/>
        <v>364</v>
      </c>
      <c r="O26" s="6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4</v>
      </c>
      <c r="Y26" s="1">
        <v>2</v>
      </c>
      <c r="Z26" s="1">
        <v>0</v>
      </c>
      <c r="AA26" s="107">
        <f t="shared" ref="AA26:AA39" si="30">SUM(O26:Z26)</f>
        <v>6</v>
      </c>
      <c r="AB26" s="108">
        <f t="shared" si="18"/>
        <v>26</v>
      </c>
      <c r="AC26" s="3">
        <f t="shared" si="19"/>
        <v>30</v>
      </c>
      <c r="AD26" s="3">
        <f t="shared" si="20"/>
        <v>28</v>
      </c>
      <c r="AE26" s="3">
        <f t="shared" si="21"/>
        <v>33</v>
      </c>
      <c r="AF26" s="3">
        <f t="shared" si="22"/>
        <v>35</v>
      </c>
      <c r="AG26" s="3">
        <f t="shared" si="23"/>
        <v>37</v>
      </c>
      <c r="AH26" s="3">
        <f t="shared" si="24"/>
        <v>37</v>
      </c>
      <c r="AI26" s="3">
        <f t="shared" si="25"/>
        <v>32</v>
      </c>
      <c r="AJ26" s="3">
        <f t="shared" si="26"/>
        <v>29</v>
      </c>
      <c r="AK26" s="3">
        <f t="shared" si="27"/>
        <v>31</v>
      </c>
      <c r="AL26" s="3">
        <f t="shared" si="28"/>
        <v>31</v>
      </c>
      <c r="AM26" s="3">
        <f t="shared" si="28"/>
        <v>21</v>
      </c>
      <c r="AN26" s="39">
        <f t="shared" si="29"/>
        <v>370</v>
      </c>
      <c r="AO26" s="64"/>
    </row>
    <row r="27" spans="1:71" x14ac:dyDescent="0.3">
      <c r="A27" s="103" t="s">
        <v>7</v>
      </c>
      <c r="B27" s="6">
        <v>22</v>
      </c>
      <c r="C27" s="1">
        <v>17</v>
      </c>
      <c r="D27" s="1">
        <v>24</v>
      </c>
      <c r="E27" s="1">
        <v>27</v>
      </c>
      <c r="F27" s="1">
        <v>33</v>
      </c>
      <c r="G27" s="1">
        <v>38</v>
      </c>
      <c r="H27" s="1">
        <v>34</v>
      </c>
      <c r="I27" s="1">
        <v>28</v>
      </c>
      <c r="J27" s="1">
        <v>25</v>
      </c>
      <c r="K27" s="1">
        <v>28</v>
      </c>
      <c r="L27" s="1">
        <v>31</v>
      </c>
      <c r="M27" s="1">
        <v>31</v>
      </c>
      <c r="N27" s="107">
        <f t="shared" si="17"/>
        <v>338</v>
      </c>
      <c r="O27" s="6">
        <v>0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2</v>
      </c>
      <c r="Z27" s="1">
        <v>0</v>
      </c>
      <c r="AA27" s="107">
        <f t="shared" si="30"/>
        <v>4</v>
      </c>
      <c r="AB27" s="108">
        <f t="shared" si="18"/>
        <v>22</v>
      </c>
      <c r="AC27" s="3">
        <f t="shared" si="19"/>
        <v>17</v>
      </c>
      <c r="AD27" s="3">
        <f t="shared" si="20"/>
        <v>25</v>
      </c>
      <c r="AE27" s="3">
        <f t="shared" si="21"/>
        <v>27</v>
      </c>
      <c r="AF27" s="3">
        <f t="shared" si="22"/>
        <v>33</v>
      </c>
      <c r="AG27" s="3">
        <f t="shared" si="23"/>
        <v>38</v>
      </c>
      <c r="AH27" s="3">
        <f t="shared" si="24"/>
        <v>34</v>
      </c>
      <c r="AI27" s="3">
        <f t="shared" si="25"/>
        <v>28</v>
      </c>
      <c r="AJ27" s="3">
        <f t="shared" si="26"/>
        <v>25</v>
      </c>
      <c r="AK27" s="3">
        <f t="shared" si="27"/>
        <v>29</v>
      </c>
      <c r="AL27" s="3">
        <f t="shared" si="28"/>
        <v>33</v>
      </c>
      <c r="AM27" s="3">
        <f t="shared" si="28"/>
        <v>31</v>
      </c>
      <c r="AN27" s="39">
        <f t="shared" si="29"/>
        <v>342</v>
      </c>
    </row>
    <row r="28" spans="1:71" x14ac:dyDescent="0.3">
      <c r="A28" s="103" t="s">
        <v>13</v>
      </c>
      <c r="B28" s="6">
        <v>17</v>
      </c>
      <c r="C28" s="1">
        <v>11</v>
      </c>
      <c r="D28" s="1">
        <v>11</v>
      </c>
      <c r="E28" s="1">
        <v>13</v>
      </c>
      <c r="F28" s="1">
        <v>10</v>
      </c>
      <c r="G28" s="1">
        <v>8</v>
      </c>
      <c r="H28" s="1">
        <v>7</v>
      </c>
      <c r="I28" s="1">
        <v>10</v>
      </c>
      <c r="J28" s="1">
        <v>12</v>
      </c>
      <c r="K28" s="1">
        <v>10</v>
      </c>
      <c r="L28" s="1">
        <v>16</v>
      </c>
      <c r="M28" s="1">
        <v>17</v>
      </c>
      <c r="N28" s="107">
        <f t="shared" si="17"/>
        <v>142</v>
      </c>
      <c r="O28" s="6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5</v>
      </c>
      <c r="Y28" s="1">
        <v>5</v>
      </c>
      <c r="Z28" s="1">
        <v>1</v>
      </c>
      <c r="AA28" s="107">
        <f t="shared" si="30"/>
        <v>11</v>
      </c>
      <c r="AB28" s="108">
        <f t="shared" si="18"/>
        <v>17</v>
      </c>
      <c r="AC28" s="3">
        <f t="shared" si="19"/>
        <v>11</v>
      </c>
      <c r="AD28" s="3">
        <f t="shared" si="20"/>
        <v>11</v>
      </c>
      <c r="AE28" s="3">
        <f t="shared" si="21"/>
        <v>13</v>
      </c>
      <c r="AF28" s="3">
        <f t="shared" si="22"/>
        <v>10</v>
      </c>
      <c r="AG28" s="3">
        <f t="shared" si="23"/>
        <v>8</v>
      </c>
      <c r="AH28" s="3">
        <f t="shared" si="24"/>
        <v>7</v>
      </c>
      <c r="AI28" s="3">
        <f t="shared" si="25"/>
        <v>10</v>
      </c>
      <c r="AJ28" s="3">
        <f t="shared" si="26"/>
        <v>12</v>
      </c>
      <c r="AK28" s="3">
        <f t="shared" si="27"/>
        <v>15</v>
      </c>
      <c r="AL28" s="3">
        <f t="shared" si="28"/>
        <v>21</v>
      </c>
      <c r="AM28" s="3">
        <f t="shared" si="28"/>
        <v>18</v>
      </c>
      <c r="AN28" s="39">
        <f t="shared" si="29"/>
        <v>153</v>
      </c>
    </row>
    <row r="29" spans="1:71" x14ac:dyDescent="0.3">
      <c r="A29" s="103" t="s">
        <v>127</v>
      </c>
      <c r="B29" s="6">
        <v>33</v>
      </c>
      <c r="C29" s="1">
        <v>42</v>
      </c>
      <c r="D29" s="1">
        <v>46</v>
      </c>
      <c r="E29" s="1">
        <v>67</v>
      </c>
      <c r="F29" s="1">
        <v>60</v>
      </c>
      <c r="G29" s="1">
        <v>65</v>
      </c>
      <c r="H29" s="1">
        <v>52</v>
      </c>
      <c r="I29" s="1">
        <v>78</v>
      </c>
      <c r="J29" s="1">
        <v>56</v>
      </c>
      <c r="K29" s="1">
        <v>57</v>
      </c>
      <c r="L29" s="1">
        <v>50</v>
      </c>
      <c r="M29" s="1">
        <v>44</v>
      </c>
      <c r="N29" s="107">
        <f t="shared" si="17"/>
        <v>650</v>
      </c>
      <c r="O29" s="6">
        <v>2</v>
      </c>
      <c r="P29" s="1">
        <v>0</v>
      </c>
      <c r="Q29" s="1">
        <v>0</v>
      </c>
      <c r="R29" s="1">
        <v>1</v>
      </c>
      <c r="S29" s="1">
        <v>1</v>
      </c>
      <c r="T29" s="1">
        <v>0</v>
      </c>
      <c r="U29" s="1">
        <v>1</v>
      </c>
      <c r="V29" s="1">
        <v>1</v>
      </c>
      <c r="W29" s="1">
        <v>1</v>
      </c>
      <c r="X29" s="1">
        <v>11</v>
      </c>
      <c r="Y29" s="1">
        <v>9</v>
      </c>
      <c r="Z29" s="1">
        <v>6</v>
      </c>
      <c r="AA29" s="107">
        <f t="shared" si="30"/>
        <v>33</v>
      </c>
      <c r="AB29" s="108">
        <f t="shared" si="18"/>
        <v>35</v>
      </c>
      <c r="AC29" s="3">
        <f t="shared" si="19"/>
        <v>42</v>
      </c>
      <c r="AD29" s="3">
        <f t="shared" si="20"/>
        <v>46</v>
      </c>
      <c r="AE29" s="3">
        <f t="shared" si="21"/>
        <v>68</v>
      </c>
      <c r="AF29" s="3">
        <f t="shared" si="22"/>
        <v>61</v>
      </c>
      <c r="AG29" s="3">
        <f t="shared" si="23"/>
        <v>65</v>
      </c>
      <c r="AH29" s="3">
        <f t="shared" si="24"/>
        <v>53</v>
      </c>
      <c r="AI29" s="3">
        <f t="shared" si="25"/>
        <v>79</v>
      </c>
      <c r="AJ29" s="3">
        <f t="shared" si="26"/>
        <v>57</v>
      </c>
      <c r="AK29" s="3">
        <f t="shared" si="27"/>
        <v>68</v>
      </c>
      <c r="AL29" s="3">
        <f t="shared" si="28"/>
        <v>59</v>
      </c>
      <c r="AM29" s="3">
        <f t="shared" si="28"/>
        <v>50</v>
      </c>
      <c r="AN29" s="39">
        <f t="shared" si="29"/>
        <v>683</v>
      </c>
    </row>
    <row r="30" spans="1:71" x14ac:dyDescent="0.3">
      <c r="A30" s="103" t="s">
        <v>128</v>
      </c>
      <c r="B30" s="6">
        <v>57</v>
      </c>
      <c r="C30" s="1">
        <v>53</v>
      </c>
      <c r="D30" s="1">
        <v>70</v>
      </c>
      <c r="E30" s="1">
        <v>85</v>
      </c>
      <c r="F30" s="1">
        <v>88</v>
      </c>
      <c r="G30" s="1">
        <v>87</v>
      </c>
      <c r="H30" s="1">
        <v>80</v>
      </c>
      <c r="I30" s="1">
        <v>111</v>
      </c>
      <c r="J30" s="1">
        <v>72</v>
      </c>
      <c r="K30" s="1">
        <v>72</v>
      </c>
      <c r="L30" s="1">
        <v>70</v>
      </c>
      <c r="M30" s="1">
        <v>71</v>
      </c>
      <c r="N30" s="107">
        <f t="shared" si="17"/>
        <v>916</v>
      </c>
      <c r="O30" s="6">
        <v>2</v>
      </c>
      <c r="P30" s="1">
        <v>2</v>
      </c>
      <c r="Q30" s="1">
        <v>2</v>
      </c>
      <c r="R30" s="1">
        <v>3</v>
      </c>
      <c r="S30" s="1">
        <v>6</v>
      </c>
      <c r="T30" s="1">
        <v>1</v>
      </c>
      <c r="U30" s="1">
        <v>3</v>
      </c>
      <c r="V30" s="1">
        <v>7</v>
      </c>
      <c r="W30" s="1">
        <v>4</v>
      </c>
      <c r="X30" s="1">
        <v>0</v>
      </c>
      <c r="Y30" s="1">
        <v>6</v>
      </c>
      <c r="Z30" s="1">
        <v>2</v>
      </c>
      <c r="AA30" s="107">
        <f t="shared" si="30"/>
        <v>38</v>
      </c>
      <c r="AB30" s="108">
        <f t="shared" si="18"/>
        <v>59</v>
      </c>
      <c r="AC30" s="3">
        <f t="shared" si="19"/>
        <v>55</v>
      </c>
      <c r="AD30" s="3">
        <f t="shared" si="20"/>
        <v>72</v>
      </c>
      <c r="AE30" s="3">
        <f t="shared" si="21"/>
        <v>88</v>
      </c>
      <c r="AF30" s="3">
        <f t="shared" si="22"/>
        <v>94</v>
      </c>
      <c r="AG30" s="3">
        <f t="shared" si="23"/>
        <v>88</v>
      </c>
      <c r="AH30" s="3">
        <f t="shared" si="24"/>
        <v>83</v>
      </c>
      <c r="AI30" s="3">
        <f t="shared" si="25"/>
        <v>118</v>
      </c>
      <c r="AJ30" s="3">
        <f t="shared" si="26"/>
        <v>76</v>
      </c>
      <c r="AK30" s="3">
        <f t="shared" si="27"/>
        <v>72</v>
      </c>
      <c r="AL30" s="3">
        <f t="shared" si="28"/>
        <v>76</v>
      </c>
      <c r="AM30" s="3">
        <f t="shared" si="28"/>
        <v>73</v>
      </c>
      <c r="AN30" s="39">
        <f t="shared" si="29"/>
        <v>954</v>
      </c>
    </row>
    <row r="31" spans="1:71" x14ac:dyDescent="0.3">
      <c r="A31" s="103" t="s">
        <v>3</v>
      </c>
      <c r="B31" s="6">
        <v>39</v>
      </c>
      <c r="C31" s="1">
        <v>41</v>
      </c>
      <c r="D31" s="1">
        <v>52</v>
      </c>
      <c r="E31" s="1">
        <v>70</v>
      </c>
      <c r="F31" s="1">
        <v>75</v>
      </c>
      <c r="G31" s="1">
        <v>64</v>
      </c>
      <c r="H31" s="1">
        <v>68</v>
      </c>
      <c r="I31" s="1">
        <v>101</v>
      </c>
      <c r="J31" s="1">
        <v>83</v>
      </c>
      <c r="K31" s="1">
        <v>84</v>
      </c>
      <c r="L31" s="1">
        <v>81</v>
      </c>
      <c r="M31" s="1">
        <v>70</v>
      </c>
      <c r="N31" s="107">
        <f t="shared" si="17"/>
        <v>828</v>
      </c>
      <c r="O31" s="6">
        <v>3</v>
      </c>
      <c r="P31" s="1">
        <v>0</v>
      </c>
      <c r="Q31" s="1">
        <v>1</v>
      </c>
      <c r="R31" s="1">
        <v>1</v>
      </c>
      <c r="S31" s="1">
        <v>0</v>
      </c>
      <c r="T31" s="1">
        <v>2</v>
      </c>
      <c r="U31" s="1">
        <v>2</v>
      </c>
      <c r="V31" s="1">
        <v>1</v>
      </c>
      <c r="W31" s="1">
        <v>2</v>
      </c>
      <c r="X31" s="1">
        <v>0</v>
      </c>
      <c r="Y31" s="1">
        <v>0</v>
      </c>
      <c r="Z31" s="1">
        <v>0</v>
      </c>
      <c r="AA31" s="107">
        <f t="shared" si="30"/>
        <v>12</v>
      </c>
      <c r="AB31" s="108">
        <f t="shared" si="18"/>
        <v>42</v>
      </c>
      <c r="AC31" s="3">
        <f t="shared" si="19"/>
        <v>41</v>
      </c>
      <c r="AD31" s="3">
        <f t="shared" si="20"/>
        <v>53</v>
      </c>
      <c r="AE31" s="3">
        <f t="shared" si="21"/>
        <v>71</v>
      </c>
      <c r="AF31" s="3">
        <f t="shared" si="22"/>
        <v>75</v>
      </c>
      <c r="AG31" s="3">
        <f t="shared" si="23"/>
        <v>66</v>
      </c>
      <c r="AH31" s="3">
        <f t="shared" si="24"/>
        <v>70</v>
      </c>
      <c r="AI31" s="3">
        <f t="shared" si="25"/>
        <v>102</v>
      </c>
      <c r="AJ31" s="3">
        <f t="shared" si="26"/>
        <v>85</v>
      </c>
      <c r="AK31" s="3">
        <f t="shared" si="27"/>
        <v>84</v>
      </c>
      <c r="AL31" s="3">
        <f t="shared" si="28"/>
        <v>81</v>
      </c>
      <c r="AM31" s="3">
        <f t="shared" si="28"/>
        <v>70</v>
      </c>
      <c r="AN31" s="39">
        <f t="shared" si="29"/>
        <v>840</v>
      </c>
    </row>
    <row r="32" spans="1:71" x14ac:dyDescent="0.3">
      <c r="A32" s="103" t="s">
        <v>10</v>
      </c>
      <c r="B32" s="6">
        <v>17</v>
      </c>
      <c r="C32" s="1">
        <v>20</v>
      </c>
      <c r="D32" s="1">
        <v>21</v>
      </c>
      <c r="E32" s="1">
        <v>22</v>
      </c>
      <c r="F32" s="1">
        <v>25</v>
      </c>
      <c r="G32" s="1">
        <v>22</v>
      </c>
      <c r="H32" s="1">
        <v>18</v>
      </c>
      <c r="I32" s="1">
        <v>15</v>
      </c>
      <c r="J32" s="1">
        <v>14</v>
      </c>
      <c r="K32" s="1">
        <v>12</v>
      </c>
      <c r="L32" s="1">
        <v>22</v>
      </c>
      <c r="M32" s="1">
        <v>19</v>
      </c>
      <c r="N32" s="107">
        <f t="shared" si="17"/>
        <v>227</v>
      </c>
      <c r="O32" s="6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</v>
      </c>
      <c r="Y32" s="1">
        <v>2</v>
      </c>
      <c r="Z32" s="1">
        <v>2</v>
      </c>
      <c r="AA32" s="107">
        <f t="shared" si="30"/>
        <v>6</v>
      </c>
      <c r="AB32" s="108">
        <f t="shared" si="18"/>
        <v>17</v>
      </c>
      <c r="AC32" s="3">
        <f t="shared" si="19"/>
        <v>20</v>
      </c>
      <c r="AD32" s="3">
        <f t="shared" si="20"/>
        <v>21</v>
      </c>
      <c r="AE32" s="3">
        <f t="shared" si="21"/>
        <v>22</v>
      </c>
      <c r="AF32" s="3">
        <f t="shared" si="22"/>
        <v>25</v>
      </c>
      <c r="AG32" s="3">
        <f t="shared" si="23"/>
        <v>22</v>
      </c>
      <c r="AH32" s="3">
        <f t="shared" si="24"/>
        <v>18</v>
      </c>
      <c r="AI32" s="3">
        <f t="shared" si="25"/>
        <v>15</v>
      </c>
      <c r="AJ32" s="3">
        <f t="shared" si="26"/>
        <v>15</v>
      </c>
      <c r="AK32" s="3">
        <f t="shared" si="27"/>
        <v>13</v>
      </c>
      <c r="AL32" s="3">
        <f t="shared" si="28"/>
        <v>24</v>
      </c>
      <c r="AM32" s="3">
        <f t="shared" si="28"/>
        <v>21</v>
      </c>
      <c r="AN32" s="39">
        <f t="shared" si="29"/>
        <v>233</v>
      </c>
    </row>
    <row r="33" spans="1:40" x14ac:dyDescent="0.3">
      <c r="A33" s="103" t="s">
        <v>11</v>
      </c>
      <c r="B33" s="6">
        <v>25</v>
      </c>
      <c r="C33" s="1">
        <v>36</v>
      </c>
      <c r="D33" s="1">
        <v>38</v>
      </c>
      <c r="E33" s="1">
        <v>44</v>
      </c>
      <c r="F33" s="1">
        <v>49</v>
      </c>
      <c r="G33" s="1">
        <v>43</v>
      </c>
      <c r="H33" s="1">
        <v>47</v>
      </c>
      <c r="I33" s="1">
        <v>53</v>
      </c>
      <c r="J33" s="1">
        <v>52</v>
      </c>
      <c r="K33" s="1">
        <v>45</v>
      </c>
      <c r="L33" s="1">
        <v>55</v>
      </c>
      <c r="M33" s="1">
        <v>43</v>
      </c>
      <c r="N33" s="107">
        <f t="shared" si="17"/>
        <v>530</v>
      </c>
      <c r="O33" s="6">
        <v>1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3</v>
      </c>
      <c r="Y33" s="1">
        <v>2</v>
      </c>
      <c r="Z33" s="1">
        <v>0</v>
      </c>
      <c r="AA33" s="107">
        <f t="shared" si="30"/>
        <v>8</v>
      </c>
      <c r="AB33" s="108">
        <f t="shared" si="18"/>
        <v>26</v>
      </c>
      <c r="AC33" s="3">
        <f t="shared" si="19"/>
        <v>36</v>
      </c>
      <c r="AD33" s="3">
        <f t="shared" si="20"/>
        <v>39</v>
      </c>
      <c r="AE33" s="3">
        <f t="shared" si="21"/>
        <v>44</v>
      </c>
      <c r="AF33" s="3">
        <f t="shared" si="22"/>
        <v>49</v>
      </c>
      <c r="AG33" s="3">
        <f t="shared" si="23"/>
        <v>43</v>
      </c>
      <c r="AH33" s="3">
        <f t="shared" si="24"/>
        <v>48</v>
      </c>
      <c r="AI33" s="3">
        <f t="shared" si="25"/>
        <v>53</v>
      </c>
      <c r="AJ33" s="3">
        <f t="shared" si="26"/>
        <v>52</v>
      </c>
      <c r="AK33" s="3">
        <f t="shared" si="27"/>
        <v>48</v>
      </c>
      <c r="AL33" s="3">
        <f t="shared" si="28"/>
        <v>57</v>
      </c>
      <c r="AM33" s="3">
        <f t="shared" si="28"/>
        <v>43</v>
      </c>
      <c r="AN33" s="39">
        <f t="shared" si="29"/>
        <v>538</v>
      </c>
    </row>
    <row r="34" spans="1:40" x14ac:dyDescent="0.3">
      <c r="A34" s="103" t="s">
        <v>5</v>
      </c>
      <c r="B34" s="6">
        <v>30</v>
      </c>
      <c r="C34" s="1">
        <v>26</v>
      </c>
      <c r="D34" s="1">
        <v>31</v>
      </c>
      <c r="E34" s="1">
        <v>41</v>
      </c>
      <c r="F34" s="1">
        <v>35</v>
      </c>
      <c r="G34" s="1">
        <v>46</v>
      </c>
      <c r="H34" s="1">
        <v>39</v>
      </c>
      <c r="I34" s="1">
        <v>34</v>
      </c>
      <c r="J34" s="1">
        <v>39</v>
      </c>
      <c r="K34" s="1">
        <v>61</v>
      </c>
      <c r="L34" s="1">
        <v>61</v>
      </c>
      <c r="M34" s="1">
        <v>62</v>
      </c>
      <c r="N34" s="107">
        <f t="shared" si="17"/>
        <v>505</v>
      </c>
      <c r="O34" s="6">
        <v>0</v>
      </c>
      <c r="P34" s="1">
        <v>0</v>
      </c>
      <c r="Q34" s="1">
        <v>0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24</v>
      </c>
      <c r="Y34" s="1">
        <v>24</v>
      </c>
      <c r="Z34" s="1">
        <v>11</v>
      </c>
      <c r="AA34" s="107">
        <f t="shared" si="30"/>
        <v>65</v>
      </c>
      <c r="AB34" s="108">
        <f t="shared" si="18"/>
        <v>30</v>
      </c>
      <c r="AC34" s="3">
        <f t="shared" si="19"/>
        <v>26</v>
      </c>
      <c r="AD34" s="3">
        <f t="shared" si="20"/>
        <v>31</v>
      </c>
      <c r="AE34" s="3">
        <f t="shared" si="21"/>
        <v>42</v>
      </c>
      <c r="AF34" s="3">
        <f t="shared" si="22"/>
        <v>36</v>
      </c>
      <c r="AG34" s="3">
        <f t="shared" si="23"/>
        <v>47</v>
      </c>
      <c r="AH34" s="3">
        <f t="shared" si="24"/>
        <v>40</v>
      </c>
      <c r="AI34" s="3">
        <f t="shared" si="25"/>
        <v>35</v>
      </c>
      <c r="AJ34" s="3">
        <f t="shared" si="26"/>
        <v>40</v>
      </c>
      <c r="AK34" s="3">
        <f t="shared" si="27"/>
        <v>85</v>
      </c>
      <c r="AL34" s="3">
        <f t="shared" si="28"/>
        <v>85</v>
      </c>
      <c r="AM34" s="3">
        <f t="shared" si="28"/>
        <v>73</v>
      </c>
      <c r="AN34" s="39">
        <f t="shared" si="29"/>
        <v>570</v>
      </c>
    </row>
    <row r="35" spans="1:40" x14ac:dyDescent="0.3">
      <c r="A35" s="103" t="s">
        <v>6</v>
      </c>
      <c r="B35" s="6">
        <v>54</v>
      </c>
      <c r="C35" s="1">
        <v>67</v>
      </c>
      <c r="D35" s="1">
        <v>80</v>
      </c>
      <c r="E35" s="1">
        <v>79</v>
      </c>
      <c r="F35" s="1">
        <v>95</v>
      </c>
      <c r="G35" s="1">
        <v>94</v>
      </c>
      <c r="H35" s="1">
        <v>90</v>
      </c>
      <c r="I35" s="1">
        <v>97</v>
      </c>
      <c r="J35" s="1">
        <v>79</v>
      </c>
      <c r="K35" s="1">
        <v>71</v>
      </c>
      <c r="L35" s="1">
        <v>93</v>
      </c>
      <c r="M35" s="1">
        <v>92</v>
      </c>
      <c r="N35" s="107">
        <f t="shared" si="17"/>
        <v>991</v>
      </c>
      <c r="O35" s="6">
        <v>0</v>
      </c>
      <c r="P35" s="1">
        <v>0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0</v>
      </c>
      <c r="W35" s="1">
        <v>1</v>
      </c>
      <c r="X35" s="1">
        <v>18</v>
      </c>
      <c r="Y35" s="1">
        <v>6</v>
      </c>
      <c r="Z35" s="1">
        <v>4</v>
      </c>
      <c r="AA35" s="107">
        <f t="shared" si="30"/>
        <v>31</v>
      </c>
      <c r="AB35" s="108">
        <f t="shared" si="18"/>
        <v>54</v>
      </c>
      <c r="AC35" s="3">
        <f t="shared" si="19"/>
        <v>67</v>
      </c>
      <c r="AD35" s="3">
        <f t="shared" si="20"/>
        <v>80</v>
      </c>
      <c r="AE35" s="3">
        <f t="shared" si="21"/>
        <v>80</v>
      </c>
      <c r="AF35" s="3">
        <f t="shared" si="22"/>
        <v>95</v>
      </c>
      <c r="AG35" s="3">
        <f t="shared" si="23"/>
        <v>94</v>
      </c>
      <c r="AH35" s="3">
        <f t="shared" si="24"/>
        <v>91</v>
      </c>
      <c r="AI35" s="3">
        <f t="shared" si="25"/>
        <v>97</v>
      </c>
      <c r="AJ35" s="3">
        <f t="shared" si="26"/>
        <v>80</v>
      </c>
      <c r="AK35" s="3">
        <f t="shared" si="27"/>
        <v>89</v>
      </c>
      <c r="AL35" s="3">
        <f t="shared" si="28"/>
        <v>99</v>
      </c>
      <c r="AM35" s="3">
        <f t="shared" si="28"/>
        <v>96</v>
      </c>
      <c r="AN35" s="39">
        <f t="shared" si="29"/>
        <v>1022</v>
      </c>
    </row>
    <row r="36" spans="1:40" x14ac:dyDescent="0.3">
      <c r="A36" s="103" t="s">
        <v>9</v>
      </c>
      <c r="B36" s="6">
        <v>22</v>
      </c>
      <c r="C36" s="1">
        <v>23</v>
      </c>
      <c r="D36" s="1">
        <v>21</v>
      </c>
      <c r="E36" s="1">
        <v>21</v>
      </c>
      <c r="F36" s="1">
        <v>27</v>
      </c>
      <c r="G36" s="1">
        <v>25</v>
      </c>
      <c r="H36" s="1">
        <v>19</v>
      </c>
      <c r="I36" s="1">
        <v>15</v>
      </c>
      <c r="J36" s="1">
        <v>16</v>
      </c>
      <c r="K36" s="1">
        <v>14</v>
      </c>
      <c r="L36" s="1">
        <v>17</v>
      </c>
      <c r="M36" s="1">
        <v>24</v>
      </c>
      <c r="N36" s="107">
        <f t="shared" si="17"/>
        <v>244</v>
      </c>
      <c r="O36" s="6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07">
        <f t="shared" si="30"/>
        <v>2</v>
      </c>
      <c r="AB36" s="108">
        <f t="shared" si="18"/>
        <v>22</v>
      </c>
      <c r="AC36" s="3">
        <f t="shared" si="19"/>
        <v>23</v>
      </c>
      <c r="AD36" s="3">
        <f t="shared" si="20"/>
        <v>21</v>
      </c>
      <c r="AE36" s="3">
        <f t="shared" si="21"/>
        <v>22</v>
      </c>
      <c r="AF36" s="3">
        <f t="shared" si="22"/>
        <v>27</v>
      </c>
      <c r="AG36" s="3">
        <f t="shared" si="23"/>
        <v>25</v>
      </c>
      <c r="AH36" s="3">
        <f t="shared" si="24"/>
        <v>19</v>
      </c>
      <c r="AI36" s="3">
        <f t="shared" si="25"/>
        <v>15</v>
      </c>
      <c r="AJ36" s="3">
        <f t="shared" si="26"/>
        <v>16</v>
      </c>
      <c r="AK36" s="3">
        <f t="shared" si="27"/>
        <v>14</v>
      </c>
      <c r="AL36" s="3">
        <f t="shared" si="28"/>
        <v>18</v>
      </c>
      <c r="AM36" s="3">
        <f t="shared" si="28"/>
        <v>24</v>
      </c>
      <c r="AN36" s="39">
        <f t="shared" si="29"/>
        <v>246</v>
      </c>
    </row>
    <row r="37" spans="1:40" x14ac:dyDescent="0.3">
      <c r="A37" s="103" t="s">
        <v>12</v>
      </c>
      <c r="B37" s="6">
        <v>10</v>
      </c>
      <c r="C37" s="1">
        <v>11</v>
      </c>
      <c r="D37" s="1">
        <v>10</v>
      </c>
      <c r="E37" s="1">
        <v>14</v>
      </c>
      <c r="F37" s="1">
        <v>18</v>
      </c>
      <c r="G37" s="1">
        <v>17</v>
      </c>
      <c r="H37" s="1">
        <v>17</v>
      </c>
      <c r="I37" s="1">
        <v>14</v>
      </c>
      <c r="J37" s="1">
        <v>14</v>
      </c>
      <c r="K37" s="1">
        <v>12</v>
      </c>
      <c r="L37" s="1">
        <v>16</v>
      </c>
      <c r="M37" s="1">
        <v>25</v>
      </c>
      <c r="N37" s="107">
        <f t="shared" si="17"/>
        <v>178</v>
      </c>
      <c r="O37" s="6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07">
        <f t="shared" si="30"/>
        <v>1</v>
      </c>
      <c r="AB37" s="108">
        <f t="shared" si="18"/>
        <v>10</v>
      </c>
      <c r="AC37" s="3">
        <f t="shared" si="19"/>
        <v>11</v>
      </c>
      <c r="AD37" s="3">
        <f t="shared" si="20"/>
        <v>10</v>
      </c>
      <c r="AE37" s="3">
        <f t="shared" si="21"/>
        <v>15</v>
      </c>
      <c r="AF37" s="3">
        <f t="shared" si="22"/>
        <v>18</v>
      </c>
      <c r="AG37" s="3">
        <f t="shared" si="23"/>
        <v>17</v>
      </c>
      <c r="AH37" s="3">
        <f t="shared" si="24"/>
        <v>17</v>
      </c>
      <c r="AI37" s="3">
        <f t="shared" si="25"/>
        <v>14</v>
      </c>
      <c r="AJ37" s="3">
        <f t="shared" si="26"/>
        <v>14</v>
      </c>
      <c r="AK37" s="3">
        <f t="shared" si="27"/>
        <v>12</v>
      </c>
      <c r="AL37" s="3">
        <f t="shared" si="28"/>
        <v>16</v>
      </c>
      <c r="AM37" s="3">
        <f t="shared" si="28"/>
        <v>25</v>
      </c>
      <c r="AN37" s="39">
        <f t="shared" si="29"/>
        <v>179</v>
      </c>
    </row>
    <row r="38" spans="1:40" x14ac:dyDescent="0.3">
      <c r="A38" s="103" t="s">
        <v>23</v>
      </c>
      <c r="B38" s="6"/>
      <c r="C38" s="1"/>
      <c r="D38" s="1"/>
      <c r="E38" s="1"/>
      <c r="F38" s="1">
        <v>9</v>
      </c>
      <c r="G38" s="1">
        <v>19</v>
      </c>
      <c r="H38" s="1">
        <v>18</v>
      </c>
      <c r="I38" s="1">
        <v>26</v>
      </c>
      <c r="J38" s="1">
        <v>21</v>
      </c>
      <c r="K38" s="1">
        <v>26</v>
      </c>
      <c r="L38" s="1">
        <v>33</v>
      </c>
      <c r="M38" s="1">
        <v>44</v>
      </c>
      <c r="N38" s="107">
        <f t="shared" si="17"/>
        <v>196</v>
      </c>
      <c r="O38" s="6"/>
      <c r="P38" s="1"/>
      <c r="Q38" s="1"/>
      <c r="R38" s="1"/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2</v>
      </c>
      <c r="Z38" s="1">
        <v>1</v>
      </c>
      <c r="AA38" s="107">
        <f t="shared" si="30"/>
        <v>5</v>
      </c>
      <c r="AB38" s="108">
        <f t="shared" si="18"/>
        <v>0</v>
      </c>
      <c r="AC38" s="3">
        <f t="shared" si="19"/>
        <v>0</v>
      </c>
      <c r="AD38" s="3">
        <f t="shared" si="20"/>
        <v>0</v>
      </c>
      <c r="AE38" s="3">
        <f t="shared" si="21"/>
        <v>0</v>
      </c>
      <c r="AF38" s="3">
        <f t="shared" si="22"/>
        <v>10</v>
      </c>
      <c r="AG38" s="3">
        <f t="shared" si="23"/>
        <v>19</v>
      </c>
      <c r="AH38" s="3">
        <f t="shared" si="24"/>
        <v>18</v>
      </c>
      <c r="AI38" s="3">
        <f t="shared" si="25"/>
        <v>26</v>
      </c>
      <c r="AJ38" s="3">
        <f t="shared" si="26"/>
        <v>21</v>
      </c>
      <c r="AK38" s="3">
        <f t="shared" si="27"/>
        <v>27</v>
      </c>
      <c r="AL38" s="3">
        <f t="shared" si="28"/>
        <v>35</v>
      </c>
      <c r="AM38" s="3">
        <f t="shared" si="28"/>
        <v>45</v>
      </c>
      <c r="AN38" s="39">
        <f t="shared" si="29"/>
        <v>201</v>
      </c>
    </row>
    <row r="39" spans="1:40" x14ac:dyDescent="0.3">
      <c r="A39" s="103" t="s">
        <v>103</v>
      </c>
      <c r="B39" s="6">
        <v>30</v>
      </c>
      <c r="C39" s="1">
        <v>25</v>
      </c>
      <c r="D39" s="1">
        <v>32</v>
      </c>
      <c r="E39" s="1">
        <v>33</v>
      </c>
      <c r="F39" s="1">
        <v>19</v>
      </c>
      <c r="G39" s="1">
        <v>30</v>
      </c>
      <c r="H39" s="1">
        <v>20</v>
      </c>
      <c r="I39" s="1">
        <v>8</v>
      </c>
      <c r="J39" s="1">
        <v>1</v>
      </c>
      <c r="K39" s="1">
        <v>16</v>
      </c>
      <c r="L39" s="1">
        <v>0</v>
      </c>
      <c r="M39" s="1">
        <v>0</v>
      </c>
      <c r="N39" s="107">
        <f t="shared" si="17"/>
        <v>214</v>
      </c>
      <c r="O39" s="6">
        <v>1</v>
      </c>
      <c r="P39" s="1">
        <v>0</v>
      </c>
      <c r="Q39" s="1">
        <v>1</v>
      </c>
      <c r="R39" s="1">
        <v>4</v>
      </c>
      <c r="S39" s="1">
        <v>1</v>
      </c>
      <c r="T39" s="1">
        <v>2</v>
      </c>
      <c r="U39" s="1">
        <v>0</v>
      </c>
      <c r="V39" s="1">
        <v>2</v>
      </c>
      <c r="W39" s="1">
        <v>2</v>
      </c>
      <c r="X39" s="1">
        <v>2</v>
      </c>
      <c r="Y39" s="1">
        <v>3</v>
      </c>
      <c r="Z39" s="1">
        <v>1</v>
      </c>
      <c r="AA39" s="107">
        <f t="shared" si="30"/>
        <v>19</v>
      </c>
      <c r="AB39" s="108">
        <f t="shared" si="18"/>
        <v>31</v>
      </c>
      <c r="AC39" s="3">
        <f t="shared" si="19"/>
        <v>25</v>
      </c>
      <c r="AD39" s="3">
        <f t="shared" si="20"/>
        <v>33</v>
      </c>
      <c r="AE39" s="3">
        <f t="shared" si="21"/>
        <v>37</v>
      </c>
      <c r="AF39" s="3">
        <f t="shared" si="22"/>
        <v>20</v>
      </c>
      <c r="AG39" s="3">
        <f t="shared" si="23"/>
        <v>32</v>
      </c>
      <c r="AH39" s="3">
        <f t="shared" si="24"/>
        <v>20</v>
      </c>
      <c r="AI39" s="3">
        <f t="shared" si="25"/>
        <v>10</v>
      </c>
      <c r="AJ39" s="3">
        <f t="shared" si="26"/>
        <v>3</v>
      </c>
      <c r="AK39" s="3">
        <f t="shared" si="27"/>
        <v>18</v>
      </c>
      <c r="AL39" s="3">
        <f t="shared" si="28"/>
        <v>3</v>
      </c>
      <c r="AM39" s="3">
        <f t="shared" si="28"/>
        <v>1</v>
      </c>
      <c r="AN39" s="39">
        <f t="shared" si="29"/>
        <v>233</v>
      </c>
    </row>
    <row r="40" spans="1:40" s="4" customFormat="1" ht="15" thickBot="1" x14ac:dyDescent="0.35">
      <c r="A40" s="109" t="s">
        <v>14</v>
      </c>
      <c r="B40" s="9">
        <v>425</v>
      </c>
      <c r="C40" s="5">
        <v>461</v>
      </c>
      <c r="D40" s="5">
        <v>535</v>
      </c>
      <c r="E40" s="5">
        <v>633</v>
      </c>
      <c r="F40" s="5">
        <f t="shared" ref="F40:K40" si="31">SUM(F25:F39)</f>
        <v>654</v>
      </c>
      <c r="G40" s="5">
        <f t="shared" si="31"/>
        <v>674</v>
      </c>
      <c r="H40" s="5">
        <f t="shared" si="31"/>
        <v>621</v>
      </c>
      <c r="I40" s="5">
        <f t="shared" si="31"/>
        <v>689</v>
      </c>
      <c r="J40" s="5">
        <f t="shared" si="31"/>
        <v>593</v>
      </c>
      <c r="K40" s="5">
        <f t="shared" si="31"/>
        <v>622</v>
      </c>
      <c r="L40" s="5">
        <f>SUM(L25:L39)</f>
        <v>664</v>
      </c>
      <c r="M40" s="5">
        <f>SUM(M25:M39)</f>
        <v>655</v>
      </c>
      <c r="N40" s="40">
        <f>SUM(N25:N39)</f>
        <v>7226</v>
      </c>
      <c r="O40" s="9">
        <v>9</v>
      </c>
      <c r="P40" s="5">
        <v>3</v>
      </c>
      <c r="Q40" s="5">
        <v>8</v>
      </c>
      <c r="R40" s="5">
        <v>15</v>
      </c>
      <c r="S40" s="5">
        <f t="shared" ref="S40:AJ40" si="32">SUM(S25:S39)</f>
        <v>13</v>
      </c>
      <c r="T40" s="5">
        <f t="shared" si="32"/>
        <v>11</v>
      </c>
      <c r="U40" s="5">
        <f t="shared" si="32"/>
        <v>10</v>
      </c>
      <c r="V40" s="5">
        <f t="shared" ref="V40" si="33">SUM(V25:V39)</f>
        <v>17</v>
      </c>
      <c r="W40" s="5">
        <f t="shared" si="32"/>
        <v>12</v>
      </c>
      <c r="X40" s="5">
        <f>SUM(X25:X39)</f>
        <v>75</v>
      </c>
      <c r="Y40" s="5">
        <f>SUM(Y25:Y39)</f>
        <v>68</v>
      </c>
      <c r="Z40" s="5">
        <f>SUM(Z25:Z39)</f>
        <v>32</v>
      </c>
      <c r="AA40" s="40">
        <f>SUM(AA25:AA39)</f>
        <v>273</v>
      </c>
      <c r="AB40" s="9">
        <f t="shared" si="32"/>
        <v>434</v>
      </c>
      <c r="AC40" s="5">
        <f t="shared" si="32"/>
        <v>464</v>
      </c>
      <c r="AD40" s="5">
        <f t="shared" si="32"/>
        <v>543</v>
      </c>
      <c r="AE40" s="5">
        <f t="shared" si="32"/>
        <v>648</v>
      </c>
      <c r="AF40" s="5">
        <f t="shared" si="32"/>
        <v>667</v>
      </c>
      <c r="AG40" s="5">
        <f t="shared" si="32"/>
        <v>685</v>
      </c>
      <c r="AH40" s="5">
        <f t="shared" si="32"/>
        <v>631</v>
      </c>
      <c r="AI40" s="5">
        <f t="shared" si="32"/>
        <v>706</v>
      </c>
      <c r="AJ40" s="5">
        <f t="shared" si="32"/>
        <v>605</v>
      </c>
      <c r="AK40" s="5">
        <f t="shared" ref="AK40:AL40" si="34">SUM(AK25:AK39)</f>
        <v>697</v>
      </c>
      <c r="AL40" s="5">
        <f t="shared" si="34"/>
        <v>732</v>
      </c>
      <c r="AM40" s="5">
        <f>SUM(AM25:AM39)</f>
        <v>687</v>
      </c>
      <c r="AN40" s="40">
        <f>SUM(AN25:AN39)</f>
        <v>7499</v>
      </c>
    </row>
    <row r="42" spans="1:40" x14ac:dyDescent="0.3">
      <c r="A42" s="99" t="s">
        <v>51</v>
      </c>
      <c r="B42" s="100">
        <f>B40+B20</f>
        <v>701</v>
      </c>
      <c r="C42" s="100">
        <f t="shared" ref="C42:AN42" si="35">C40+C20</f>
        <v>803</v>
      </c>
      <c r="D42" s="100">
        <f t="shared" si="35"/>
        <v>891</v>
      </c>
      <c r="E42" s="100">
        <f t="shared" si="35"/>
        <v>995</v>
      </c>
      <c r="F42" s="100">
        <f t="shared" si="35"/>
        <v>966</v>
      </c>
      <c r="G42" s="100">
        <f t="shared" si="35"/>
        <v>927</v>
      </c>
      <c r="H42" s="100">
        <f t="shared" si="35"/>
        <v>867</v>
      </c>
      <c r="I42" s="100">
        <f t="shared" si="35"/>
        <v>892</v>
      </c>
      <c r="J42" s="100">
        <f t="shared" si="35"/>
        <v>890</v>
      </c>
      <c r="K42" s="100">
        <f t="shared" si="35"/>
        <v>958</v>
      </c>
      <c r="L42" s="100">
        <f t="shared" si="35"/>
        <v>1010</v>
      </c>
      <c r="M42" s="100">
        <f t="shared" si="35"/>
        <v>938</v>
      </c>
      <c r="N42" s="100">
        <f t="shared" si="35"/>
        <v>10838</v>
      </c>
      <c r="O42" s="100">
        <f t="shared" si="35"/>
        <v>176</v>
      </c>
      <c r="P42" s="100">
        <f t="shared" si="35"/>
        <v>200</v>
      </c>
      <c r="Q42" s="100">
        <f t="shared" si="35"/>
        <v>199</v>
      </c>
      <c r="R42" s="100">
        <f t="shared" si="35"/>
        <v>180</v>
      </c>
      <c r="S42" s="100">
        <f t="shared" si="35"/>
        <v>206</v>
      </c>
      <c r="T42" s="100">
        <f t="shared" si="35"/>
        <v>140</v>
      </c>
      <c r="U42" s="100">
        <f t="shared" si="35"/>
        <v>153</v>
      </c>
      <c r="V42" s="100">
        <f t="shared" si="35"/>
        <v>167</v>
      </c>
      <c r="W42" s="100">
        <f t="shared" si="35"/>
        <v>215</v>
      </c>
      <c r="X42" s="100">
        <f t="shared" si="35"/>
        <v>306</v>
      </c>
      <c r="Y42" s="100">
        <f t="shared" si="35"/>
        <v>282</v>
      </c>
      <c r="Z42" s="100">
        <f t="shared" si="35"/>
        <v>244</v>
      </c>
      <c r="AA42" s="100">
        <f t="shared" si="35"/>
        <v>2468</v>
      </c>
      <c r="AB42" s="100">
        <f t="shared" si="35"/>
        <v>877</v>
      </c>
      <c r="AC42" s="100">
        <f t="shared" si="35"/>
        <v>1003</v>
      </c>
      <c r="AD42" s="100">
        <f t="shared" si="35"/>
        <v>1090</v>
      </c>
      <c r="AE42" s="100">
        <f t="shared" si="35"/>
        <v>1175</v>
      </c>
      <c r="AF42" s="100">
        <f t="shared" si="35"/>
        <v>1172</v>
      </c>
      <c r="AG42" s="100">
        <f t="shared" si="35"/>
        <v>1067</v>
      </c>
      <c r="AH42" s="100">
        <f t="shared" si="35"/>
        <v>1020</v>
      </c>
      <c r="AI42" s="100">
        <f t="shared" si="35"/>
        <v>1059</v>
      </c>
      <c r="AJ42" s="100">
        <f t="shared" si="35"/>
        <v>1105</v>
      </c>
      <c r="AK42" s="100">
        <f t="shared" si="35"/>
        <v>1264</v>
      </c>
      <c r="AL42" s="100">
        <f t="shared" si="35"/>
        <v>1292</v>
      </c>
      <c r="AM42" s="100">
        <f t="shared" si="35"/>
        <v>1182</v>
      </c>
      <c r="AN42" s="100">
        <f t="shared" si="35"/>
        <v>13306</v>
      </c>
    </row>
  </sheetData>
  <mergeCells count="8">
    <mergeCell ref="A2:AN2"/>
    <mergeCell ref="AB3:AN3"/>
    <mergeCell ref="B3:N3"/>
    <mergeCell ref="O3:AA3"/>
    <mergeCell ref="B23:N23"/>
    <mergeCell ref="O23:AA23"/>
    <mergeCell ref="AB23:AN23"/>
    <mergeCell ref="A22:AN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4D58-CC99-425A-9545-59CBDCAF5307}">
  <dimension ref="A1:FD24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5" sqref="A15"/>
    </sheetView>
  </sheetViews>
  <sheetFormatPr defaultRowHeight="14.4" x14ac:dyDescent="0.3"/>
  <cols>
    <col min="1" max="1" width="17.33203125" style="118" bestFit="1" customWidth="1"/>
    <col min="2" max="2" width="4.33203125" style="118" bestFit="1" customWidth="1"/>
    <col min="3" max="3" width="5.21875" style="118" bestFit="1" customWidth="1"/>
    <col min="4" max="4" width="5.6640625" style="119" bestFit="1" customWidth="1"/>
    <col min="5" max="5" width="10.21875" style="118" bestFit="1" customWidth="1"/>
    <col min="6" max="6" width="4.33203125" style="118" bestFit="1" customWidth="1"/>
    <col min="7" max="7" width="5.21875" style="118" bestFit="1" customWidth="1"/>
    <col min="8" max="8" width="5.6640625" style="118" bestFit="1" customWidth="1"/>
    <col min="9" max="9" width="10.21875" style="118" bestFit="1" customWidth="1"/>
    <col min="10" max="10" width="4.33203125" style="118" bestFit="1" customWidth="1"/>
    <col min="11" max="11" width="5.21875" style="118" bestFit="1" customWidth="1"/>
    <col min="12" max="12" width="5.6640625" style="118" bestFit="1" customWidth="1"/>
    <col min="13" max="13" width="10.21875" style="118" bestFit="1" customWidth="1"/>
    <col min="14" max="14" width="4.33203125" style="118" bestFit="1" customWidth="1"/>
    <col min="15" max="15" width="5.21875" style="118" bestFit="1" customWidth="1"/>
    <col min="16" max="16" width="5.6640625" style="119" bestFit="1" customWidth="1"/>
    <col min="17" max="17" width="10.21875" style="118" bestFit="1" customWidth="1"/>
    <col min="18" max="18" width="4.33203125" style="118" bestFit="1" customWidth="1"/>
    <col min="19" max="19" width="5.21875" style="118" bestFit="1" customWidth="1"/>
    <col min="20" max="20" width="5.6640625" style="118" bestFit="1" customWidth="1"/>
    <col min="21" max="21" width="10.21875" style="118" bestFit="1" customWidth="1"/>
    <col min="22" max="22" width="4.33203125" style="118" bestFit="1" customWidth="1"/>
    <col min="23" max="23" width="5.21875" style="118" bestFit="1" customWidth="1"/>
    <col min="24" max="24" width="5.6640625" style="118" bestFit="1" customWidth="1"/>
    <col min="25" max="25" width="10.21875" style="118" bestFit="1" customWidth="1"/>
    <col min="26" max="26" width="4.33203125" style="118" bestFit="1" customWidth="1"/>
    <col min="27" max="27" width="5.21875" style="118" bestFit="1" customWidth="1"/>
    <col min="28" max="28" width="5.6640625" style="119" bestFit="1" customWidth="1"/>
    <col min="29" max="29" width="10.21875" style="118" bestFit="1" customWidth="1"/>
    <col min="30" max="30" width="4.33203125" style="118" bestFit="1" customWidth="1"/>
    <col min="31" max="31" width="5.21875" style="118" bestFit="1" customWidth="1"/>
    <col min="32" max="32" width="5.6640625" style="118" bestFit="1" customWidth="1"/>
    <col min="33" max="33" width="10.21875" style="118" bestFit="1" customWidth="1"/>
    <col min="34" max="34" width="4.33203125" style="118" bestFit="1" customWidth="1"/>
    <col min="35" max="35" width="5.21875" style="118" bestFit="1" customWidth="1"/>
    <col min="36" max="36" width="5.6640625" style="118" bestFit="1" customWidth="1"/>
    <col min="37" max="37" width="10.21875" style="118" bestFit="1" customWidth="1"/>
    <col min="38" max="38" width="4.33203125" style="118" bestFit="1" customWidth="1"/>
    <col min="39" max="39" width="5.21875" style="118" bestFit="1" customWidth="1"/>
    <col min="40" max="40" width="5.6640625" style="119" bestFit="1" customWidth="1"/>
    <col min="41" max="41" width="10.21875" style="118" bestFit="1" customWidth="1"/>
    <col min="42" max="42" width="4.33203125" style="118" bestFit="1" customWidth="1"/>
    <col min="43" max="43" width="5.21875" style="118" bestFit="1" customWidth="1"/>
    <col min="44" max="44" width="5.6640625" style="118" bestFit="1" customWidth="1"/>
    <col min="45" max="45" width="10.21875" style="118" bestFit="1" customWidth="1"/>
    <col min="46" max="46" width="4.33203125" style="118" bestFit="1" customWidth="1"/>
    <col min="47" max="47" width="5.21875" style="118" bestFit="1" customWidth="1"/>
    <col min="48" max="48" width="5.6640625" style="118" bestFit="1" customWidth="1"/>
    <col min="49" max="49" width="10.21875" style="118" bestFit="1" customWidth="1"/>
    <col min="50" max="50" width="4.33203125" style="118" bestFit="1" customWidth="1"/>
    <col min="51" max="51" width="5.21875" style="118" bestFit="1" customWidth="1"/>
    <col min="52" max="52" width="5.6640625" style="119" bestFit="1" customWidth="1"/>
    <col min="53" max="53" width="10.21875" style="118" bestFit="1" customWidth="1"/>
    <col min="54" max="54" width="4.33203125" style="118" bestFit="1" customWidth="1"/>
    <col min="55" max="55" width="5.21875" style="118" bestFit="1" customWidth="1"/>
    <col min="56" max="56" width="5.6640625" style="118" bestFit="1" customWidth="1"/>
    <col min="57" max="57" width="10.21875" style="118" bestFit="1" customWidth="1"/>
    <col min="58" max="58" width="4.33203125" style="118" bestFit="1" customWidth="1"/>
    <col min="59" max="59" width="5.21875" style="118" bestFit="1" customWidth="1"/>
    <col min="60" max="60" width="5.6640625" style="118" bestFit="1" customWidth="1"/>
    <col min="61" max="61" width="10.21875" style="118" bestFit="1" customWidth="1"/>
    <col min="62" max="62" width="4.33203125" style="118" bestFit="1" customWidth="1"/>
    <col min="63" max="63" width="5.21875" style="118" bestFit="1" customWidth="1"/>
    <col min="64" max="64" width="5.6640625" style="118" bestFit="1" customWidth="1"/>
    <col min="65" max="65" width="10.21875" style="118" bestFit="1" customWidth="1"/>
    <col min="66" max="66" width="4.33203125" style="118" bestFit="1" customWidth="1"/>
    <col min="67" max="67" width="5.21875" style="118" bestFit="1" customWidth="1"/>
    <col min="68" max="68" width="5.6640625" style="118" bestFit="1" customWidth="1"/>
    <col min="69" max="69" width="10.21875" style="118" bestFit="1" customWidth="1"/>
    <col min="70" max="70" width="4.33203125" style="118" bestFit="1" customWidth="1"/>
    <col min="71" max="71" width="5.21875" style="118" bestFit="1" customWidth="1"/>
    <col min="72" max="72" width="5.6640625" style="118" bestFit="1" customWidth="1"/>
    <col min="73" max="73" width="10.21875" style="118" bestFit="1" customWidth="1"/>
    <col min="74" max="74" width="4.33203125" style="118" bestFit="1" customWidth="1"/>
    <col min="75" max="75" width="5.21875" style="118" bestFit="1" customWidth="1"/>
    <col min="76" max="76" width="5.6640625" style="118" bestFit="1" customWidth="1"/>
    <col min="77" max="77" width="10.21875" style="118" bestFit="1" customWidth="1"/>
    <col min="78" max="78" width="4.33203125" style="118" bestFit="1" customWidth="1"/>
    <col min="79" max="79" width="5.21875" style="118" bestFit="1" customWidth="1"/>
    <col min="80" max="80" width="5.6640625" style="118" bestFit="1" customWidth="1"/>
    <col min="81" max="81" width="10.21875" style="118" bestFit="1" customWidth="1"/>
    <col min="82" max="82" width="4.33203125" style="119" bestFit="1" customWidth="1"/>
    <col min="83" max="83" width="5.21875" style="119" bestFit="1" customWidth="1"/>
    <col min="84" max="84" width="5.6640625" style="119" bestFit="1" customWidth="1"/>
    <col min="85" max="85" width="10.21875" style="119" bestFit="1" customWidth="1"/>
    <col min="86" max="86" width="4.33203125" style="119" bestFit="1" customWidth="1"/>
    <col min="87" max="87" width="5.21875" style="119" bestFit="1" customWidth="1"/>
    <col min="88" max="88" width="5.6640625" style="119" bestFit="1" customWidth="1"/>
    <col min="89" max="89" width="10.21875" style="119" bestFit="1" customWidth="1"/>
    <col min="90" max="90" width="4.33203125" style="119" bestFit="1" customWidth="1"/>
    <col min="91" max="91" width="5.21875" style="119" bestFit="1" customWidth="1"/>
    <col min="92" max="92" width="5.6640625" style="119" bestFit="1" customWidth="1"/>
    <col min="93" max="93" width="10.21875" style="119" bestFit="1" customWidth="1"/>
    <col min="94" max="94" width="4.33203125" style="119" bestFit="1" customWidth="1"/>
    <col min="95" max="95" width="5.21875" style="119" bestFit="1" customWidth="1"/>
    <col min="96" max="96" width="5.6640625" style="119" bestFit="1" customWidth="1"/>
    <col min="97" max="97" width="10.21875" style="119" bestFit="1" customWidth="1"/>
    <col min="98" max="98" width="4.33203125" style="119" bestFit="1" customWidth="1"/>
    <col min="99" max="99" width="5.21875" style="119" bestFit="1" customWidth="1"/>
    <col min="100" max="100" width="5.6640625" style="119" bestFit="1" customWidth="1"/>
    <col min="101" max="101" width="10.21875" style="119" customWidth="1"/>
    <col min="102" max="102" width="4.33203125" style="119" bestFit="1" customWidth="1"/>
    <col min="103" max="103" width="5.21875" style="119" bestFit="1" customWidth="1"/>
    <col min="104" max="104" width="5.6640625" style="119" bestFit="1" customWidth="1"/>
    <col min="105" max="105" width="10.21875" style="119" customWidth="1"/>
    <col min="106" max="106" width="4.33203125" style="119" bestFit="1" customWidth="1"/>
    <col min="107" max="107" width="5.21875" style="119" bestFit="1" customWidth="1"/>
    <col min="108" max="108" width="5.6640625" style="119" bestFit="1" customWidth="1"/>
    <col min="109" max="109" width="10.21875" style="119" customWidth="1"/>
    <col min="110" max="110" width="4.33203125" style="119" bestFit="1" customWidth="1"/>
    <col min="111" max="111" width="5.21875" style="119" bestFit="1" customWidth="1"/>
    <col min="112" max="112" width="5.6640625" style="119" bestFit="1" customWidth="1"/>
    <col min="113" max="113" width="10.21875" style="119" customWidth="1"/>
    <col min="114" max="114" width="4.33203125" style="119" bestFit="1" customWidth="1"/>
    <col min="115" max="115" width="5.21875" style="119" bestFit="1" customWidth="1"/>
    <col min="116" max="116" width="5.6640625" style="119" bestFit="1" customWidth="1"/>
    <col min="117" max="117" width="10.21875" style="119" customWidth="1"/>
    <col min="118" max="118" width="4.33203125" style="119" bestFit="1" customWidth="1"/>
    <col min="119" max="119" width="5.21875" style="119" bestFit="1" customWidth="1"/>
    <col min="120" max="120" width="5.6640625" style="119" bestFit="1" customWidth="1"/>
    <col min="121" max="121" width="10.21875" style="119" customWidth="1"/>
    <col min="122" max="122" width="4.33203125" style="119" bestFit="1" customWidth="1"/>
    <col min="123" max="123" width="5.21875" style="119" bestFit="1" customWidth="1"/>
    <col min="124" max="124" width="5.6640625" style="119" bestFit="1" customWidth="1"/>
    <col min="125" max="125" width="10.21875" style="119" customWidth="1"/>
    <col min="126" max="126" width="4.33203125" style="119" bestFit="1" customWidth="1"/>
    <col min="127" max="127" width="5.21875" style="119" bestFit="1" customWidth="1"/>
    <col min="128" max="128" width="5.6640625" style="119" bestFit="1" customWidth="1"/>
    <col min="129" max="129" width="10.21875" style="119" customWidth="1"/>
    <col min="130" max="130" width="4.33203125" style="119" bestFit="1" customWidth="1"/>
    <col min="131" max="131" width="5.21875" style="119" bestFit="1" customWidth="1"/>
    <col min="132" max="132" width="5.6640625" style="119" bestFit="1" customWidth="1"/>
    <col min="133" max="133" width="10.21875" style="119" customWidth="1"/>
    <col min="134" max="134" width="4.33203125" style="119" bestFit="1" customWidth="1"/>
    <col min="135" max="135" width="5.21875" style="119" bestFit="1" customWidth="1"/>
    <col min="136" max="136" width="5.6640625" style="119" bestFit="1" customWidth="1"/>
    <col min="137" max="137" width="10.21875" style="119" customWidth="1"/>
    <col min="138" max="138" width="4.33203125" style="119" bestFit="1" customWidth="1"/>
    <col min="139" max="139" width="5.21875" style="119" bestFit="1" customWidth="1"/>
    <col min="140" max="140" width="5.6640625" style="119" bestFit="1" customWidth="1"/>
    <col min="141" max="141" width="10.21875" style="119" customWidth="1"/>
    <col min="142" max="142" width="4.33203125" style="119" bestFit="1" customWidth="1"/>
    <col min="143" max="143" width="5.21875" style="119" bestFit="1" customWidth="1"/>
    <col min="144" max="144" width="5.6640625" style="119" bestFit="1" customWidth="1"/>
    <col min="145" max="145" width="10.21875" style="119" customWidth="1"/>
    <col min="146" max="146" width="5.33203125" style="118" bestFit="1" customWidth="1"/>
    <col min="147" max="147" width="5.77734375" style="118" bestFit="1" customWidth="1"/>
    <col min="148" max="148" width="4.88671875" style="118" bestFit="1" customWidth="1"/>
    <col min="149" max="149" width="5.33203125" style="118" bestFit="1" customWidth="1"/>
    <col min="150" max="150" width="5.77734375" style="118" bestFit="1" customWidth="1"/>
    <col min="151" max="151" width="5.33203125" style="118" customWidth="1"/>
    <col min="152" max="152" width="5.21875" style="118" bestFit="1" customWidth="1"/>
    <col min="153" max="153" width="5" style="118" bestFit="1" customWidth="1"/>
    <col min="154" max="154" width="5.44140625" style="118" bestFit="1" customWidth="1"/>
    <col min="155" max="155" width="6.5546875" style="118" bestFit="1" customWidth="1"/>
    <col min="156" max="156" width="5.77734375" style="118" bestFit="1" customWidth="1"/>
    <col min="157" max="157" width="5.33203125" style="118" bestFit="1" customWidth="1"/>
    <col min="158" max="158" width="5.77734375" style="118" bestFit="1" customWidth="1"/>
    <col min="159" max="159" width="4.88671875" style="118" bestFit="1" customWidth="1"/>
    <col min="160" max="160" width="5.33203125" style="118" bestFit="1" customWidth="1"/>
    <col min="161" max="161" width="5.77734375" style="118" bestFit="1" customWidth="1"/>
    <col min="162" max="162" width="5.33203125" style="118" bestFit="1" customWidth="1"/>
    <col min="163" max="163" width="5.21875" style="118" bestFit="1" customWidth="1"/>
    <col min="164" max="164" width="5" style="118" bestFit="1" customWidth="1"/>
    <col min="165" max="16384" width="8.88671875" style="118"/>
  </cols>
  <sheetData>
    <row r="1" spans="1:145" x14ac:dyDescent="0.3">
      <c r="A1" s="115" t="s">
        <v>96</v>
      </c>
      <c r="B1" s="382">
        <v>45383</v>
      </c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>
        <v>45413</v>
      </c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>
        <v>45444</v>
      </c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>
        <v>45474</v>
      </c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>
        <v>45505</v>
      </c>
      <c r="AY1" s="382"/>
      <c r="AZ1" s="382"/>
      <c r="BA1" s="382"/>
      <c r="BB1" s="382"/>
      <c r="BC1" s="382"/>
      <c r="BD1" s="382"/>
      <c r="BE1" s="382"/>
      <c r="BF1" s="382"/>
      <c r="BG1" s="382"/>
      <c r="BH1" s="382"/>
      <c r="BI1" s="382"/>
      <c r="BJ1" s="382">
        <v>45536</v>
      </c>
      <c r="BK1" s="382"/>
      <c r="BL1" s="382"/>
      <c r="BM1" s="382"/>
      <c r="BN1" s="382"/>
      <c r="BO1" s="382"/>
      <c r="BP1" s="382"/>
      <c r="BQ1" s="382"/>
      <c r="BR1" s="382"/>
      <c r="BS1" s="382"/>
      <c r="BT1" s="382"/>
      <c r="BU1" s="382"/>
      <c r="BV1" s="382">
        <v>45566</v>
      </c>
      <c r="BW1" s="382"/>
      <c r="BX1" s="382"/>
      <c r="BY1" s="382"/>
      <c r="BZ1" s="382"/>
      <c r="CA1" s="382"/>
      <c r="CB1" s="382"/>
      <c r="CC1" s="382"/>
      <c r="CD1" s="383" t="s">
        <v>14</v>
      </c>
      <c r="CE1" s="383"/>
      <c r="CF1" s="383"/>
      <c r="CG1" s="383"/>
      <c r="CH1" s="382">
        <v>45597</v>
      </c>
      <c r="CI1" s="382"/>
      <c r="CJ1" s="382"/>
      <c r="CK1" s="382"/>
      <c r="CL1" s="382"/>
      <c r="CM1" s="382"/>
      <c r="CN1" s="382"/>
      <c r="CO1" s="382"/>
      <c r="CP1" s="382"/>
      <c r="CQ1" s="382"/>
      <c r="CR1" s="382"/>
      <c r="CS1" s="382"/>
      <c r="CT1" s="382">
        <v>45627</v>
      </c>
      <c r="CU1" s="382"/>
      <c r="CV1" s="382"/>
      <c r="CW1" s="382"/>
      <c r="CX1" s="382"/>
      <c r="CY1" s="382"/>
      <c r="CZ1" s="382"/>
      <c r="DA1" s="382"/>
      <c r="DB1" s="382"/>
      <c r="DC1" s="382"/>
      <c r="DD1" s="382"/>
      <c r="DE1" s="382"/>
      <c r="DF1" s="382">
        <v>45658</v>
      </c>
      <c r="DG1" s="382"/>
      <c r="DH1" s="382"/>
      <c r="DI1" s="382"/>
      <c r="DJ1" s="382"/>
      <c r="DK1" s="382"/>
      <c r="DL1" s="382"/>
      <c r="DM1" s="382"/>
      <c r="DN1" s="382"/>
      <c r="DO1" s="382"/>
      <c r="DP1" s="382"/>
      <c r="DQ1" s="382"/>
      <c r="DR1" s="382">
        <v>45689</v>
      </c>
      <c r="DS1" s="382"/>
      <c r="DT1" s="382"/>
      <c r="DU1" s="382"/>
      <c r="DV1" s="382"/>
      <c r="DW1" s="382"/>
      <c r="DX1" s="382"/>
      <c r="DY1" s="382"/>
      <c r="DZ1" s="382"/>
      <c r="EA1" s="382"/>
      <c r="EB1" s="382"/>
      <c r="EC1" s="382"/>
      <c r="ED1" s="382">
        <v>45717</v>
      </c>
      <c r="EE1" s="382"/>
      <c r="EF1" s="382"/>
      <c r="EG1" s="382"/>
      <c r="EH1" s="382"/>
      <c r="EI1" s="382"/>
      <c r="EJ1" s="382"/>
      <c r="EK1" s="382"/>
      <c r="EL1" s="382"/>
      <c r="EM1" s="382"/>
      <c r="EN1" s="382"/>
      <c r="EO1" s="382"/>
    </row>
    <row r="2" spans="1:145" x14ac:dyDescent="0.3">
      <c r="A2" s="160" t="s">
        <v>97</v>
      </c>
      <c r="B2" s="381" t="s">
        <v>17</v>
      </c>
      <c r="C2" s="381"/>
      <c r="D2" s="381"/>
      <c r="E2" s="381"/>
      <c r="F2" s="381" t="s">
        <v>18</v>
      </c>
      <c r="G2" s="381"/>
      <c r="H2" s="381"/>
      <c r="I2" s="381"/>
      <c r="J2" s="381" t="s">
        <v>14</v>
      </c>
      <c r="K2" s="381"/>
      <c r="L2" s="381"/>
      <c r="M2" s="381"/>
      <c r="N2" s="381" t="s">
        <v>17</v>
      </c>
      <c r="O2" s="381"/>
      <c r="P2" s="381"/>
      <c r="Q2" s="381"/>
      <c r="R2" s="381" t="s">
        <v>18</v>
      </c>
      <c r="S2" s="381"/>
      <c r="T2" s="381"/>
      <c r="U2" s="381"/>
      <c r="V2" s="381" t="s">
        <v>14</v>
      </c>
      <c r="W2" s="381"/>
      <c r="X2" s="381"/>
      <c r="Y2" s="381"/>
      <c r="Z2" s="381" t="s">
        <v>17</v>
      </c>
      <c r="AA2" s="381"/>
      <c r="AB2" s="381"/>
      <c r="AC2" s="381"/>
      <c r="AD2" s="381" t="s">
        <v>18</v>
      </c>
      <c r="AE2" s="381"/>
      <c r="AF2" s="381"/>
      <c r="AG2" s="381"/>
      <c r="AH2" s="381" t="s">
        <v>14</v>
      </c>
      <c r="AI2" s="381"/>
      <c r="AJ2" s="381"/>
      <c r="AK2" s="381"/>
      <c r="AL2" s="381" t="s">
        <v>17</v>
      </c>
      <c r="AM2" s="381"/>
      <c r="AN2" s="381"/>
      <c r="AO2" s="381"/>
      <c r="AP2" s="381" t="s">
        <v>18</v>
      </c>
      <c r="AQ2" s="381"/>
      <c r="AR2" s="381"/>
      <c r="AS2" s="381"/>
      <c r="AT2" s="381" t="s">
        <v>14</v>
      </c>
      <c r="AU2" s="381"/>
      <c r="AV2" s="381"/>
      <c r="AW2" s="381"/>
      <c r="AX2" s="381" t="s">
        <v>17</v>
      </c>
      <c r="AY2" s="381"/>
      <c r="AZ2" s="381"/>
      <c r="BA2" s="381"/>
      <c r="BB2" s="381" t="s">
        <v>18</v>
      </c>
      <c r="BC2" s="381"/>
      <c r="BD2" s="381"/>
      <c r="BE2" s="381"/>
      <c r="BF2" s="381" t="s">
        <v>14</v>
      </c>
      <c r="BG2" s="381"/>
      <c r="BH2" s="381"/>
      <c r="BI2" s="381"/>
      <c r="BJ2" s="381" t="s">
        <v>17</v>
      </c>
      <c r="BK2" s="381"/>
      <c r="BL2" s="381"/>
      <c r="BM2" s="381"/>
      <c r="BN2" s="381" t="s">
        <v>18</v>
      </c>
      <c r="BO2" s="381"/>
      <c r="BP2" s="381"/>
      <c r="BQ2" s="381"/>
      <c r="BR2" s="381" t="s">
        <v>14</v>
      </c>
      <c r="BS2" s="381"/>
      <c r="BT2" s="381"/>
      <c r="BU2" s="381"/>
      <c r="BV2" s="381" t="s">
        <v>17</v>
      </c>
      <c r="BW2" s="381"/>
      <c r="BX2" s="381"/>
      <c r="BY2" s="381"/>
      <c r="BZ2" s="381" t="s">
        <v>18</v>
      </c>
      <c r="CA2" s="381"/>
      <c r="CB2" s="381"/>
      <c r="CC2" s="381"/>
      <c r="CD2" s="381" t="s">
        <v>14</v>
      </c>
      <c r="CE2" s="381"/>
      <c r="CF2" s="381"/>
      <c r="CG2" s="381"/>
      <c r="CH2" s="381" t="s">
        <v>17</v>
      </c>
      <c r="CI2" s="381"/>
      <c r="CJ2" s="381"/>
      <c r="CK2" s="381"/>
      <c r="CL2" s="381" t="s">
        <v>18</v>
      </c>
      <c r="CM2" s="381"/>
      <c r="CN2" s="381"/>
      <c r="CO2" s="381"/>
      <c r="CP2" s="381" t="s">
        <v>14</v>
      </c>
      <c r="CQ2" s="381"/>
      <c r="CR2" s="381"/>
      <c r="CS2" s="381"/>
      <c r="CT2" s="381" t="s">
        <v>17</v>
      </c>
      <c r="CU2" s="381"/>
      <c r="CV2" s="381"/>
      <c r="CW2" s="381"/>
      <c r="CX2" s="381" t="s">
        <v>18</v>
      </c>
      <c r="CY2" s="381"/>
      <c r="CZ2" s="381"/>
      <c r="DA2" s="381"/>
      <c r="DB2" s="381" t="s">
        <v>14</v>
      </c>
      <c r="DC2" s="381"/>
      <c r="DD2" s="381"/>
      <c r="DE2" s="381"/>
      <c r="DF2" s="381" t="s">
        <v>17</v>
      </c>
      <c r="DG2" s="381"/>
      <c r="DH2" s="381"/>
      <c r="DI2" s="381"/>
      <c r="DJ2" s="381" t="s">
        <v>18</v>
      </c>
      <c r="DK2" s="381"/>
      <c r="DL2" s="381"/>
      <c r="DM2" s="381"/>
      <c r="DN2" s="381" t="s">
        <v>14</v>
      </c>
      <c r="DO2" s="381"/>
      <c r="DP2" s="381"/>
      <c r="DQ2" s="381"/>
      <c r="DR2" s="381" t="s">
        <v>17</v>
      </c>
      <c r="DS2" s="381"/>
      <c r="DT2" s="381"/>
      <c r="DU2" s="381"/>
      <c r="DV2" s="381" t="s">
        <v>18</v>
      </c>
      <c r="DW2" s="381"/>
      <c r="DX2" s="381"/>
      <c r="DY2" s="381"/>
      <c r="DZ2" s="381" t="s">
        <v>14</v>
      </c>
      <c r="EA2" s="381"/>
      <c r="EB2" s="381"/>
      <c r="EC2" s="381"/>
      <c r="ED2" s="381" t="s">
        <v>17</v>
      </c>
      <c r="EE2" s="381"/>
      <c r="EF2" s="381"/>
      <c r="EG2" s="381"/>
      <c r="EH2" s="381" t="s">
        <v>18</v>
      </c>
      <c r="EI2" s="381"/>
      <c r="EJ2" s="381"/>
      <c r="EK2" s="381"/>
      <c r="EL2" s="381" t="s">
        <v>14</v>
      </c>
      <c r="EM2" s="381"/>
      <c r="EN2" s="381"/>
      <c r="EO2" s="381"/>
    </row>
    <row r="3" spans="1:145" x14ac:dyDescent="0.3">
      <c r="A3" s="161" t="s">
        <v>1</v>
      </c>
      <c r="B3" s="115" t="s">
        <v>15</v>
      </c>
      <c r="C3" s="115" t="s">
        <v>16</v>
      </c>
      <c r="D3" s="115" t="s">
        <v>32</v>
      </c>
      <c r="E3" s="115" t="s">
        <v>22</v>
      </c>
      <c r="F3" s="115" t="s">
        <v>15</v>
      </c>
      <c r="G3" s="115" t="s">
        <v>16</v>
      </c>
      <c r="H3" s="115" t="s">
        <v>32</v>
      </c>
      <c r="I3" s="115" t="s">
        <v>22</v>
      </c>
      <c r="J3" s="115" t="s">
        <v>15</v>
      </c>
      <c r="K3" s="115" t="s">
        <v>16</v>
      </c>
      <c r="L3" s="115" t="s">
        <v>32</v>
      </c>
      <c r="M3" s="115" t="s">
        <v>22</v>
      </c>
      <c r="N3" s="115" t="s">
        <v>15</v>
      </c>
      <c r="O3" s="115" t="s">
        <v>16</v>
      </c>
      <c r="P3" s="115" t="s">
        <v>32</v>
      </c>
      <c r="Q3" s="115" t="s">
        <v>22</v>
      </c>
      <c r="R3" s="115" t="s">
        <v>15</v>
      </c>
      <c r="S3" s="115" t="s">
        <v>16</v>
      </c>
      <c r="T3" s="115" t="s">
        <v>32</v>
      </c>
      <c r="U3" s="115" t="s">
        <v>22</v>
      </c>
      <c r="V3" s="115" t="s">
        <v>15</v>
      </c>
      <c r="W3" s="115" t="s">
        <v>16</v>
      </c>
      <c r="X3" s="115" t="s">
        <v>32</v>
      </c>
      <c r="Y3" s="115" t="s">
        <v>22</v>
      </c>
      <c r="Z3" s="115" t="s">
        <v>15</v>
      </c>
      <c r="AA3" s="115" t="s">
        <v>16</v>
      </c>
      <c r="AB3" s="115" t="s">
        <v>32</v>
      </c>
      <c r="AC3" s="115" t="s">
        <v>22</v>
      </c>
      <c r="AD3" s="115" t="s">
        <v>15</v>
      </c>
      <c r="AE3" s="115" t="s">
        <v>16</v>
      </c>
      <c r="AF3" s="115" t="s">
        <v>32</v>
      </c>
      <c r="AG3" s="115" t="s">
        <v>22</v>
      </c>
      <c r="AH3" s="115" t="s">
        <v>15</v>
      </c>
      <c r="AI3" s="115" t="s">
        <v>16</v>
      </c>
      <c r="AJ3" s="115" t="s">
        <v>32</v>
      </c>
      <c r="AK3" s="115" t="s">
        <v>22</v>
      </c>
      <c r="AL3" s="115" t="s">
        <v>15</v>
      </c>
      <c r="AM3" s="115" t="s">
        <v>16</v>
      </c>
      <c r="AN3" s="115" t="s">
        <v>32</v>
      </c>
      <c r="AO3" s="115" t="s">
        <v>22</v>
      </c>
      <c r="AP3" s="115" t="s">
        <v>15</v>
      </c>
      <c r="AQ3" s="115" t="s">
        <v>16</v>
      </c>
      <c r="AR3" s="115" t="s">
        <v>32</v>
      </c>
      <c r="AS3" s="115" t="s">
        <v>22</v>
      </c>
      <c r="AT3" s="115" t="s">
        <v>15</v>
      </c>
      <c r="AU3" s="115" t="s">
        <v>16</v>
      </c>
      <c r="AV3" s="115" t="s">
        <v>32</v>
      </c>
      <c r="AW3" s="115" t="s">
        <v>22</v>
      </c>
      <c r="AX3" s="115" t="s">
        <v>15</v>
      </c>
      <c r="AY3" s="115" t="s">
        <v>16</v>
      </c>
      <c r="AZ3" s="115" t="s">
        <v>32</v>
      </c>
      <c r="BA3" s="115" t="s">
        <v>22</v>
      </c>
      <c r="BB3" s="115" t="s">
        <v>15</v>
      </c>
      <c r="BC3" s="115" t="s">
        <v>16</v>
      </c>
      <c r="BD3" s="115" t="s">
        <v>32</v>
      </c>
      <c r="BE3" s="115" t="s">
        <v>22</v>
      </c>
      <c r="BF3" s="115" t="s">
        <v>15</v>
      </c>
      <c r="BG3" s="115" t="s">
        <v>16</v>
      </c>
      <c r="BH3" s="115" t="s">
        <v>32</v>
      </c>
      <c r="BI3" s="115" t="s">
        <v>22</v>
      </c>
      <c r="BJ3" s="115" t="s">
        <v>15</v>
      </c>
      <c r="BK3" s="115" t="s">
        <v>16</v>
      </c>
      <c r="BL3" s="115" t="s">
        <v>32</v>
      </c>
      <c r="BM3" s="115" t="s">
        <v>22</v>
      </c>
      <c r="BN3" s="115" t="s">
        <v>15</v>
      </c>
      <c r="BO3" s="115" t="s">
        <v>16</v>
      </c>
      <c r="BP3" s="115" t="s">
        <v>32</v>
      </c>
      <c r="BQ3" s="115" t="s">
        <v>22</v>
      </c>
      <c r="BR3" s="115" t="s">
        <v>15</v>
      </c>
      <c r="BS3" s="115" t="s">
        <v>16</v>
      </c>
      <c r="BT3" s="115" t="s">
        <v>32</v>
      </c>
      <c r="BU3" s="115" t="s">
        <v>22</v>
      </c>
      <c r="BV3" s="115" t="s">
        <v>15</v>
      </c>
      <c r="BW3" s="115" t="s">
        <v>16</v>
      </c>
      <c r="BX3" s="115" t="s">
        <v>32</v>
      </c>
      <c r="BY3" s="115" t="s">
        <v>22</v>
      </c>
      <c r="BZ3" s="115" t="s">
        <v>15</v>
      </c>
      <c r="CA3" s="115" t="s">
        <v>16</v>
      </c>
      <c r="CB3" s="115" t="s">
        <v>32</v>
      </c>
      <c r="CC3" s="115" t="s">
        <v>22</v>
      </c>
      <c r="CD3" s="115" t="s">
        <v>15</v>
      </c>
      <c r="CE3" s="115" t="s">
        <v>16</v>
      </c>
      <c r="CF3" s="115" t="s">
        <v>32</v>
      </c>
      <c r="CG3" s="115" t="s">
        <v>22</v>
      </c>
      <c r="CH3" s="115" t="s">
        <v>15</v>
      </c>
      <c r="CI3" s="115" t="s">
        <v>16</v>
      </c>
      <c r="CJ3" s="115" t="s">
        <v>32</v>
      </c>
      <c r="CK3" s="115" t="s">
        <v>22</v>
      </c>
      <c r="CL3" s="115" t="s">
        <v>15</v>
      </c>
      <c r="CM3" s="115" t="s">
        <v>16</v>
      </c>
      <c r="CN3" s="115" t="s">
        <v>32</v>
      </c>
      <c r="CO3" s="115" t="s">
        <v>22</v>
      </c>
      <c r="CP3" s="115" t="s">
        <v>15</v>
      </c>
      <c r="CQ3" s="115" t="s">
        <v>16</v>
      </c>
      <c r="CR3" s="115" t="s">
        <v>32</v>
      </c>
      <c r="CS3" s="115" t="s">
        <v>22</v>
      </c>
      <c r="CT3" s="115" t="s">
        <v>15</v>
      </c>
      <c r="CU3" s="115" t="s">
        <v>16</v>
      </c>
      <c r="CV3" s="115" t="s">
        <v>32</v>
      </c>
      <c r="CW3" s="115" t="s">
        <v>22</v>
      </c>
      <c r="CX3" s="115" t="s">
        <v>15</v>
      </c>
      <c r="CY3" s="115" t="s">
        <v>16</v>
      </c>
      <c r="CZ3" s="115" t="s">
        <v>32</v>
      </c>
      <c r="DA3" s="115" t="s">
        <v>22</v>
      </c>
      <c r="DB3" s="115" t="s">
        <v>15</v>
      </c>
      <c r="DC3" s="115" t="s">
        <v>16</v>
      </c>
      <c r="DD3" s="115" t="s">
        <v>32</v>
      </c>
      <c r="DE3" s="115" t="s">
        <v>22</v>
      </c>
      <c r="DF3" s="115" t="s">
        <v>15</v>
      </c>
      <c r="DG3" s="115" t="s">
        <v>16</v>
      </c>
      <c r="DH3" s="115" t="s">
        <v>32</v>
      </c>
      <c r="DI3" s="115" t="s">
        <v>22</v>
      </c>
      <c r="DJ3" s="115" t="s">
        <v>15</v>
      </c>
      <c r="DK3" s="115" t="s">
        <v>16</v>
      </c>
      <c r="DL3" s="115" t="s">
        <v>32</v>
      </c>
      <c r="DM3" s="115" t="s">
        <v>22</v>
      </c>
      <c r="DN3" s="115" t="s">
        <v>15</v>
      </c>
      <c r="DO3" s="115" t="s">
        <v>16</v>
      </c>
      <c r="DP3" s="115" t="s">
        <v>32</v>
      </c>
      <c r="DQ3" s="115" t="s">
        <v>22</v>
      </c>
      <c r="DR3" s="115" t="s">
        <v>15</v>
      </c>
      <c r="DS3" s="115" t="s">
        <v>16</v>
      </c>
      <c r="DT3" s="115" t="s">
        <v>32</v>
      </c>
      <c r="DU3" s="115" t="s">
        <v>22</v>
      </c>
      <c r="DV3" s="115" t="s">
        <v>15</v>
      </c>
      <c r="DW3" s="115" t="s">
        <v>16</v>
      </c>
      <c r="DX3" s="115" t="s">
        <v>32</v>
      </c>
      <c r="DY3" s="115" t="s">
        <v>22</v>
      </c>
      <c r="DZ3" s="115" t="s">
        <v>15</v>
      </c>
      <c r="EA3" s="115" t="s">
        <v>16</v>
      </c>
      <c r="EB3" s="115" t="s">
        <v>32</v>
      </c>
      <c r="EC3" s="115" t="s">
        <v>22</v>
      </c>
      <c r="ED3" s="115" t="s">
        <v>15</v>
      </c>
      <c r="EE3" s="115" t="s">
        <v>16</v>
      </c>
      <c r="EF3" s="115" t="s">
        <v>32</v>
      </c>
      <c r="EG3" s="115" t="s">
        <v>22</v>
      </c>
      <c r="EH3" s="115" t="s">
        <v>15</v>
      </c>
      <c r="EI3" s="115" t="s">
        <v>16</v>
      </c>
      <c r="EJ3" s="115" t="s">
        <v>32</v>
      </c>
      <c r="EK3" s="115" t="s">
        <v>22</v>
      </c>
      <c r="EL3" s="115" t="s">
        <v>15</v>
      </c>
      <c r="EM3" s="115" t="s">
        <v>16</v>
      </c>
      <c r="EN3" s="115" t="s">
        <v>32</v>
      </c>
      <c r="EO3" s="115" t="s">
        <v>22</v>
      </c>
    </row>
    <row r="4" spans="1:145" x14ac:dyDescent="0.3">
      <c r="A4" s="162" t="s">
        <v>4</v>
      </c>
      <c r="B4" s="116">
        <v>37</v>
      </c>
      <c r="C4" s="116">
        <v>20</v>
      </c>
      <c r="D4" s="117">
        <v>57</v>
      </c>
      <c r="E4" s="116">
        <v>2301860</v>
      </c>
      <c r="F4" s="116">
        <v>75</v>
      </c>
      <c r="G4" s="116">
        <v>1</v>
      </c>
      <c r="H4" s="117">
        <v>76</v>
      </c>
      <c r="I4" s="116">
        <v>5010040</v>
      </c>
      <c r="J4" s="117">
        <f>B4+F4</f>
        <v>112</v>
      </c>
      <c r="K4" s="117">
        <f t="shared" ref="K4:M19" si="0">C4+G4</f>
        <v>21</v>
      </c>
      <c r="L4" s="117">
        <f t="shared" si="0"/>
        <v>133</v>
      </c>
      <c r="M4" s="117">
        <f t="shared" si="0"/>
        <v>7311900</v>
      </c>
      <c r="N4" s="116">
        <v>27</v>
      </c>
      <c r="O4" s="116">
        <v>21</v>
      </c>
      <c r="P4" s="117">
        <v>48</v>
      </c>
      <c r="Q4" s="116">
        <v>2164650</v>
      </c>
      <c r="R4" s="116">
        <v>69</v>
      </c>
      <c r="S4" s="116">
        <v>2</v>
      </c>
      <c r="T4" s="117">
        <v>71</v>
      </c>
      <c r="U4" s="116">
        <v>6259710</v>
      </c>
      <c r="V4" s="117">
        <f>N4+R4</f>
        <v>96</v>
      </c>
      <c r="W4" s="117">
        <f t="shared" ref="W4:Y19" si="1">O4+S4</f>
        <v>23</v>
      </c>
      <c r="X4" s="117">
        <f t="shared" si="1"/>
        <v>119</v>
      </c>
      <c r="Y4" s="117">
        <f t="shared" si="1"/>
        <v>8424360</v>
      </c>
      <c r="Z4" s="116">
        <v>43</v>
      </c>
      <c r="AA4" s="116">
        <v>16</v>
      </c>
      <c r="AB4" s="117">
        <v>59</v>
      </c>
      <c r="AC4" s="116">
        <v>3445955</v>
      </c>
      <c r="AD4" s="116">
        <v>82</v>
      </c>
      <c r="AE4" s="116">
        <v>1</v>
      </c>
      <c r="AF4" s="117">
        <v>83</v>
      </c>
      <c r="AG4" s="116">
        <v>6376790</v>
      </c>
      <c r="AH4" s="117">
        <f>Z4+AD4</f>
        <v>125</v>
      </c>
      <c r="AI4" s="117">
        <f t="shared" ref="AI4:AK19" si="2">AA4+AE4</f>
        <v>17</v>
      </c>
      <c r="AJ4" s="117">
        <f t="shared" si="2"/>
        <v>142</v>
      </c>
      <c r="AK4" s="117">
        <f t="shared" si="2"/>
        <v>9822745</v>
      </c>
      <c r="AL4" s="116">
        <v>44</v>
      </c>
      <c r="AM4" s="116">
        <v>27</v>
      </c>
      <c r="AN4" s="117">
        <v>71</v>
      </c>
      <c r="AO4" s="116">
        <v>2800285</v>
      </c>
      <c r="AP4" s="116">
        <v>77</v>
      </c>
      <c r="AQ4" s="116">
        <v>1</v>
      </c>
      <c r="AR4" s="117">
        <v>78</v>
      </c>
      <c r="AS4" s="116">
        <v>7461485</v>
      </c>
      <c r="AT4" s="117">
        <f>AL4+AP4</f>
        <v>121</v>
      </c>
      <c r="AU4" s="117">
        <f t="shared" ref="AU4:AW19" si="3">AM4+AQ4</f>
        <v>28</v>
      </c>
      <c r="AV4" s="117">
        <f t="shared" si="3"/>
        <v>149</v>
      </c>
      <c r="AW4" s="117">
        <f t="shared" si="3"/>
        <v>10261770</v>
      </c>
      <c r="AX4" s="116">
        <v>29</v>
      </c>
      <c r="AY4" s="116">
        <v>13</v>
      </c>
      <c r="AZ4" s="117">
        <v>42</v>
      </c>
      <c r="BA4" s="116">
        <v>1553375</v>
      </c>
      <c r="BB4" s="116">
        <v>81</v>
      </c>
      <c r="BC4" s="116">
        <v>3</v>
      </c>
      <c r="BD4" s="117">
        <v>84</v>
      </c>
      <c r="BE4" s="116">
        <v>7572983</v>
      </c>
      <c r="BF4" s="117">
        <f>AX4+BB4</f>
        <v>110</v>
      </c>
      <c r="BG4" s="117">
        <f t="shared" ref="BG4:BI19" si="4">AY4+BC4</f>
        <v>16</v>
      </c>
      <c r="BH4" s="117">
        <f t="shared" si="4"/>
        <v>126</v>
      </c>
      <c r="BI4" s="117">
        <f t="shared" si="4"/>
        <v>9126358</v>
      </c>
      <c r="BJ4" s="116">
        <v>31</v>
      </c>
      <c r="BK4" s="116">
        <v>22</v>
      </c>
      <c r="BL4" s="117">
        <f>BJ4+BK4</f>
        <v>53</v>
      </c>
      <c r="BM4" s="116">
        <v>2824230</v>
      </c>
      <c r="BN4" s="117">
        <v>71</v>
      </c>
      <c r="BO4" s="117">
        <v>0</v>
      </c>
      <c r="BP4" s="117">
        <f>BN4+BO4</f>
        <v>71</v>
      </c>
      <c r="BQ4" s="117">
        <v>6944475</v>
      </c>
      <c r="BR4" s="117">
        <f>BJ4+BN4</f>
        <v>102</v>
      </c>
      <c r="BS4" s="117">
        <f t="shared" ref="BS4:BU4" si="5">BK4+BO4</f>
        <v>22</v>
      </c>
      <c r="BT4" s="117">
        <f t="shared" si="5"/>
        <v>124</v>
      </c>
      <c r="BU4" s="117">
        <f t="shared" si="5"/>
        <v>9768705</v>
      </c>
      <c r="BV4" s="117">
        <v>25</v>
      </c>
      <c r="BW4" s="117">
        <v>32</v>
      </c>
      <c r="BX4" s="117">
        <f>BV4+BW4</f>
        <v>57</v>
      </c>
      <c r="BY4" s="117">
        <v>2949910</v>
      </c>
      <c r="BZ4" s="117">
        <v>67</v>
      </c>
      <c r="CA4" s="117">
        <v>2</v>
      </c>
      <c r="CB4" s="117">
        <f>BZ4+CA4</f>
        <v>69</v>
      </c>
      <c r="CC4" s="117">
        <v>6250860</v>
      </c>
      <c r="CD4" s="117">
        <f>BV4+BZ4</f>
        <v>92</v>
      </c>
      <c r="CE4" s="117">
        <f t="shared" ref="CE4:CG4" si="6">BW4+CA4</f>
        <v>34</v>
      </c>
      <c r="CF4" s="117">
        <f t="shared" si="6"/>
        <v>126</v>
      </c>
      <c r="CG4" s="117">
        <f t="shared" si="6"/>
        <v>9200770</v>
      </c>
      <c r="CH4" s="117">
        <v>29</v>
      </c>
      <c r="CI4" s="117">
        <v>26</v>
      </c>
      <c r="CJ4" s="117">
        <f>CH4+CI4</f>
        <v>55</v>
      </c>
      <c r="CK4" s="117">
        <v>3668220</v>
      </c>
      <c r="CL4" s="117">
        <v>62</v>
      </c>
      <c r="CM4" s="117">
        <v>0</v>
      </c>
      <c r="CN4" s="117">
        <f>CL4+CM4</f>
        <v>62</v>
      </c>
      <c r="CO4" s="117">
        <v>6530480</v>
      </c>
      <c r="CP4" s="117">
        <f>CH4+CL4</f>
        <v>91</v>
      </c>
      <c r="CQ4" s="117">
        <f>CI4+CM4</f>
        <v>26</v>
      </c>
      <c r="CR4" s="117">
        <f>CJ4+CN4</f>
        <v>117</v>
      </c>
      <c r="CS4" s="117">
        <f>CK4+CO4</f>
        <v>10198700</v>
      </c>
      <c r="CT4" s="117">
        <v>29</v>
      </c>
      <c r="CU4" s="117">
        <v>19</v>
      </c>
      <c r="CV4" s="117">
        <f>CT4+CU4</f>
        <v>48</v>
      </c>
      <c r="CW4" s="117">
        <v>4927150</v>
      </c>
      <c r="CX4" s="117">
        <v>54</v>
      </c>
      <c r="CY4" s="117">
        <v>6</v>
      </c>
      <c r="CZ4" s="117">
        <f>CX4+CY4</f>
        <v>60</v>
      </c>
      <c r="DA4" s="117">
        <v>6381180</v>
      </c>
      <c r="DB4" s="117">
        <f>CT4+CX4</f>
        <v>83</v>
      </c>
      <c r="DC4" s="117">
        <f>CU4+CY4</f>
        <v>25</v>
      </c>
      <c r="DD4" s="117">
        <f>DB4+DC4</f>
        <v>108</v>
      </c>
      <c r="DE4" s="117">
        <f>CW4+DA4</f>
        <v>11308330</v>
      </c>
      <c r="DF4" s="117">
        <v>32</v>
      </c>
      <c r="DG4" s="117">
        <v>26</v>
      </c>
      <c r="DH4" s="117">
        <f>DF4+DG4</f>
        <v>58</v>
      </c>
      <c r="DI4" s="117">
        <v>3707210</v>
      </c>
      <c r="DJ4" s="117">
        <v>59</v>
      </c>
      <c r="DK4" s="117">
        <v>1</v>
      </c>
      <c r="DL4" s="117">
        <f>DJ4+DK4</f>
        <v>60</v>
      </c>
      <c r="DM4" s="117">
        <v>7971170</v>
      </c>
      <c r="DN4" s="117">
        <f>DF4+DJ4</f>
        <v>91</v>
      </c>
      <c r="DO4" s="117">
        <f>DG4+DK4</f>
        <v>27</v>
      </c>
      <c r="DP4" s="117">
        <f t="shared" ref="DP4:DQ4" si="7">DH4+DL4</f>
        <v>118</v>
      </c>
      <c r="DQ4" s="117">
        <f t="shared" si="7"/>
        <v>11678380</v>
      </c>
      <c r="DR4" s="117">
        <v>32</v>
      </c>
      <c r="DS4" s="117">
        <v>21</v>
      </c>
      <c r="DT4" s="117">
        <f>DR4+DS4</f>
        <v>53</v>
      </c>
      <c r="DU4" s="117">
        <v>4119270</v>
      </c>
      <c r="DV4" s="117">
        <v>58</v>
      </c>
      <c r="DW4" s="117">
        <v>1</v>
      </c>
      <c r="DX4" s="117">
        <f>DV4+DW4</f>
        <v>59</v>
      </c>
      <c r="DY4" s="117">
        <v>7119210</v>
      </c>
      <c r="DZ4" s="117">
        <f>DR4+DV4</f>
        <v>90</v>
      </c>
      <c r="EA4" s="117">
        <f t="shared" ref="EA4:EC4" si="8">DS4+DW4</f>
        <v>22</v>
      </c>
      <c r="EB4" s="117">
        <f t="shared" si="8"/>
        <v>112</v>
      </c>
      <c r="EC4" s="117">
        <f t="shared" si="8"/>
        <v>11238480</v>
      </c>
      <c r="ED4" s="117">
        <v>34</v>
      </c>
      <c r="EE4" s="117">
        <v>25</v>
      </c>
      <c r="EF4" s="117">
        <f>ED4+EE4</f>
        <v>59</v>
      </c>
      <c r="EG4" s="117">
        <v>4819740</v>
      </c>
      <c r="EH4" s="117">
        <v>56</v>
      </c>
      <c r="EI4" s="117">
        <v>2</v>
      </c>
      <c r="EJ4" s="117">
        <f>EH4+EI4</f>
        <v>58</v>
      </c>
      <c r="EK4" s="117">
        <v>6528640</v>
      </c>
      <c r="EL4" s="117">
        <f>ED4+EH4</f>
        <v>90</v>
      </c>
      <c r="EM4" s="117">
        <f t="shared" ref="EM4:EO4" si="9">EE4+EI4</f>
        <v>27</v>
      </c>
      <c r="EN4" s="117">
        <f t="shared" si="9"/>
        <v>117</v>
      </c>
      <c r="EO4" s="117">
        <f t="shared" si="9"/>
        <v>11348380</v>
      </c>
    </row>
    <row r="5" spans="1:145" x14ac:dyDescent="0.3">
      <c r="A5" s="162" t="s">
        <v>8</v>
      </c>
      <c r="B5" s="116">
        <v>13</v>
      </c>
      <c r="C5" s="116">
        <v>10</v>
      </c>
      <c r="D5" s="117">
        <v>23</v>
      </c>
      <c r="E5" s="116">
        <v>397100</v>
      </c>
      <c r="F5" s="116">
        <v>21</v>
      </c>
      <c r="G5" s="116">
        <v>1</v>
      </c>
      <c r="H5" s="117">
        <v>22</v>
      </c>
      <c r="I5" s="116">
        <v>860420</v>
      </c>
      <c r="J5" s="117">
        <f t="shared" ref="J5:M22" si="10">B5+F5</f>
        <v>34</v>
      </c>
      <c r="K5" s="117">
        <f t="shared" si="0"/>
        <v>11</v>
      </c>
      <c r="L5" s="117">
        <f t="shared" si="0"/>
        <v>45</v>
      </c>
      <c r="M5" s="117">
        <f t="shared" si="0"/>
        <v>1257520</v>
      </c>
      <c r="N5" s="116">
        <v>13</v>
      </c>
      <c r="O5" s="116">
        <v>7</v>
      </c>
      <c r="P5" s="117">
        <v>20</v>
      </c>
      <c r="Q5" s="116">
        <v>457285</v>
      </c>
      <c r="R5" s="116">
        <v>26</v>
      </c>
      <c r="S5" s="116">
        <v>0</v>
      </c>
      <c r="T5" s="117">
        <v>26</v>
      </c>
      <c r="U5" s="116">
        <v>1451505</v>
      </c>
      <c r="V5" s="117">
        <f t="shared" ref="V5:AC22" si="11">N5+R5</f>
        <v>39</v>
      </c>
      <c r="W5" s="117">
        <f t="shared" si="1"/>
        <v>7</v>
      </c>
      <c r="X5" s="117">
        <f t="shared" si="1"/>
        <v>46</v>
      </c>
      <c r="Y5" s="117">
        <f t="shared" si="1"/>
        <v>1908790</v>
      </c>
      <c r="Z5" s="116">
        <v>18</v>
      </c>
      <c r="AA5" s="116">
        <v>15</v>
      </c>
      <c r="AB5" s="117">
        <v>33</v>
      </c>
      <c r="AC5" s="116">
        <v>662740</v>
      </c>
      <c r="AD5" s="116">
        <v>28</v>
      </c>
      <c r="AE5" s="116">
        <v>0</v>
      </c>
      <c r="AF5" s="117">
        <v>28</v>
      </c>
      <c r="AG5" s="116">
        <v>917065</v>
      </c>
      <c r="AH5" s="117">
        <f t="shared" ref="AH5:AK22" si="12">Z5+AD5</f>
        <v>46</v>
      </c>
      <c r="AI5" s="117">
        <f t="shared" si="2"/>
        <v>15</v>
      </c>
      <c r="AJ5" s="117">
        <f t="shared" si="2"/>
        <v>61</v>
      </c>
      <c r="AK5" s="117">
        <f t="shared" si="2"/>
        <v>1579805</v>
      </c>
      <c r="AL5" s="116">
        <v>16</v>
      </c>
      <c r="AM5" s="116">
        <v>14</v>
      </c>
      <c r="AN5" s="117">
        <v>30</v>
      </c>
      <c r="AO5" s="116">
        <v>767690</v>
      </c>
      <c r="AP5" s="116">
        <v>22</v>
      </c>
      <c r="AQ5" s="116">
        <v>0</v>
      </c>
      <c r="AR5" s="117">
        <v>22</v>
      </c>
      <c r="AS5" s="116">
        <v>1302500</v>
      </c>
      <c r="AT5" s="117">
        <f t="shared" ref="AT5:AW22" si="13">AL5+AP5</f>
        <v>38</v>
      </c>
      <c r="AU5" s="117">
        <f t="shared" si="3"/>
        <v>14</v>
      </c>
      <c r="AV5" s="117">
        <f t="shared" si="3"/>
        <v>52</v>
      </c>
      <c r="AW5" s="117">
        <f t="shared" si="3"/>
        <v>2070190</v>
      </c>
      <c r="AX5" s="116">
        <v>16</v>
      </c>
      <c r="AY5" s="116">
        <v>14</v>
      </c>
      <c r="AZ5" s="117">
        <v>30</v>
      </c>
      <c r="BA5" s="116">
        <v>584345</v>
      </c>
      <c r="BB5" s="116">
        <v>28</v>
      </c>
      <c r="BC5" s="116">
        <v>0</v>
      </c>
      <c r="BD5" s="117">
        <v>28</v>
      </c>
      <c r="BE5" s="116">
        <v>2122888</v>
      </c>
      <c r="BF5" s="117">
        <f t="shared" ref="BF5:BI22" si="14">AX5+BB5</f>
        <v>44</v>
      </c>
      <c r="BG5" s="117">
        <f t="shared" si="4"/>
        <v>14</v>
      </c>
      <c r="BH5" s="117">
        <f t="shared" si="4"/>
        <v>58</v>
      </c>
      <c r="BI5" s="117">
        <f t="shared" si="4"/>
        <v>2707233</v>
      </c>
      <c r="BJ5" s="116">
        <v>12</v>
      </c>
      <c r="BK5" s="116">
        <v>18</v>
      </c>
      <c r="BL5" s="117">
        <f t="shared" ref="BL5:BL22" si="15">BJ5+BK5</f>
        <v>30</v>
      </c>
      <c r="BM5" s="116">
        <v>596230</v>
      </c>
      <c r="BN5" s="117">
        <v>29</v>
      </c>
      <c r="BO5" s="117">
        <v>0</v>
      </c>
      <c r="BP5" s="117">
        <f t="shared" ref="BP5:BP22" si="16">BN5+BO5</f>
        <v>29</v>
      </c>
      <c r="BQ5" s="117">
        <v>2354495</v>
      </c>
      <c r="BR5" s="117">
        <f t="shared" ref="BR5:BR22" si="17">BJ5+BN5</f>
        <v>41</v>
      </c>
      <c r="BS5" s="117">
        <f t="shared" ref="BS5:BS22" si="18">BK5+BO5</f>
        <v>18</v>
      </c>
      <c r="BT5" s="117">
        <f t="shared" ref="BT5:BT22" si="19">BL5+BP5</f>
        <v>59</v>
      </c>
      <c r="BU5" s="117">
        <f t="shared" ref="BU5:BU22" si="20">BM5+BQ5</f>
        <v>2950725</v>
      </c>
      <c r="BV5" s="117">
        <v>16</v>
      </c>
      <c r="BW5" s="117">
        <v>19</v>
      </c>
      <c r="BX5" s="117">
        <f t="shared" ref="BX5:BX22" si="21">BV5+BW5</f>
        <v>35</v>
      </c>
      <c r="BY5" s="117">
        <v>1495520</v>
      </c>
      <c r="BZ5" s="117">
        <v>23</v>
      </c>
      <c r="CA5" s="117">
        <v>0</v>
      </c>
      <c r="CB5" s="117">
        <f t="shared" ref="CB5:CB22" si="22">BZ5+CA5</f>
        <v>23</v>
      </c>
      <c r="CC5" s="117">
        <v>1610830</v>
      </c>
      <c r="CD5" s="117">
        <f t="shared" ref="CD5:CD22" si="23">BV5+BZ5</f>
        <v>39</v>
      </c>
      <c r="CE5" s="117">
        <f t="shared" ref="CE5:CE22" si="24">BW5+CA5</f>
        <v>19</v>
      </c>
      <c r="CF5" s="117">
        <f t="shared" ref="CF5:CF22" si="25">BX5+CB5</f>
        <v>58</v>
      </c>
      <c r="CG5" s="117">
        <f t="shared" ref="CG5:CG22" si="26">BY5+CC5</f>
        <v>3106350</v>
      </c>
      <c r="CH5" s="117">
        <v>13</v>
      </c>
      <c r="CI5" s="117">
        <v>12</v>
      </c>
      <c r="CJ5" s="117">
        <f t="shared" ref="CJ5:CJ22" si="27">CH5+CI5</f>
        <v>25</v>
      </c>
      <c r="CK5" s="117">
        <v>1193160</v>
      </c>
      <c r="CL5" s="117">
        <v>24</v>
      </c>
      <c r="CM5" s="117">
        <v>0</v>
      </c>
      <c r="CN5" s="117">
        <f t="shared" ref="CN5:CN22" si="28">CL5+CM5</f>
        <v>24</v>
      </c>
      <c r="CO5" s="117">
        <v>2484179</v>
      </c>
      <c r="CP5" s="117">
        <f t="shared" ref="CP5:CP22" si="29">CH5+CL5</f>
        <v>37</v>
      </c>
      <c r="CQ5" s="117">
        <f t="shared" ref="CQ5:CQ22" si="30">CI5+CM5</f>
        <v>12</v>
      </c>
      <c r="CR5" s="117">
        <f t="shared" ref="CR5:CR22" si="31">CJ5+CN5</f>
        <v>49</v>
      </c>
      <c r="CS5" s="117">
        <f t="shared" ref="CS5:CS22" si="32">CK5+CO5</f>
        <v>3677339</v>
      </c>
      <c r="CT5" s="117">
        <v>9</v>
      </c>
      <c r="CU5" s="117">
        <v>8</v>
      </c>
      <c r="CV5" s="117">
        <f t="shared" ref="CV5:CV22" si="33">CT5+CU5</f>
        <v>17</v>
      </c>
      <c r="CW5" s="117">
        <v>787720</v>
      </c>
      <c r="CX5" s="117">
        <v>22</v>
      </c>
      <c r="CY5" s="117">
        <v>1</v>
      </c>
      <c r="CZ5" s="117">
        <f t="shared" ref="CZ5:CZ22" si="34">CX5+CY5</f>
        <v>23</v>
      </c>
      <c r="DA5" s="117">
        <v>1811741</v>
      </c>
      <c r="DB5" s="117">
        <f t="shared" ref="DB5:DB22" si="35">CT5+CX5</f>
        <v>31</v>
      </c>
      <c r="DC5" s="117">
        <f t="shared" ref="DC5:DC22" si="36">CU5+CY5</f>
        <v>9</v>
      </c>
      <c r="DD5" s="117">
        <f t="shared" ref="DD5:DD22" si="37">DB5+DC5</f>
        <v>40</v>
      </c>
      <c r="DE5" s="117">
        <f t="shared" ref="DE5:DE22" si="38">CW5+DA5</f>
        <v>2599461</v>
      </c>
      <c r="DF5" s="117">
        <v>8</v>
      </c>
      <c r="DG5" s="117">
        <v>11</v>
      </c>
      <c r="DH5" s="117">
        <f t="shared" ref="DH5:DH22" si="39">DF5+DG5</f>
        <v>19</v>
      </c>
      <c r="DI5" s="117">
        <v>631320</v>
      </c>
      <c r="DJ5" s="117">
        <v>25</v>
      </c>
      <c r="DK5" s="117">
        <v>0</v>
      </c>
      <c r="DL5" s="117">
        <f t="shared" ref="DL5:DL22" si="40">DJ5+DK5</f>
        <v>25</v>
      </c>
      <c r="DM5" s="117">
        <v>2146060</v>
      </c>
      <c r="DN5" s="117">
        <f t="shared" ref="DN5:DN22" si="41">DF5+DJ5</f>
        <v>33</v>
      </c>
      <c r="DO5" s="117">
        <f t="shared" ref="DO5:DO22" si="42">DG5+DK5</f>
        <v>11</v>
      </c>
      <c r="DP5" s="117">
        <f t="shared" ref="DP5:DP22" si="43">DH5+DL5</f>
        <v>44</v>
      </c>
      <c r="DQ5" s="117">
        <f t="shared" ref="DQ5:DQ22" si="44">DI5+DM5</f>
        <v>2777380</v>
      </c>
      <c r="DR5" s="117">
        <v>16</v>
      </c>
      <c r="DS5" s="117">
        <v>8</v>
      </c>
      <c r="DT5" s="117">
        <f t="shared" ref="DT5:DT22" si="45">DR5+DS5</f>
        <v>24</v>
      </c>
      <c r="DU5" s="117">
        <v>1025300</v>
      </c>
      <c r="DV5" s="117">
        <v>18</v>
      </c>
      <c r="DW5" s="117">
        <v>0</v>
      </c>
      <c r="DX5" s="117">
        <f t="shared" ref="DX5:DX22" si="46">DV5+DW5</f>
        <v>18</v>
      </c>
      <c r="DY5" s="117">
        <v>2178220</v>
      </c>
      <c r="DZ5" s="117">
        <f t="shared" ref="DZ5:DZ22" si="47">DR5+DV5</f>
        <v>34</v>
      </c>
      <c r="EA5" s="117">
        <f t="shared" ref="EA5:EA22" si="48">DS5+DW5</f>
        <v>8</v>
      </c>
      <c r="EB5" s="117">
        <f t="shared" ref="EB5:EB22" si="49">DT5+DX5</f>
        <v>42</v>
      </c>
      <c r="EC5" s="117">
        <f t="shared" ref="EC5:EC22" si="50">DU5+DY5</f>
        <v>3203520</v>
      </c>
      <c r="ED5" s="117">
        <v>6</v>
      </c>
      <c r="EE5" s="117">
        <v>15</v>
      </c>
      <c r="EF5" s="117">
        <f t="shared" ref="EF5:EF22" si="51">ED5+EE5</f>
        <v>21</v>
      </c>
      <c r="EG5" s="117">
        <v>942760</v>
      </c>
      <c r="EH5" s="117">
        <v>17</v>
      </c>
      <c r="EI5" s="117">
        <v>3</v>
      </c>
      <c r="EJ5" s="117">
        <f t="shared" ref="EJ5:EJ22" si="52">EH5+EI5</f>
        <v>20</v>
      </c>
      <c r="EK5" s="117">
        <v>1524000</v>
      </c>
      <c r="EL5" s="117">
        <f t="shared" ref="EL5:EL22" si="53">ED5+EH5</f>
        <v>23</v>
      </c>
      <c r="EM5" s="117">
        <f t="shared" ref="EM5:EM22" si="54">EE5+EI5</f>
        <v>18</v>
      </c>
      <c r="EN5" s="117">
        <f t="shared" ref="EN5:EN22" si="55">EF5+EJ5</f>
        <v>41</v>
      </c>
      <c r="EO5" s="117">
        <f t="shared" ref="EO5:EO22" si="56">EG5+EK5</f>
        <v>2466760</v>
      </c>
    </row>
    <row r="6" spans="1:145" x14ac:dyDescent="0.3">
      <c r="A6" s="162" t="s">
        <v>7</v>
      </c>
      <c r="B6" s="116">
        <v>17</v>
      </c>
      <c r="C6" s="116">
        <v>11</v>
      </c>
      <c r="D6" s="117">
        <v>28</v>
      </c>
      <c r="E6" s="116">
        <v>725660</v>
      </c>
      <c r="F6" s="116">
        <v>30</v>
      </c>
      <c r="G6" s="116">
        <v>1</v>
      </c>
      <c r="H6" s="117">
        <v>31</v>
      </c>
      <c r="I6" s="116">
        <v>1399640</v>
      </c>
      <c r="J6" s="117">
        <f t="shared" si="10"/>
        <v>47</v>
      </c>
      <c r="K6" s="117">
        <f t="shared" si="0"/>
        <v>12</v>
      </c>
      <c r="L6" s="117">
        <f t="shared" si="0"/>
        <v>59</v>
      </c>
      <c r="M6" s="117">
        <f t="shared" si="0"/>
        <v>2125300</v>
      </c>
      <c r="N6" s="116">
        <v>10</v>
      </c>
      <c r="O6" s="116">
        <v>14</v>
      </c>
      <c r="P6" s="117">
        <v>24</v>
      </c>
      <c r="Q6" s="116">
        <v>378084</v>
      </c>
      <c r="R6" s="116">
        <v>36</v>
      </c>
      <c r="S6" s="116">
        <v>0</v>
      </c>
      <c r="T6" s="117">
        <v>36</v>
      </c>
      <c r="U6" s="116">
        <v>2051180</v>
      </c>
      <c r="V6" s="117">
        <f t="shared" si="11"/>
        <v>46</v>
      </c>
      <c r="W6" s="117">
        <f t="shared" si="1"/>
        <v>14</v>
      </c>
      <c r="X6" s="117">
        <f t="shared" si="1"/>
        <v>60</v>
      </c>
      <c r="Y6" s="117">
        <f t="shared" si="1"/>
        <v>2429264</v>
      </c>
      <c r="Z6" s="116">
        <v>18</v>
      </c>
      <c r="AA6" s="116">
        <v>13</v>
      </c>
      <c r="AB6" s="117">
        <v>31</v>
      </c>
      <c r="AC6" s="116">
        <v>678175</v>
      </c>
      <c r="AD6" s="116">
        <v>34</v>
      </c>
      <c r="AE6" s="116">
        <v>0</v>
      </c>
      <c r="AF6" s="117">
        <v>34</v>
      </c>
      <c r="AG6" s="116">
        <v>1903260</v>
      </c>
      <c r="AH6" s="117">
        <f t="shared" si="12"/>
        <v>52</v>
      </c>
      <c r="AI6" s="117">
        <f t="shared" si="2"/>
        <v>13</v>
      </c>
      <c r="AJ6" s="117">
        <f t="shared" si="2"/>
        <v>65</v>
      </c>
      <c r="AK6" s="117">
        <f t="shared" si="2"/>
        <v>2581435</v>
      </c>
      <c r="AL6" s="116">
        <v>13</v>
      </c>
      <c r="AM6" s="116">
        <v>6</v>
      </c>
      <c r="AN6" s="117">
        <v>19</v>
      </c>
      <c r="AO6" s="116">
        <v>422605</v>
      </c>
      <c r="AP6" s="116">
        <v>33</v>
      </c>
      <c r="AQ6" s="116">
        <v>0</v>
      </c>
      <c r="AR6" s="117">
        <v>33</v>
      </c>
      <c r="AS6" s="116">
        <v>1806160</v>
      </c>
      <c r="AT6" s="117">
        <f t="shared" si="13"/>
        <v>46</v>
      </c>
      <c r="AU6" s="117">
        <f t="shared" si="3"/>
        <v>6</v>
      </c>
      <c r="AV6" s="117">
        <f t="shared" si="3"/>
        <v>52</v>
      </c>
      <c r="AW6" s="117">
        <f t="shared" si="3"/>
        <v>2228765</v>
      </c>
      <c r="AX6" s="116">
        <v>9</v>
      </c>
      <c r="AY6" s="116">
        <v>13</v>
      </c>
      <c r="AZ6" s="117">
        <v>22</v>
      </c>
      <c r="BA6" s="116">
        <v>533190</v>
      </c>
      <c r="BB6" s="116">
        <v>19</v>
      </c>
      <c r="BC6" s="116">
        <v>0</v>
      </c>
      <c r="BD6" s="117">
        <v>19</v>
      </c>
      <c r="BE6" s="116">
        <v>1584445</v>
      </c>
      <c r="BF6" s="117">
        <f t="shared" si="14"/>
        <v>28</v>
      </c>
      <c r="BG6" s="117">
        <f t="shared" si="4"/>
        <v>13</v>
      </c>
      <c r="BH6" s="117">
        <f t="shared" si="4"/>
        <v>41</v>
      </c>
      <c r="BI6" s="117">
        <f t="shared" si="4"/>
        <v>2117635</v>
      </c>
      <c r="BJ6" s="116">
        <v>16</v>
      </c>
      <c r="BK6" s="116">
        <v>12</v>
      </c>
      <c r="BL6" s="117">
        <f t="shared" si="15"/>
        <v>28</v>
      </c>
      <c r="BM6" s="116">
        <v>598260</v>
      </c>
      <c r="BN6" s="117">
        <v>27</v>
      </c>
      <c r="BO6" s="117">
        <v>0</v>
      </c>
      <c r="BP6" s="117">
        <f t="shared" si="16"/>
        <v>27</v>
      </c>
      <c r="BQ6" s="117">
        <v>2403560</v>
      </c>
      <c r="BR6" s="117">
        <f t="shared" si="17"/>
        <v>43</v>
      </c>
      <c r="BS6" s="117">
        <f t="shared" si="18"/>
        <v>12</v>
      </c>
      <c r="BT6" s="117">
        <f t="shared" si="19"/>
        <v>55</v>
      </c>
      <c r="BU6" s="117">
        <f t="shared" si="20"/>
        <v>3001820</v>
      </c>
      <c r="BV6" s="117">
        <v>8</v>
      </c>
      <c r="BW6" s="117">
        <v>14</v>
      </c>
      <c r="BX6" s="117">
        <f t="shared" si="21"/>
        <v>22</v>
      </c>
      <c r="BY6" s="117">
        <v>433900</v>
      </c>
      <c r="BZ6" s="117">
        <v>36</v>
      </c>
      <c r="CA6" s="117">
        <v>0</v>
      </c>
      <c r="CB6" s="117">
        <f t="shared" si="22"/>
        <v>36</v>
      </c>
      <c r="CC6" s="117">
        <v>1824044</v>
      </c>
      <c r="CD6" s="117">
        <f t="shared" si="23"/>
        <v>44</v>
      </c>
      <c r="CE6" s="117">
        <f t="shared" si="24"/>
        <v>14</v>
      </c>
      <c r="CF6" s="117">
        <f t="shared" si="25"/>
        <v>58</v>
      </c>
      <c r="CG6" s="117">
        <f t="shared" si="26"/>
        <v>2257944</v>
      </c>
      <c r="CH6" s="117">
        <v>7</v>
      </c>
      <c r="CI6" s="117">
        <v>9</v>
      </c>
      <c r="CJ6" s="117">
        <f t="shared" si="27"/>
        <v>16</v>
      </c>
      <c r="CK6" s="117">
        <v>341280</v>
      </c>
      <c r="CL6" s="117">
        <v>28</v>
      </c>
      <c r="CM6" s="117">
        <v>1</v>
      </c>
      <c r="CN6" s="117">
        <f t="shared" si="28"/>
        <v>29</v>
      </c>
      <c r="CO6" s="117">
        <v>1758640</v>
      </c>
      <c r="CP6" s="117">
        <f t="shared" si="29"/>
        <v>35</v>
      </c>
      <c r="CQ6" s="117">
        <f t="shared" si="30"/>
        <v>10</v>
      </c>
      <c r="CR6" s="117">
        <f t="shared" si="31"/>
        <v>45</v>
      </c>
      <c r="CS6" s="117">
        <f t="shared" si="32"/>
        <v>2099920</v>
      </c>
      <c r="CT6" s="117">
        <v>10</v>
      </c>
      <c r="CU6" s="117">
        <v>12</v>
      </c>
      <c r="CV6" s="117">
        <f t="shared" si="33"/>
        <v>22</v>
      </c>
      <c r="CW6" s="117">
        <v>814000</v>
      </c>
      <c r="CX6" s="117">
        <v>26</v>
      </c>
      <c r="CY6" s="117">
        <v>0</v>
      </c>
      <c r="CZ6" s="117">
        <f t="shared" si="34"/>
        <v>26</v>
      </c>
      <c r="DA6" s="117">
        <v>1632320</v>
      </c>
      <c r="DB6" s="117">
        <f t="shared" si="35"/>
        <v>36</v>
      </c>
      <c r="DC6" s="117">
        <f t="shared" si="36"/>
        <v>12</v>
      </c>
      <c r="DD6" s="117">
        <f t="shared" si="37"/>
        <v>48</v>
      </c>
      <c r="DE6" s="117">
        <f t="shared" si="38"/>
        <v>2446320</v>
      </c>
      <c r="DF6" s="117">
        <v>7</v>
      </c>
      <c r="DG6" s="117">
        <v>5</v>
      </c>
      <c r="DH6" s="117">
        <f t="shared" si="39"/>
        <v>12</v>
      </c>
      <c r="DI6" s="117">
        <v>495040</v>
      </c>
      <c r="DJ6" s="117">
        <v>25</v>
      </c>
      <c r="DK6" s="117">
        <v>0</v>
      </c>
      <c r="DL6" s="117">
        <f t="shared" si="40"/>
        <v>25</v>
      </c>
      <c r="DM6" s="117">
        <v>2106530</v>
      </c>
      <c r="DN6" s="117">
        <f t="shared" si="41"/>
        <v>32</v>
      </c>
      <c r="DO6" s="117">
        <f t="shared" si="42"/>
        <v>5</v>
      </c>
      <c r="DP6" s="117">
        <f t="shared" si="43"/>
        <v>37</v>
      </c>
      <c r="DQ6" s="117">
        <f t="shared" si="44"/>
        <v>2601570</v>
      </c>
      <c r="DR6" s="117">
        <v>13</v>
      </c>
      <c r="DS6" s="117">
        <v>9</v>
      </c>
      <c r="DT6" s="117">
        <f t="shared" si="45"/>
        <v>22</v>
      </c>
      <c r="DU6" s="117">
        <v>1111820</v>
      </c>
      <c r="DV6" s="117">
        <v>20</v>
      </c>
      <c r="DW6" s="117">
        <v>0</v>
      </c>
      <c r="DX6" s="117">
        <f t="shared" si="46"/>
        <v>20</v>
      </c>
      <c r="DY6" s="117">
        <v>1724680</v>
      </c>
      <c r="DZ6" s="117">
        <f t="shared" si="47"/>
        <v>33</v>
      </c>
      <c r="EA6" s="117">
        <f t="shared" si="48"/>
        <v>9</v>
      </c>
      <c r="EB6" s="117">
        <f t="shared" si="49"/>
        <v>42</v>
      </c>
      <c r="EC6" s="117">
        <f t="shared" si="50"/>
        <v>2836500</v>
      </c>
      <c r="ED6" s="117">
        <v>12</v>
      </c>
      <c r="EE6" s="117">
        <v>12</v>
      </c>
      <c r="EF6" s="117">
        <f t="shared" si="51"/>
        <v>24</v>
      </c>
      <c r="EG6" s="117">
        <v>695660</v>
      </c>
      <c r="EH6" s="117">
        <v>25</v>
      </c>
      <c r="EI6" s="117">
        <v>0</v>
      </c>
      <c r="EJ6" s="117">
        <f t="shared" si="52"/>
        <v>25</v>
      </c>
      <c r="EK6" s="117">
        <v>2710470</v>
      </c>
      <c r="EL6" s="117">
        <f t="shared" si="53"/>
        <v>37</v>
      </c>
      <c r="EM6" s="117">
        <f t="shared" si="54"/>
        <v>12</v>
      </c>
      <c r="EN6" s="117">
        <f t="shared" si="55"/>
        <v>49</v>
      </c>
      <c r="EO6" s="117">
        <f t="shared" si="56"/>
        <v>3406130</v>
      </c>
    </row>
    <row r="7" spans="1:145" x14ac:dyDescent="0.3">
      <c r="A7" s="162" t="s">
        <v>13</v>
      </c>
      <c r="B7" s="116">
        <v>4</v>
      </c>
      <c r="C7" s="116">
        <v>3</v>
      </c>
      <c r="D7" s="117">
        <v>7</v>
      </c>
      <c r="E7" s="116">
        <v>103800</v>
      </c>
      <c r="F7" s="116">
        <v>17</v>
      </c>
      <c r="G7" s="116">
        <v>3</v>
      </c>
      <c r="H7" s="117">
        <v>20</v>
      </c>
      <c r="I7" s="116">
        <v>1154140</v>
      </c>
      <c r="J7" s="117">
        <f t="shared" si="10"/>
        <v>21</v>
      </c>
      <c r="K7" s="117">
        <f t="shared" si="0"/>
        <v>6</v>
      </c>
      <c r="L7" s="117">
        <f t="shared" si="0"/>
        <v>27</v>
      </c>
      <c r="M7" s="117">
        <f t="shared" si="0"/>
        <v>1257940</v>
      </c>
      <c r="N7" s="116">
        <v>7</v>
      </c>
      <c r="O7" s="116">
        <v>7</v>
      </c>
      <c r="P7" s="117">
        <v>14</v>
      </c>
      <c r="Q7" s="116">
        <v>736368</v>
      </c>
      <c r="R7" s="116">
        <v>13</v>
      </c>
      <c r="S7" s="116">
        <v>0</v>
      </c>
      <c r="T7" s="117">
        <v>13</v>
      </c>
      <c r="U7" s="116">
        <v>919950</v>
      </c>
      <c r="V7" s="117">
        <f t="shared" si="11"/>
        <v>20</v>
      </c>
      <c r="W7" s="117">
        <f t="shared" si="1"/>
        <v>7</v>
      </c>
      <c r="X7" s="117">
        <f t="shared" si="1"/>
        <v>27</v>
      </c>
      <c r="Y7" s="117">
        <f t="shared" si="1"/>
        <v>1656318</v>
      </c>
      <c r="Z7" s="116">
        <v>7</v>
      </c>
      <c r="AA7" s="116">
        <v>11</v>
      </c>
      <c r="AB7" s="117">
        <v>18</v>
      </c>
      <c r="AC7" s="116">
        <v>341840</v>
      </c>
      <c r="AD7" s="116">
        <v>12</v>
      </c>
      <c r="AE7" s="116">
        <v>0</v>
      </c>
      <c r="AF7" s="117">
        <v>12</v>
      </c>
      <c r="AG7" s="116">
        <v>1080045</v>
      </c>
      <c r="AH7" s="117">
        <f t="shared" si="12"/>
        <v>19</v>
      </c>
      <c r="AI7" s="117">
        <f t="shared" si="2"/>
        <v>11</v>
      </c>
      <c r="AJ7" s="117">
        <f t="shared" si="2"/>
        <v>30</v>
      </c>
      <c r="AK7" s="117">
        <f t="shared" si="2"/>
        <v>1421885</v>
      </c>
      <c r="AL7" s="116">
        <v>9</v>
      </c>
      <c r="AM7" s="116">
        <v>15</v>
      </c>
      <c r="AN7" s="117">
        <v>24</v>
      </c>
      <c r="AO7" s="116">
        <v>358885</v>
      </c>
      <c r="AP7" s="116">
        <v>16</v>
      </c>
      <c r="AQ7" s="116">
        <v>0</v>
      </c>
      <c r="AR7" s="117">
        <v>16</v>
      </c>
      <c r="AS7" s="116">
        <v>1567769</v>
      </c>
      <c r="AT7" s="117">
        <f t="shared" si="13"/>
        <v>25</v>
      </c>
      <c r="AU7" s="117">
        <f t="shared" si="3"/>
        <v>15</v>
      </c>
      <c r="AV7" s="117">
        <f t="shared" si="3"/>
        <v>40</v>
      </c>
      <c r="AW7" s="117">
        <f t="shared" si="3"/>
        <v>1926654</v>
      </c>
      <c r="AX7" s="116">
        <v>8</v>
      </c>
      <c r="AY7" s="116">
        <v>8</v>
      </c>
      <c r="AZ7" s="117">
        <v>16</v>
      </c>
      <c r="BA7" s="116">
        <v>713700</v>
      </c>
      <c r="BB7" s="116">
        <v>14</v>
      </c>
      <c r="BC7" s="116">
        <v>1</v>
      </c>
      <c r="BD7" s="117">
        <v>15</v>
      </c>
      <c r="BE7" s="116">
        <v>1222380</v>
      </c>
      <c r="BF7" s="117">
        <f t="shared" si="14"/>
        <v>22</v>
      </c>
      <c r="BG7" s="117">
        <f t="shared" si="4"/>
        <v>9</v>
      </c>
      <c r="BH7" s="117">
        <f t="shared" si="4"/>
        <v>31</v>
      </c>
      <c r="BI7" s="117">
        <f t="shared" si="4"/>
        <v>1936080</v>
      </c>
      <c r="BJ7" s="116">
        <v>11</v>
      </c>
      <c r="BK7" s="116">
        <v>9</v>
      </c>
      <c r="BL7" s="117">
        <f t="shared" si="15"/>
        <v>20</v>
      </c>
      <c r="BM7" s="116">
        <v>798110</v>
      </c>
      <c r="BN7" s="117">
        <v>17</v>
      </c>
      <c r="BO7" s="117">
        <v>0</v>
      </c>
      <c r="BP7" s="117">
        <f t="shared" si="16"/>
        <v>17</v>
      </c>
      <c r="BQ7" s="117">
        <v>1145460</v>
      </c>
      <c r="BR7" s="117">
        <f t="shared" si="17"/>
        <v>28</v>
      </c>
      <c r="BS7" s="117">
        <f t="shared" si="18"/>
        <v>9</v>
      </c>
      <c r="BT7" s="117">
        <f t="shared" si="19"/>
        <v>37</v>
      </c>
      <c r="BU7" s="117">
        <f t="shared" si="20"/>
        <v>1943570</v>
      </c>
      <c r="BV7" s="117">
        <v>9</v>
      </c>
      <c r="BW7" s="117">
        <v>16</v>
      </c>
      <c r="BX7" s="117">
        <f t="shared" si="21"/>
        <v>25</v>
      </c>
      <c r="BY7" s="117">
        <v>752840</v>
      </c>
      <c r="BZ7" s="117">
        <v>11</v>
      </c>
      <c r="CA7" s="117">
        <v>1</v>
      </c>
      <c r="CB7" s="117">
        <f t="shared" si="22"/>
        <v>12</v>
      </c>
      <c r="CC7" s="117">
        <v>633110</v>
      </c>
      <c r="CD7" s="117">
        <f t="shared" si="23"/>
        <v>20</v>
      </c>
      <c r="CE7" s="117">
        <f t="shared" si="24"/>
        <v>17</v>
      </c>
      <c r="CF7" s="117">
        <f t="shared" si="25"/>
        <v>37</v>
      </c>
      <c r="CG7" s="117">
        <f t="shared" si="26"/>
        <v>1385950</v>
      </c>
      <c r="CH7" s="117">
        <v>9</v>
      </c>
      <c r="CI7" s="117">
        <v>11</v>
      </c>
      <c r="CJ7" s="117">
        <f t="shared" si="27"/>
        <v>20</v>
      </c>
      <c r="CK7" s="117">
        <v>1395380</v>
      </c>
      <c r="CL7" s="117">
        <v>13</v>
      </c>
      <c r="CM7" s="117">
        <v>0</v>
      </c>
      <c r="CN7" s="117">
        <f t="shared" si="28"/>
        <v>13</v>
      </c>
      <c r="CO7" s="117">
        <v>905820</v>
      </c>
      <c r="CP7" s="117">
        <f t="shared" si="29"/>
        <v>22</v>
      </c>
      <c r="CQ7" s="117">
        <f t="shared" si="30"/>
        <v>11</v>
      </c>
      <c r="CR7" s="117">
        <f t="shared" si="31"/>
        <v>33</v>
      </c>
      <c r="CS7" s="117">
        <f t="shared" si="32"/>
        <v>2301200</v>
      </c>
      <c r="CT7" s="117">
        <v>2</v>
      </c>
      <c r="CU7" s="117">
        <v>5</v>
      </c>
      <c r="CV7" s="117">
        <f t="shared" si="33"/>
        <v>7</v>
      </c>
      <c r="CW7" s="117">
        <v>493000</v>
      </c>
      <c r="CX7" s="117">
        <v>12</v>
      </c>
      <c r="CY7" s="117">
        <v>0</v>
      </c>
      <c r="CZ7" s="117">
        <f t="shared" si="34"/>
        <v>12</v>
      </c>
      <c r="DA7" s="117">
        <v>859850</v>
      </c>
      <c r="DB7" s="117">
        <f t="shared" si="35"/>
        <v>14</v>
      </c>
      <c r="DC7" s="117">
        <f t="shared" si="36"/>
        <v>5</v>
      </c>
      <c r="DD7" s="117">
        <f t="shared" si="37"/>
        <v>19</v>
      </c>
      <c r="DE7" s="117">
        <f t="shared" si="38"/>
        <v>1352850</v>
      </c>
      <c r="DF7" s="117">
        <v>9</v>
      </c>
      <c r="DG7" s="117">
        <v>9</v>
      </c>
      <c r="DH7" s="117">
        <f t="shared" si="39"/>
        <v>18</v>
      </c>
      <c r="DI7" s="117">
        <v>502300</v>
      </c>
      <c r="DJ7" s="117">
        <v>18</v>
      </c>
      <c r="DK7" s="117">
        <v>0</v>
      </c>
      <c r="DL7" s="117">
        <f t="shared" si="40"/>
        <v>18</v>
      </c>
      <c r="DM7" s="117">
        <v>2198120</v>
      </c>
      <c r="DN7" s="117">
        <f t="shared" si="41"/>
        <v>27</v>
      </c>
      <c r="DO7" s="117">
        <f t="shared" si="42"/>
        <v>9</v>
      </c>
      <c r="DP7" s="117">
        <f t="shared" si="43"/>
        <v>36</v>
      </c>
      <c r="DQ7" s="117">
        <f t="shared" si="44"/>
        <v>2700420</v>
      </c>
      <c r="DR7" s="117">
        <v>6</v>
      </c>
      <c r="DS7" s="117">
        <v>6</v>
      </c>
      <c r="DT7" s="117">
        <f t="shared" si="45"/>
        <v>12</v>
      </c>
      <c r="DU7" s="117">
        <v>392460</v>
      </c>
      <c r="DV7" s="117">
        <v>15</v>
      </c>
      <c r="DW7" s="117">
        <v>2</v>
      </c>
      <c r="DX7" s="117">
        <f t="shared" si="46"/>
        <v>17</v>
      </c>
      <c r="DY7" s="117">
        <v>1188620</v>
      </c>
      <c r="DZ7" s="117">
        <f t="shared" si="47"/>
        <v>21</v>
      </c>
      <c r="EA7" s="117">
        <f t="shared" si="48"/>
        <v>8</v>
      </c>
      <c r="EB7" s="117">
        <f t="shared" si="49"/>
        <v>29</v>
      </c>
      <c r="EC7" s="117">
        <f t="shared" si="50"/>
        <v>1581080</v>
      </c>
      <c r="ED7" s="117">
        <v>7</v>
      </c>
      <c r="EE7" s="117">
        <v>11</v>
      </c>
      <c r="EF7" s="117">
        <f t="shared" si="51"/>
        <v>18</v>
      </c>
      <c r="EG7" s="117">
        <v>647200</v>
      </c>
      <c r="EH7" s="117">
        <v>18</v>
      </c>
      <c r="EI7" s="117">
        <v>0</v>
      </c>
      <c r="EJ7" s="117">
        <f t="shared" si="52"/>
        <v>18</v>
      </c>
      <c r="EK7" s="117">
        <v>2183940</v>
      </c>
      <c r="EL7" s="117">
        <f t="shared" si="53"/>
        <v>25</v>
      </c>
      <c r="EM7" s="117">
        <f t="shared" si="54"/>
        <v>11</v>
      </c>
      <c r="EN7" s="117">
        <f t="shared" si="55"/>
        <v>36</v>
      </c>
      <c r="EO7" s="117">
        <f t="shared" si="56"/>
        <v>2831140</v>
      </c>
    </row>
    <row r="8" spans="1:145" x14ac:dyDescent="0.3">
      <c r="A8" s="122" t="s">
        <v>127</v>
      </c>
      <c r="B8" s="116">
        <v>21</v>
      </c>
      <c r="C8" s="116">
        <v>9</v>
      </c>
      <c r="D8" s="117">
        <v>30</v>
      </c>
      <c r="E8" s="116">
        <v>625400</v>
      </c>
      <c r="F8" s="116">
        <v>38</v>
      </c>
      <c r="G8" s="116">
        <v>3</v>
      </c>
      <c r="H8" s="117">
        <v>41</v>
      </c>
      <c r="I8" s="116">
        <v>2355680</v>
      </c>
      <c r="J8" s="117">
        <f t="shared" si="10"/>
        <v>59</v>
      </c>
      <c r="K8" s="117">
        <f t="shared" si="0"/>
        <v>12</v>
      </c>
      <c r="L8" s="117">
        <f t="shared" si="0"/>
        <v>71</v>
      </c>
      <c r="M8" s="117">
        <f t="shared" si="0"/>
        <v>2981080</v>
      </c>
      <c r="N8" s="116">
        <v>19</v>
      </c>
      <c r="O8" s="116">
        <v>26</v>
      </c>
      <c r="P8" s="117">
        <v>45</v>
      </c>
      <c r="Q8" s="116">
        <v>1217005</v>
      </c>
      <c r="R8" s="116">
        <v>45</v>
      </c>
      <c r="S8" s="116">
        <v>2</v>
      </c>
      <c r="T8" s="117">
        <v>47</v>
      </c>
      <c r="U8" s="116">
        <v>3810419</v>
      </c>
      <c r="V8" s="117">
        <f t="shared" si="11"/>
        <v>64</v>
      </c>
      <c r="W8" s="117">
        <f t="shared" si="1"/>
        <v>28</v>
      </c>
      <c r="X8" s="117">
        <f t="shared" si="1"/>
        <v>92</v>
      </c>
      <c r="Y8" s="117">
        <f t="shared" si="1"/>
        <v>5027424</v>
      </c>
      <c r="Z8" s="116">
        <v>24</v>
      </c>
      <c r="AA8" s="116">
        <v>17</v>
      </c>
      <c r="AB8" s="117">
        <v>41</v>
      </c>
      <c r="AC8" s="116">
        <v>1874015</v>
      </c>
      <c r="AD8" s="116">
        <v>42</v>
      </c>
      <c r="AE8" s="116">
        <v>1</v>
      </c>
      <c r="AF8" s="117">
        <v>43</v>
      </c>
      <c r="AG8" s="116">
        <v>2042280</v>
      </c>
      <c r="AH8" s="117">
        <f t="shared" si="12"/>
        <v>66</v>
      </c>
      <c r="AI8" s="117">
        <f t="shared" si="2"/>
        <v>18</v>
      </c>
      <c r="AJ8" s="117">
        <f t="shared" si="2"/>
        <v>84</v>
      </c>
      <c r="AK8" s="117">
        <f t="shared" si="2"/>
        <v>3916295</v>
      </c>
      <c r="AL8" s="116">
        <v>24</v>
      </c>
      <c r="AM8" s="116">
        <v>19</v>
      </c>
      <c r="AN8" s="117">
        <v>43</v>
      </c>
      <c r="AO8" s="116">
        <v>1284210</v>
      </c>
      <c r="AP8" s="116">
        <v>45</v>
      </c>
      <c r="AQ8" s="116">
        <v>1</v>
      </c>
      <c r="AR8" s="117">
        <v>46</v>
      </c>
      <c r="AS8" s="116">
        <v>2994725</v>
      </c>
      <c r="AT8" s="117">
        <f t="shared" si="13"/>
        <v>69</v>
      </c>
      <c r="AU8" s="117">
        <f t="shared" si="3"/>
        <v>20</v>
      </c>
      <c r="AV8" s="117">
        <f t="shared" si="3"/>
        <v>89</v>
      </c>
      <c r="AW8" s="117">
        <f t="shared" si="3"/>
        <v>4278935</v>
      </c>
      <c r="AX8" s="116">
        <v>23</v>
      </c>
      <c r="AY8" s="116">
        <v>23</v>
      </c>
      <c r="AZ8" s="117">
        <v>46</v>
      </c>
      <c r="BA8" s="116">
        <v>1031890</v>
      </c>
      <c r="BB8" s="116">
        <v>42</v>
      </c>
      <c r="BC8" s="116">
        <v>0</v>
      </c>
      <c r="BD8" s="117">
        <v>42</v>
      </c>
      <c r="BE8" s="116">
        <v>3225830</v>
      </c>
      <c r="BF8" s="117">
        <f t="shared" si="14"/>
        <v>65</v>
      </c>
      <c r="BG8" s="117">
        <f t="shared" si="4"/>
        <v>23</v>
      </c>
      <c r="BH8" s="117">
        <f t="shared" si="4"/>
        <v>88</v>
      </c>
      <c r="BI8" s="117">
        <f t="shared" si="4"/>
        <v>4257720</v>
      </c>
      <c r="BJ8" s="116">
        <v>18</v>
      </c>
      <c r="BK8" s="116">
        <v>24</v>
      </c>
      <c r="BL8" s="117">
        <f t="shared" si="15"/>
        <v>42</v>
      </c>
      <c r="BM8" s="116">
        <v>981250</v>
      </c>
      <c r="BN8" s="117">
        <v>49</v>
      </c>
      <c r="BO8" s="117">
        <v>1</v>
      </c>
      <c r="BP8" s="117">
        <f t="shared" si="16"/>
        <v>50</v>
      </c>
      <c r="BQ8" s="117">
        <v>3294500</v>
      </c>
      <c r="BR8" s="117">
        <f t="shared" si="17"/>
        <v>67</v>
      </c>
      <c r="BS8" s="117">
        <f t="shared" si="18"/>
        <v>25</v>
      </c>
      <c r="BT8" s="117">
        <f t="shared" si="19"/>
        <v>92</v>
      </c>
      <c r="BU8" s="117">
        <f t="shared" si="20"/>
        <v>4275750</v>
      </c>
      <c r="BV8" s="117">
        <v>14</v>
      </c>
      <c r="BW8" s="117">
        <v>31</v>
      </c>
      <c r="BX8" s="117">
        <f t="shared" si="21"/>
        <v>45</v>
      </c>
      <c r="BY8" s="117">
        <v>977660</v>
      </c>
      <c r="BZ8" s="117">
        <v>43</v>
      </c>
      <c r="CA8" s="117">
        <v>1</v>
      </c>
      <c r="CB8" s="117">
        <f t="shared" si="22"/>
        <v>44</v>
      </c>
      <c r="CC8" s="117">
        <v>3144920</v>
      </c>
      <c r="CD8" s="117">
        <f t="shared" si="23"/>
        <v>57</v>
      </c>
      <c r="CE8" s="117">
        <f t="shared" si="24"/>
        <v>32</v>
      </c>
      <c r="CF8" s="117">
        <f t="shared" si="25"/>
        <v>89</v>
      </c>
      <c r="CG8" s="117">
        <f t="shared" si="26"/>
        <v>4122580</v>
      </c>
      <c r="CH8" s="117">
        <v>12</v>
      </c>
      <c r="CI8" s="117">
        <v>24</v>
      </c>
      <c r="CJ8" s="117">
        <f t="shared" si="27"/>
        <v>36</v>
      </c>
      <c r="CK8" s="117">
        <v>580100</v>
      </c>
      <c r="CL8" s="117">
        <v>41</v>
      </c>
      <c r="CM8" s="117">
        <v>0</v>
      </c>
      <c r="CN8" s="117">
        <f t="shared" si="28"/>
        <v>41</v>
      </c>
      <c r="CO8" s="117">
        <v>3514642</v>
      </c>
      <c r="CP8" s="117">
        <f t="shared" si="29"/>
        <v>53</v>
      </c>
      <c r="CQ8" s="117">
        <f t="shared" si="30"/>
        <v>24</v>
      </c>
      <c r="CR8" s="117">
        <f t="shared" si="31"/>
        <v>77</v>
      </c>
      <c r="CS8" s="117">
        <f t="shared" si="32"/>
        <v>4094742</v>
      </c>
      <c r="CT8" s="117">
        <v>18</v>
      </c>
      <c r="CU8" s="117">
        <v>15</v>
      </c>
      <c r="CV8" s="117">
        <f t="shared" si="33"/>
        <v>33</v>
      </c>
      <c r="CW8" s="117">
        <v>1445570</v>
      </c>
      <c r="CX8" s="117">
        <v>31</v>
      </c>
      <c r="CY8" s="117">
        <v>1</v>
      </c>
      <c r="CZ8" s="117">
        <f t="shared" si="34"/>
        <v>32</v>
      </c>
      <c r="DA8" s="117">
        <v>2941648</v>
      </c>
      <c r="DB8" s="117">
        <f t="shared" si="35"/>
        <v>49</v>
      </c>
      <c r="DC8" s="117">
        <f t="shared" si="36"/>
        <v>16</v>
      </c>
      <c r="DD8" s="117">
        <f t="shared" si="37"/>
        <v>65</v>
      </c>
      <c r="DE8" s="117">
        <f t="shared" si="38"/>
        <v>4387218</v>
      </c>
      <c r="DF8" s="117">
        <v>13</v>
      </c>
      <c r="DG8" s="117">
        <v>16</v>
      </c>
      <c r="DH8" s="117">
        <f t="shared" si="39"/>
        <v>29</v>
      </c>
      <c r="DI8" s="117">
        <v>1003000</v>
      </c>
      <c r="DJ8" s="117">
        <v>35</v>
      </c>
      <c r="DK8" s="117">
        <v>5</v>
      </c>
      <c r="DL8" s="117">
        <f t="shared" si="40"/>
        <v>40</v>
      </c>
      <c r="DM8" s="117">
        <v>2949711</v>
      </c>
      <c r="DN8" s="117">
        <f t="shared" si="41"/>
        <v>48</v>
      </c>
      <c r="DO8" s="117">
        <f t="shared" si="42"/>
        <v>21</v>
      </c>
      <c r="DP8" s="117">
        <f t="shared" si="43"/>
        <v>69</v>
      </c>
      <c r="DQ8" s="117">
        <f t="shared" si="44"/>
        <v>3952711</v>
      </c>
      <c r="DR8" s="117">
        <v>21</v>
      </c>
      <c r="DS8" s="117">
        <v>21</v>
      </c>
      <c r="DT8" s="117">
        <f t="shared" si="45"/>
        <v>42</v>
      </c>
      <c r="DU8" s="117">
        <v>1539660</v>
      </c>
      <c r="DV8" s="117">
        <v>32</v>
      </c>
      <c r="DW8" s="117">
        <v>2</v>
      </c>
      <c r="DX8" s="117">
        <f t="shared" si="46"/>
        <v>34</v>
      </c>
      <c r="DY8" s="117">
        <v>1999320</v>
      </c>
      <c r="DZ8" s="117">
        <f t="shared" si="47"/>
        <v>53</v>
      </c>
      <c r="EA8" s="117">
        <f t="shared" si="48"/>
        <v>23</v>
      </c>
      <c r="EB8" s="117">
        <f t="shared" si="49"/>
        <v>76</v>
      </c>
      <c r="EC8" s="117">
        <f t="shared" si="50"/>
        <v>3538980</v>
      </c>
      <c r="ED8" s="117">
        <v>23</v>
      </c>
      <c r="EE8" s="117">
        <v>36</v>
      </c>
      <c r="EF8" s="117">
        <f t="shared" si="51"/>
        <v>59</v>
      </c>
      <c r="EG8" s="117">
        <v>2024880</v>
      </c>
      <c r="EH8" s="117">
        <v>37</v>
      </c>
      <c r="EI8" s="117">
        <v>3</v>
      </c>
      <c r="EJ8" s="117">
        <f t="shared" si="52"/>
        <v>40</v>
      </c>
      <c r="EK8" s="117">
        <v>2878220</v>
      </c>
      <c r="EL8" s="117">
        <f t="shared" si="53"/>
        <v>60</v>
      </c>
      <c r="EM8" s="117">
        <f t="shared" si="54"/>
        <v>39</v>
      </c>
      <c r="EN8" s="117">
        <f t="shared" si="55"/>
        <v>99</v>
      </c>
      <c r="EO8" s="117">
        <f t="shared" si="56"/>
        <v>4903100</v>
      </c>
    </row>
    <row r="9" spans="1:145" x14ac:dyDescent="0.3">
      <c r="A9" s="122" t="s">
        <v>3</v>
      </c>
      <c r="B9" s="116">
        <v>24</v>
      </c>
      <c r="C9" s="116">
        <v>11</v>
      </c>
      <c r="D9" s="117">
        <v>35</v>
      </c>
      <c r="E9" s="116">
        <v>1303010</v>
      </c>
      <c r="F9" s="116">
        <v>62</v>
      </c>
      <c r="G9" s="116">
        <v>1</v>
      </c>
      <c r="H9" s="117">
        <v>63</v>
      </c>
      <c r="I9" s="116">
        <v>3635853</v>
      </c>
      <c r="J9" s="117">
        <f t="shared" si="10"/>
        <v>86</v>
      </c>
      <c r="K9" s="117">
        <f t="shared" si="0"/>
        <v>12</v>
      </c>
      <c r="L9" s="117">
        <f t="shared" si="0"/>
        <v>98</v>
      </c>
      <c r="M9" s="117">
        <f t="shared" si="0"/>
        <v>4938863</v>
      </c>
      <c r="N9" s="116">
        <v>22</v>
      </c>
      <c r="O9" s="116">
        <v>14</v>
      </c>
      <c r="P9" s="117">
        <v>36</v>
      </c>
      <c r="Q9" s="116">
        <v>1305979</v>
      </c>
      <c r="R9" s="116">
        <v>73</v>
      </c>
      <c r="S9" s="116">
        <v>0</v>
      </c>
      <c r="T9" s="117">
        <v>73</v>
      </c>
      <c r="U9" s="116">
        <v>5207221</v>
      </c>
      <c r="V9" s="117">
        <f t="shared" si="11"/>
        <v>95</v>
      </c>
      <c r="W9" s="117">
        <f t="shared" si="1"/>
        <v>14</v>
      </c>
      <c r="X9" s="117">
        <f t="shared" si="1"/>
        <v>109</v>
      </c>
      <c r="Y9" s="117">
        <f t="shared" si="1"/>
        <v>6513200</v>
      </c>
      <c r="Z9" s="116">
        <v>10</v>
      </c>
      <c r="AA9" s="116">
        <v>14</v>
      </c>
      <c r="AB9" s="117">
        <v>24</v>
      </c>
      <c r="AC9" s="116">
        <v>897100</v>
      </c>
      <c r="AD9" s="116">
        <v>69</v>
      </c>
      <c r="AE9" s="116">
        <v>0</v>
      </c>
      <c r="AF9" s="117">
        <v>69</v>
      </c>
      <c r="AG9" s="116">
        <v>5136288</v>
      </c>
      <c r="AH9" s="117">
        <f t="shared" si="12"/>
        <v>79</v>
      </c>
      <c r="AI9" s="117">
        <f t="shared" si="2"/>
        <v>14</v>
      </c>
      <c r="AJ9" s="117">
        <f t="shared" si="2"/>
        <v>93</v>
      </c>
      <c r="AK9" s="117">
        <f t="shared" si="2"/>
        <v>6033388</v>
      </c>
      <c r="AL9" s="116">
        <v>17</v>
      </c>
      <c r="AM9" s="116">
        <v>17</v>
      </c>
      <c r="AN9" s="117">
        <v>34</v>
      </c>
      <c r="AO9" s="116">
        <v>436295</v>
      </c>
      <c r="AP9" s="116">
        <v>63</v>
      </c>
      <c r="AQ9" s="116">
        <v>0</v>
      </c>
      <c r="AR9" s="117">
        <v>63</v>
      </c>
      <c r="AS9" s="116">
        <v>4476282</v>
      </c>
      <c r="AT9" s="117">
        <f t="shared" si="13"/>
        <v>80</v>
      </c>
      <c r="AU9" s="117">
        <f t="shared" si="3"/>
        <v>17</v>
      </c>
      <c r="AV9" s="117">
        <f t="shared" si="3"/>
        <v>97</v>
      </c>
      <c r="AW9" s="117">
        <f t="shared" si="3"/>
        <v>4912577</v>
      </c>
      <c r="AX9" s="116">
        <v>19</v>
      </c>
      <c r="AY9" s="116">
        <v>12</v>
      </c>
      <c r="AZ9" s="117">
        <v>31</v>
      </c>
      <c r="BA9" s="116">
        <v>841635</v>
      </c>
      <c r="BB9" s="116">
        <v>59</v>
      </c>
      <c r="BC9" s="116">
        <v>2</v>
      </c>
      <c r="BD9" s="117">
        <v>61</v>
      </c>
      <c r="BE9" s="116">
        <v>6014843</v>
      </c>
      <c r="BF9" s="117">
        <f t="shared" si="14"/>
        <v>78</v>
      </c>
      <c r="BG9" s="117">
        <f t="shared" si="4"/>
        <v>14</v>
      </c>
      <c r="BH9" s="117">
        <f t="shared" si="4"/>
        <v>92</v>
      </c>
      <c r="BI9" s="117">
        <f t="shared" si="4"/>
        <v>6856478</v>
      </c>
      <c r="BJ9" s="116">
        <v>15</v>
      </c>
      <c r="BK9" s="116">
        <v>17</v>
      </c>
      <c r="BL9" s="117">
        <f t="shared" si="15"/>
        <v>32</v>
      </c>
      <c r="BM9" s="116">
        <v>762250</v>
      </c>
      <c r="BN9" s="117">
        <v>61</v>
      </c>
      <c r="BO9" s="117">
        <v>1</v>
      </c>
      <c r="BP9" s="117">
        <f t="shared" si="16"/>
        <v>62</v>
      </c>
      <c r="BQ9" s="117">
        <v>4049045</v>
      </c>
      <c r="BR9" s="117">
        <f t="shared" si="17"/>
        <v>76</v>
      </c>
      <c r="BS9" s="117">
        <f t="shared" si="18"/>
        <v>18</v>
      </c>
      <c r="BT9" s="117">
        <f t="shared" si="19"/>
        <v>94</v>
      </c>
      <c r="BU9" s="117">
        <f t="shared" si="20"/>
        <v>4811295</v>
      </c>
      <c r="BV9" s="117">
        <v>7</v>
      </c>
      <c r="BW9" s="117">
        <v>16</v>
      </c>
      <c r="BX9" s="117">
        <f t="shared" si="21"/>
        <v>23</v>
      </c>
      <c r="BY9" s="117">
        <v>1072113</v>
      </c>
      <c r="BZ9" s="117">
        <v>54</v>
      </c>
      <c r="CA9" s="117">
        <v>1</v>
      </c>
      <c r="CB9" s="117">
        <f t="shared" si="22"/>
        <v>55</v>
      </c>
      <c r="CC9" s="117">
        <v>3388530</v>
      </c>
      <c r="CD9" s="117">
        <f t="shared" si="23"/>
        <v>61</v>
      </c>
      <c r="CE9" s="117">
        <f t="shared" si="24"/>
        <v>17</v>
      </c>
      <c r="CF9" s="117">
        <f t="shared" si="25"/>
        <v>78</v>
      </c>
      <c r="CG9" s="117">
        <f t="shared" si="26"/>
        <v>4460643</v>
      </c>
      <c r="CH9" s="117">
        <v>12</v>
      </c>
      <c r="CI9" s="117">
        <v>18</v>
      </c>
      <c r="CJ9" s="117">
        <f t="shared" si="27"/>
        <v>30</v>
      </c>
      <c r="CK9" s="117">
        <v>1073630</v>
      </c>
      <c r="CL9" s="117">
        <v>47</v>
      </c>
      <c r="CM9" s="117">
        <v>0</v>
      </c>
      <c r="CN9" s="117">
        <f t="shared" si="28"/>
        <v>47</v>
      </c>
      <c r="CO9" s="117">
        <v>4010050</v>
      </c>
      <c r="CP9" s="117">
        <f t="shared" si="29"/>
        <v>59</v>
      </c>
      <c r="CQ9" s="117">
        <f t="shared" si="30"/>
        <v>18</v>
      </c>
      <c r="CR9" s="117">
        <f t="shared" si="31"/>
        <v>77</v>
      </c>
      <c r="CS9" s="117">
        <f t="shared" si="32"/>
        <v>5083680</v>
      </c>
      <c r="CT9" s="117">
        <v>11</v>
      </c>
      <c r="CU9" s="117">
        <v>13</v>
      </c>
      <c r="CV9" s="117">
        <f t="shared" si="33"/>
        <v>24</v>
      </c>
      <c r="CW9" s="117">
        <v>1778960</v>
      </c>
      <c r="CX9" s="117">
        <v>38</v>
      </c>
      <c r="CY9" s="117">
        <v>0</v>
      </c>
      <c r="CZ9" s="117">
        <f t="shared" si="34"/>
        <v>38</v>
      </c>
      <c r="DA9" s="117">
        <v>4294747</v>
      </c>
      <c r="DB9" s="117">
        <f t="shared" si="35"/>
        <v>49</v>
      </c>
      <c r="DC9" s="117">
        <f t="shared" si="36"/>
        <v>13</v>
      </c>
      <c r="DD9" s="117">
        <f t="shared" si="37"/>
        <v>62</v>
      </c>
      <c r="DE9" s="117">
        <f t="shared" si="38"/>
        <v>6073707</v>
      </c>
      <c r="DF9" s="117">
        <v>18</v>
      </c>
      <c r="DG9" s="117">
        <v>19</v>
      </c>
      <c r="DH9" s="117">
        <f t="shared" si="39"/>
        <v>37</v>
      </c>
      <c r="DI9" s="117">
        <v>890690</v>
      </c>
      <c r="DJ9" s="117">
        <v>43</v>
      </c>
      <c r="DK9" s="117">
        <v>5</v>
      </c>
      <c r="DL9" s="117">
        <f t="shared" si="40"/>
        <v>48</v>
      </c>
      <c r="DM9" s="117">
        <v>3693600</v>
      </c>
      <c r="DN9" s="117">
        <f t="shared" si="41"/>
        <v>61</v>
      </c>
      <c r="DO9" s="117">
        <f t="shared" si="42"/>
        <v>24</v>
      </c>
      <c r="DP9" s="117">
        <f t="shared" si="43"/>
        <v>85</v>
      </c>
      <c r="DQ9" s="117">
        <f t="shared" si="44"/>
        <v>4584290</v>
      </c>
      <c r="DR9" s="117">
        <v>13</v>
      </c>
      <c r="DS9" s="117">
        <v>27</v>
      </c>
      <c r="DT9" s="117">
        <f t="shared" si="45"/>
        <v>40</v>
      </c>
      <c r="DU9" s="117">
        <v>663760</v>
      </c>
      <c r="DV9" s="117">
        <v>41</v>
      </c>
      <c r="DW9" s="117">
        <v>0</v>
      </c>
      <c r="DX9" s="117">
        <f t="shared" si="46"/>
        <v>41</v>
      </c>
      <c r="DY9" s="117">
        <v>3208310</v>
      </c>
      <c r="DZ9" s="117">
        <f t="shared" si="47"/>
        <v>54</v>
      </c>
      <c r="EA9" s="117">
        <f t="shared" si="48"/>
        <v>27</v>
      </c>
      <c r="EB9" s="117">
        <f t="shared" si="49"/>
        <v>81</v>
      </c>
      <c r="EC9" s="117">
        <f t="shared" si="50"/>
        <v>3872070</v>
      </c>
      <c r="ED9" s="117">
        <v>20</v>
      </c>
      <c r="EE9" s="117">
        <v>20</v>
      </c>
      <c r="EF9" s="117">
        <f t="shared" si="51"/>
        <v>40</v>
      </c>
      <c r="EG9" s="117">
        <v>1399620</v>
      </c>
      <c r="EH9" s="117">
        <v>34</v>
      </c>
      <c r="EI9" s="117">
        <v>2</v>
      </c>
      <c r="EJ9" s="117">
        <f t="shared" si="52"/>
        <v>36</v>
      </c>
      <c r="EK9" s="117">
        <v>2619880</v>
      </c>
      <c r="EL9" s="117">
        <f t="shared" si="53"/>
        <v>54</v>
      </c>
      <c r="EM9" s="117">
        <f t="shared" si="54"/>
        <v>22</v>
      </c>
      <c r="EN9" s="117">
        <f t="shared" si="55"/>
        <v>76</v>
      </c>
      <c r="EO9" s="117">
        <f t="shared" si="56"/>
        <v>4019500</v>
      </c>
    </row>
    <row r="10" spans="1:145" x14ac:dyDescent="0.3">
      <c r="A10" s="122" t="s">
        <v>128</v>
      </c>
      <c r="B10" s="116">
        <v>39</v>
      </c>
      <c r="C10" s="116">
        <v>20</v>
      </c>
      <c r="D10" s="117">
        <v>59</v>
      </c>
      <c r="E10" s="116">
        <v>2203620</v>
      </c>
      <c r="F10" s="116">
        <v>60</v>
      </c>
      <c r="G10" s="116">
        <v>0</v>
      </c>
      <c r="H10" s="117">
        <v>60</v>
      </c>
      <c r="I10" s="116">
        <v>3496140</v>
      </c>
      <c r="J10" s="117">
        <f t="shared" si="10"/>
        <v>99</v>
      </c>
      <c r="K10" s="117">
        <f t="shared" si="0"/>
        <v>20</v>
      </c>
      <c r="L10" s="117">
        <f t="shared" si="0"/>
        <v>119</v>
      </c>
      <c r="M10" s="117">
        <f t="shared" si="0"/>
        <v>5699760</v>
      </c>
      <c r="N10" s="116">
        <v>12</v>
      </c>
      <c r="O10" s="116">
        <v>24</v>
      </c>
      <c r="P10" s="117">
        <v>36</v>
      </c>
      <c r="Q10" s="116">
        <v>1488509</v>
      </c>
      <c r="R10" s="116">
        <v>63</v>
      </c>
      <c r="S10" s="116">
        <v>1</v>
      </c>
      <c r="T10" s="117">
        <v>64</v>
      </c>
      <c r="U10" s="116">
        <v>5208850</v>
      </c>
      <c r="V10" s="117">
        <f t="shared" si="11"/>
        <v>75</v>
      </c>
      <c r="W10" s="117">
        <f t="shared" si="1"/>
        <v>25</v>
      </c>
      <c r="X10" s="117">
        <f t="shared" si="1"/>
        <v>100</v>
      </c>
      <c r="Y10" s="117">
        <f t="shared" si="1"/>
        <v>6697359</v>
      </c>
      <c r="Z10" s="116">
        <v>19</v>
      </c>
      <c r="AA10" s="116">
        <v>21</v>
      </c>
      <c r="AB10" s="117">
        <v>40</v>
      </c>
      <c r="AC10" s="116">
        <v>779635</v>
      </c>
      <c r="AD10" s="116">
        <v>50</v>
      </c>
      <c r="AE10" s="116">
        <v>2</v>
      </c>
      <c r="AF10" s="117">
        <v>52</v>
      </c>
      <c r="AG10" s="116">
        <v>3891868</v>
      </c>
      <c r="AH10" s="117">
        <f t="shared" si="12"/>
        <v>69</v>
      </c>
      <c r="AI10" s="117">
        <f t="shared" si="2"/>
        <v>23</v>
      </c>
      <c r="AJ10" s="117">
        <f t="shared" si="2"/>
        <v>92</v>
      </c>
      <c r="AK10" s="117">
        <f t="shared" si="2"/>
        <v>4671503</v>
      </c>
      <c r="AL10" s="116">
        <v>20</v>
      </c>
      <c r="AM10" s="116">
        <v>13</v>
      </c>
      <c r="AN10" s="117">
        <v>33</v>
      </c>
      <c r="AO10" s="116">
        <v>2036345</v>
      </c>
      <c r="AP10" s="116">
        <v>57</v>
      </c>
      <c r="AQ10" s="116">
        <v>2</v>
      </c>
      <c r="AR10" s="117">
        <v>59</v>
      </c>
      <c r="AS10" s="116">
        <v>4263310</v>
      </c>
      <c r="AT10" s="117">
        <f t="shared" si="13"/>
        <v>77</v>
      </c>
      <c r="AU10" s="117">
        <f t="shared" si="3"/>
        <v>15</v>
      </c>
      <c r="AV10" s="117">
        <f t="shared" si="3"/>
        <v>92</v>
      </c>
      <c r="AW10" s="117">
        <f t="shared" si="3"/>
        <v>6299655</v>
      </c>
      <c r="AX10" s="116">
        <v>36</v>
      </c>
      <c r="AY10" s="116">
        <v>22</v>
      </c>
      <c r="AZ10" s="117">
        <v>58</v>
      </c>
      <c r="BA10" s="116">
        <v>1983315</v>
      </c>
      <c r="BB10" s="116">
        <v>48</v>
      </c>
      <c r="BC10" s="116">
        <v>3</v>
      </c>
      <c r="BD10" s="117">
        <v>51</v>
      </c>
      <c r="BE10" s="116">
        <v>4726528</v>
      </c>
      <c r="BF10" s="117">
        <f t="shared" si="14"/>
        <v>84</v>
      </c>
      <c r="BG10" s="117">
        <f t="shared" si="4"/>
        <v>25</v>
      </c>
      <c r="BH10" s="117">
        <f t="shared" si="4"/>
        <v>109</v>
      </c>
      <c r="BI10" s="117">
        <f t="shared" si="4"/>
        <v>6709843</v>
      </c>
      <c r="BJ10" s="116">
        <v>21</v>
      </c>
      <c r="BK10" s="116">
        <v>21</v>
      </c>
      <c r="BL10" s="117">
        <f t="shared" si="15"/>
        <v>42</v>
      </c>
      <c r="BM10" s="116">
        <v>981420</v>
      </c>
      <c r="BN10" s="117">
        <v>55</v>
      </c>
      <c r="BO10" s="117">
        <v>3</v>
      </c>
      <c r="BP10" s="117">
        <f t="shared" si="16"/>
        <v>58</v>
      </c>
      <c r="BQ10" s="117">
        <v>4867763</v>
      </c>
      <c r="BR10" s="117">
        <f t="shared" si="17"/>
        <v>76</v>
      </c>
      <c r="BS10" s="117">
        <f t="shared" si="18"/>
        <v>24</v>
      </c>
      <c r="BT10" s="117">
        <f t="shared" si="19"/>
        <v>100</v>
      </c>
      <c r="BU10" s="117">
        <f t="shared" si="20"/>
        <v>5849183</v>
      </c>
      <c r="BV10" s="117">
        <v>22</v>
      </c>
      <c r="BW10" s="117">
        <v>27</v>
      </c>
      <c r="BX10" s="117">
        <f t="shared" si="21"/>
        <v>49</v>
      </c>
      <c r="BY10" s="117">
        <v>2170360</v>
      </c>
      <c r="BZ10" s="117">
        <v>47</v>
      </c>
      <c r="CA10" s="117">
        <v>2</v>
      </c>
      <c r="CB10" s="117">
        <f t="shared" si="22"/>
        <v>49</v>
      </c>
      <c r="CC10" s="117">
        <v>3473405</v>
      </c>
      <c r="CD10" s="117">
        <f t="shared" si="23"/>
        <v>69</v>
      </c>
      <c r="CE10" s="117">
        <f t="shared" si="24"/>
        <v>29</v>
      </c>
      <c r="CF10" s="117">
        <f t="shared" si="25"/>
        <v>98</v>
      </c>
      <c r="CG10" s="117">
        <f t="shared" si="26"/>
        <v>5643765</v>
      </c>
      <c r="CH10" s="117">
        <v>12</v>
      </c>
      <c r="CI10" s="117">
        <v>16</v>
      </c>
      <c r="CJ10" s="117">
        <f t="shared" si="27"/>
        <v>28</v>
      </c>
      <c r="CK10" s="117">
        <v>1634860</v>
      </c>
      <c r="CL10" s="117">
        <v>48</v>
      </c>
      <c r="CM10" s="117">
        <v>0</v>
      </c>
      <c r="CN10" s="117">
        <f t="shared" si="28"/>
        <v>48</v>
      </c>
      <c r="CO10" s="117">
        <v>4047705</v>
      </c>
      <c r="CP10" s="117">
        <f t="shared" si="29"/>
        <v>60</v>
      </c>
      <c r="CQ10" s="117">
        <f t="shared" si="30"/>
        <v>16</v>
      </c>
      <c r="CR10" s="117">
        <f t="shared" si="31"/>
        <v>76</v>
      </c>
      <c r="CS10" s="117">
        <f t="shared" si="32"/>
        <v>5682565</v>
      </c>
      <c r="CT10" s="117">
        <v>15</v>
      </c>
      <c r="CU10" s="117">
        <v>14</v>
      </c>
      <c r="CV10" s="117">
        <f t="shared" si="33"/>
        <v>29</v>
      </c>
      <c r="CW10" s="117">
        <v>2165100</v>
      </c>
      <c r="CX10" s="117">
        <v>50</v>
      </c>
      <c r="CY10" s="117">
        <v>2</v>
      </c>
      <c r="CZ10" s="117">
        <f t="shared" si="34"/>
        <v>52</v>
      </c>
      <c r="DA10" s="117">
        <v>4964045</v>
      </c>
      <c r="DB10" s="117">
        <f t="shared" si="35"/>
        <v>65</v>
      </c>
      <c r="DC10" s="117">
        <f t="shared" si="36"/>
        <v>16</v>
      </c>
      <c r="DD10" s="117">
        <f t="shared" si="37"/>
        <v>81</v>
      </c>
      <c r="DE10" s="117">
        <f t="shared" si="38"/>
        <v>7129145</v>
      </c>
      <c r="DF10" s="117">
        <v>21</v>
      </c>
      <c r="DG10" s="117">
        <v>30</v>
      </c>
      <c r="DH10" s="117">
        <f t="shared" si="39"/>
        <v>51</v>
      </c>
      <c r="DI10" s="117">
        <v>1547200</v>
      </c>
      <c r="DJ10" s="117">
        <v>43</v>
      </c>
      <c r="DK10" s="117">
        <v>2</v>
      </c>
      <c r="DL10" s="117">
        <f t="shared" si="40"/>
        <v>45</v>
      </c>
      <c r="DM10" s="117">
        <v>5458761</v>
      </c>
      <c r="DN10" s="117">
        <f t="shared" si="41"/>
        <v>64</v>
      </c>
      <c r="DO10" s="117">
        <f t="shared" si="42"/>
        <v>32</v>
      </c>
      <c r="DP10" s="117">
        <f t="shared" si="43"/>
        <v>96</v>
      </c>
      <c r="DQ10" s="117">
        <f t="shared" si="44"/>
        <v>7005961</v>
      </c>
      <c r="DR10" s="117">
        <v>10</v>
      </c>
      <c r="DS10" s="117">
        <v>19</v>
      </c>
      <c r="DT10" s="117">
        <f t="shared" si="45"/>
        <v>29</v>
      </c>
      <c r="DU10" s="117">
        <v>480560</v>
      </c>
      <c r="DV10" s="117">
        <v>24</v>
      </c>
      <c r="DW10" s="117">
        <v>1</v>
      </c>
      <c r="DX10" s="117">
        <f t="shared" si="46"/>
        <v>25</v>
      </c>
      <c r="DY10" s="117">
        <v>2778370</v>
      </c>
      <c r="DZ10" s="117">
        <f t="shared" si="47"/>
        <v>34</v>
      </c>
      <c r="EA10" s="117">
        <f t="shared" si="48"/>
        <v>20</v>
      </c>
      <c r="EB10" s="117">
        <f t="shared" si="49"/>
        <v>54</v>
      </c>
      <c r="EC10" s="117">
        <f t="shared" si="50"/>
        <v>3258930</v>
      </c>
      <c r="ED10" s="117">
        <v>35</v>
      </c>
      <c r="EE10" s="117">
        <v>38</v>
      </c>
      <c r="EF10" s="117">
        <f t="shared" si="51"/>
        <v>73</v>
      </c>
      <c r="EG10" s="117">
        <v>2462600</v>
      </c>
      <c r="EH10" s="117">
        <v>27</v>
      </c>
      <c r="EI10" s="117">
        <v>4</v>
      </c>
      <c r="EJ10" s="117">
        <f t="shared" si="52"/>
        <v>31</v>
      </c>
      <c r="EK10" s="117">
        <v>4768720</v>
      </c>
      <c r="EL10" s="117">
        <f t="shared" si="53"/>
        <v>62</v>
      </c>
      <c r="EM10" s="117">
        <f t="shared" si="54"/>
        <v>42</v>
      </c>
      <c r="EN10" s="117">
        <f t="shared" si="55"/>
        <v>104</v>
      </c>
      <c r="EO10" s="117">
        <f t="shared" si="56"/>
        <v>7231320</v>
      </c>
    </row>
    <row r="11" spans="1:145" x14ac:dyDescent="0.3">
      <c r="A11" s="162" t="s">
        <v>10</v>
      </c>
      <c r="B11" s="116">
        <v>8</v>
      </c>
      <c r="C11" s="116">
        <v>11</v>
      </c>
      <c r="D11" s="117">
        <v>19</v>
      </c>
      <c r="E11" s="116">
        <v>506160</v>
      </c>
      <c r="F11" s="116">
        <v>11</v>
      </c>
      <c r="G11" s="116">
        <v>1</v>
      </c>
      <c r="H11" s="117">
        <v>12</v>
      </c>
      <c r="I11" s="116">
        <v>648370</v>
      </c>
      <c r="J11" s="117">
        <f t="shared" si="10"/>
        <v>19</v>
      </c>
      <c r="K11" s="117">
        <f t="shared" si="0"/>
        <v>12</v>
      </c>
      <c r="L11" s="117">
        <f t="shared" si="0"/>
        <v>31</v>
      </c>
      <c r="M11" s="117">
        <f t="shared" si="0"/>
        <v>1154530</v>
      </c>
      <c r="N11" s="116">
        <v>10</v>
      </c>
      <c r="O11" s="116">
        <v>12</v>
      </c>
      <c r="P11" s="117">
        <v>22</v>
      </c>
      <c r="Q11" s="116">
        <v>408900</v>
      </c>
      <c r="R11" s="116">
        <v>13</v>
      </c>
      <c r="S11" s="116">
        <v>0</v>
      </c>
      <c r="T11" s="117">
        <v>13</v>
      </c>
      <c r="U11" s="116">
        <v>851175</v>
      </c>
      <c r="V11" s="117">
        <f t="shared" si="11"/>
        <v>23</v>
      </c>
      <c r="W11" s="117">
        <f t="shared" si="1"/>
        <v>12</v>
      </c>
      <c r="X11" s="117">
        <f t="shared" si="1"/>
        <v>35</v>
      </c>
      <c r="Y11" s="117">
        <f t="shared" si="1"/>
        <v>1260075</v>
      </c>
      <c r="Z11" s="116">
        <v>15</v>
      </c>
      <c r="AA11" s="116">
        <v>7</v>
      </c>
      <c r="AB11" s="117">
        <v>22</v>
      </c>
      <c r="AC11" s="116">
        <v>818825</v>
      </c>
      <c r="AD11" s="116">
        <v>11</v>
      </c>
      <c r="AE11" s="116">
        <v>0</v>
      </c>
      <c r="AF11" s="117">
        <v>11</v>
      </c>
      <c r="AG11" s="116">
        <v>587490</v>
      </c>
      <c r="AH11" s="117">
        <f t="shared" si="12"/>
        <v>26</v>
      </c>
      <c r="AI11" s="117">
        <f t="shared" si="2"/>
        <v>7</v>
      </c>
      <c r="AJ11" s="117">
        <f t="shared" si="2"/>
        <v>33</v>
      </c>
      <c r="AK11" s="117">
        <f t="shared" si="2"/>
        <v>1406315</v>
      </c>
      <c r="AL11" s="116">
        <v>11</v>
      </c>
      <c r="AM11" s="116">
        <v>11</v>
      </c>
      <c r="AN11" s="117">
        <v>22</v>
      </c>
      <c r="AO11" s="116">
        <v>665330</v>
      </c>
      <c r="AP11" s="116">
        <v>18</v>
      </c>
      <c r="AQ11" s="116">
        <v>0</v>
      </c>
      <c r="AR11" s="117">
        <v>18</v>
      </c>
      <c r="AS11" s="116">
        <v>1064675</v>
      </c>
      <c r="AT11" s="117">
        <f t="shared" si="13"/>
        <v>29</v>
      </c>
      <c r="AU11" s="117">
        <f t="shared" si="3"/>
        <v>11</v>
      </c>
      <c r="AV11" s="117">
        <f t="shared" si="3"/>
        <v>40</v>
      </c>
      <c r="AW11" s="117">
        <f t="shared" si="3"/>
        <v>1730005</v>
      </c>
      <c r="AX11" s="116">
        <v>20</v>
      </c>
      <c r="AY11" s="116">
        <v>13</v>
      </c>
      <c r="AZ11" s="117">
        <v>33</v>
      </c>
      <c r="BA11" s="116">
        <v>626265</v>
      </c>
      <c r="BB11" s="116">
        <v>26</v>
      </c>
      <c r="BC11" s="116">
        <v>0</v>
      </c>
      <c r="BD11" s="117">
        <v>26</v>
      </c>
      <c r="BE11" s="116">
        <v>1394885</v>
      </c>
      <c r="BF11" s="117">
        <f t="shared" si="14"/>
        <v>46</v>
      </c>
      <c r="BG11" s="117">
        <f t="shared" si="4"/>
        <v>13</v>
      </c>
      <c r="BH11" s="117">
        <f t="shared" si="4"/>
        <v>59</v>
      </c>
      <c r="BI11" s="117">
        <f t="shared" si="4"/>
        <v>2021150</v>
      </c>
      <c r="BJ11" s="116">
        <v>12</v>
      </c>
      <c r="BK11" s="116">
        <v>7</v>
      </c>
      <c r="BL11" s="117">
        <f t="shared" si="15"/>
        <v>19</v>
      </c>
      <c r="BM11" s="116">
        <v>326440</v>
      </c>
      <c r="BN11" s="117">
        <v>25</v>
      </c>
      <c r="BO11" s="117">
        <v>0</v>
      </c>
      <c r="BP11" s="117">
        <f t="shared" si="16"/>
        <v>25</v>
      </c>
      <c r="BQ11" s="117">
        <v>860640</v>
      </c>
      <c r="BR11" s="117">
        <f t="shared" si="17"/>
        <v>37</v>
      </c>
      <c r="BS11" s="117">
        <f t="shared" si="18"/>
        <v>7</v>
      </c>
      <c r="BT11" s="117">
        <f t="shared" si="19"/>
        <v>44</v>
      </c>
      <c r="BU11" s="117">
        <f t="shared" si="20"/>
        <v>1187080</v>
      </c>
      <c r="BV11" s="117">
        <v>7</v>
      </c>
      <c r="BW11" s="117">
        <v>15</v>
      </c>
      <c r="BX11" s="117">
        <f t="shared" si="21"/>
        <v>22</v>
      </c>
      <c r="BY11" s="117">
        <v>748480</v>
      </c>
      <c r="BZ11" s="117">
        <v>20</v>
      </c>
      <c r="CA11" s="117">
        <v>0</v>
      </c>
      <c r="CB11" s="117">
        <f t="shared" si="22"/>
        <v>20</v>
      </c>
      <c r="CC11" s="117">
        <v>786600</v>
      </c>
      <c r="CD11" s="117">
        <f t="shared" si="23"/>
        <v>27</v>
      </c>
      <c r="CE11" s="117">
        <f t="shared" si="24"/>
        <v>15</v>
      </c>
      <c r="CF11" s="117">
        <f t="shared" si="25"/>
        <v>42</v>
      </c>
      <c r="CG11" s="117">
        <f t="shared" si="26"/>
        <v>1535080</v>
      </c>
      <c r="CH11" s="117">
        <v>7</v>
      </c>
      <c r="CI11" s="117">
        <v>21</v>
      </c>
      <c r="CJ11" s="117">
        <f t="shared" si="27"/>
        <v>28</v>
      </c>
      <c r="CK11" s="117">
        <v>451700</v>
      </c>
      <c r="CL11" s="117">
        <v>25</v>
      </c>
      <c r="CM11" s="117">
        <v>0</v>
      </c>
      <c r="CN11" s="117">
        <f t="shared" si="28"/>
        <v>25</v>
      </c>
      <c r="CO11" s="117">
        <v>1958240</v>
      </c>
      <c r="CP11" s="117">
        <f t="shared" si="29"/>
        <v>32</v>
      </c>
      <c r="CQ11" s="117">
        <f t="shared" si="30"/>
        <v>21</v>
      </c>
      <c r="CR11" s="117">
        <f t="shared" si="31"/>
        <v>53</v>
      </c>
      <c r="CS11" s="117">
        <f t="shared" si="32"/>
        <v>2409940</v>
      </c>
      <c r="CT11" s="117">
        <v>9</v>
      </c>
      <c r="CU11" s="117">
        <v>21</v>
      </c>
      <c r="CV11" s="117">
        <f t="shared" si="33"/>
        <v>30</v>
      </c>
      <c r="CW11" s="117">
        <v>839920</v>
      </c>
      <c r="CX11" s="117">
        <v>13</v>
      </c>
      <c r="CY11" s="117">
        <v>0</v>
      </c>
      <c r="CZ11" s="117">
        <f t="shared" si="34"/>
        <v>13</v>
      </c>
      <c r="DA11" s="117">
        <v>1248740</v>
      </c>
      <c r="DB11" s="117">
        <f t="shared" si="35"/>
        <v>22</v>
      </c>
      <c r="DC11" s="117">
        <f t="shared" si="36"/>
        <v>21</v>
      </c>
      <c r="DD11" s="117">
        <f t="shared" si="37"/>
        <v>43</v>
      </c>
      <c r="DE11" s="117">
        <f t="shared" si="38"/>
        <v>2088660</v>
      </c>
      <c r="DF11" s="117">
        <v>14</v>
      </c>
      <c r="DG11" s="117">
        <v>21</v>
      </c>
      <c r="DH11" s="117">
        <f t="shared" si="39"/>
        <v>35</v>
      </c>
      <c r="DI11" s="117">
        <v>773360</v>
      </c>
      <c r="DJ11" s="117">
        <v>16</v>
      </c>
      <c r="DK11" s="117">
        <v>2</v>
      </c>
      <c r="DL11" s="117">
        <f t="shared" si="40"/>
        <v>18</v>
      </c>
      <c r="DM11" s="117">
        <v>1632760</v>
      </c>
      <c r="DN11" s="117">
        <f t="shared" si="41"/>
        <v>30</v>
      </c>
      <c r="DO11" s="117">
        <f t="shared" si="42"/>
        <v>23</v>
      </c>
      <c r="DP11" s="117">
        <f t="shared" si="43"/>
        <v>53</v>
      </c>
      <c r="DQ11" s="117">
        <f t="shared" si="44"/>
        <v>2406120</v>
      </c>
      <c r="DR11" s="117">
        <v>13</v>
      </c>
      <c r="DS11" s="117">
        <v>17</v>
      </c>
      <c r="DT11" s="117">
        <f t="shared" si="45"/>
        <v>30</v>
      </c>
      <c r="DU11" s="117">
        <v>701160</v>
      </c>
      <c r="DV11" s="117">
        <v>21</v>
      </c>
      <c r="DW11" s="117">
        <v>2</v>
      </c>
      <c r="DX11" s="117">
        <f t="shared" si="46"/>
        <v>23</v>
      </c>
      <c r="DY11" s="117">
        <v>1743760</v>
      </c>
      <c r="DZ11" s="117">
        <f t="shared" si="47"/>
        <v>34</v>
      </c>
      <c r="EA11" s="117">
        <f t="shared" si="48"/>
        <v>19</v>
      </c>
      <c r="EB11" s="117">
        <f t="shared" si="49"/>
        <v>53</v>
      </c>
      <c r="EC11" s="117">
        <f t="shared" si="50"/>
        <v>2444920</v>
      </c>
      <c r="ED11" s="117">
        <v>13</v>
      </c>
      <c r="EE11" s="117">
        <v>18</v>
      </c>
      <c r="EF11" s="117">
        <f t="shared" si="51"/>
        <v>31</v>
      </c>
      <c r="EG11" s="117">
        <v>755600</v>
      </c>
      <c r="EH11" s="117">
        <v>18</v>
      </c>
      <c r="EI11" s="117">
        <v>1</v>
      </c>
      <c r="EJ11" s="117">
        <f t="shared" si="52"/>
        <v>19</v>
      </c>
      <c r="EK11" s="117">
        <v>1648040</v>
      </c>
      <c r="EL11" s="117">
        <f t="shared" si="53"/>
        <v>31</v>
      </c>
      <c r="EM11" s="117">
        <f t="shared" si="54"/>
        <v>19</v>
      </c>
      <c r="EN11" s="117">
        <f t="shared" si="55"/>
        <v>50</v>
      </c>
      <c r="EO11" s="117">
        <f t="shared" si="56"/>
        <v>2403640</v>
      </c>
    </row>
    <row r="12" spans="1:145" x14ac:dyDescent="0.3">
      <c r="A12" s="162" t="s">
        <v>11</v>
      </c>
      <c r="B12" s="116">
        <v>27</v>
      </c>
      <c r="C12" s="116">
        <v>11</v>
      </c>
      <c r="D12" s="117">
        <v>38</v>
      </c>
      <c r="E12" s="116">
        <v>1150600</v>
      </c>
      <c r="F12" s="116">
        <v>52</v>
      </c>
      <c r="G12" s="116">
        <v>0</v>
      </c>
      <c r="H12" s="117">
        <v>52</v>
      </c>
      <c r="I12" s="116">
        <v>3563550</v>
      </c>
      <c r="J12" s="117">
        <f t="shared" si="10"/>
        <v>79</v>
      </c>
      <c r="K12" s="117">
        <f t="shared" si="0"/>
        <v>11</v>
      </c>
      <c r="L12" s="117">
        <f t="shared" si="0"/>
        <v>90</v>
      </c>
      <c r="M12" s="117">
        <f t="shared" si="0"/>
        <v>4714150</v>
      </c>
      <c r="N12" s="116">
        <v>19</v>
      </c>
      <c r="O12" s="116">
        <v>8</v>
      </c>
      <c r="P12" s="117">
        <v>27</v>
      </c>
      <c r="Q12" s="116">
        <v>1557418</v>
      </c>
      <c r="R12" s="116">
        <v>48</v>
      </c>
      <c r="S12" s="116">
        <v>0</v>
      </c>
      <c r="T12" s="117">
        <v>48</v>
      </c>
      <c r="U12" s="116">
        <v>2316300</v>
      </c>
      <c r="V12" s="117">
        <f t="shared" si="11"/>
        <v>67</v>
      </c>
      <c r="W12" s="117">
        <f t="shared" si="1"/>
        <v>8</v>
      </c>
      <c r="X12" s="117">
        <f t="shared" si="1"/>
        <v>75</v>
      </c>
      <c r="Y12" s="117">
        <f t="shared" si="1"/>
        <v>3873718</v>
      </c>
      <c r="Z12" s="116">
        <v>14</v>
      </c>
      <c r="AA12" s="116">
        <v>7</v>
      </c>
      <c r="AB12" s="117">
        <v>21</v>
      </c>
      <c r="AC12" s="116">
        <v>1165845</v>
      </c>
      <c r="AD12" s="116">
        <v>42</v>
      </c>
      <c r="AE12" s="116">
        <v>0</v>
      </c>
      <c r="AF12" s="117">
        <v>42</v>
      </c>
      <c r="AG12" s="116">
        <v>2938470</v>
      </c>
      <c r="AH12" s="117">
        <f t="shared" si="12"/>
        <v>56</v>
      </c>
      <c r="AI12" s="117">
        <f t="shared" si="2"/>
        <v>7</v>
      </c>
      <c r="AJ12" s="117">
        <f t="shared" si="2"/>
        <v>63</v>
      </c>
      <c r="AK12" s="117">
        <f t="shared" si="2"/>
        <v>4104315</v>
      </c>
      <c r="AL12" s="116">
        <v>9</v>
      </c>
      <c r="AM12" s="116">
        <v>8</v>
      </c>
      <c r="AN12" s="117">
        <v>17</v>
      </c>
      <c r="AO12" s="116">
        <v>516200</v>
      </c>
      <c r="AP12" s="116">
        <v>46</v>
      </c>
      <c r="AQ12" s="116">
        <v>0</v>
      </c>
      <c r="AR12" s="117">
        <v>46</v>
      </c>
      <c r="AS12" s="116">
        <v>3353565</v>
      </c>
      <c r="AT12" s="117">
        <f t="shared" si="13"/>
        <v>55</v>
      </c>
      <c r="AU12" s="117">
        <f t="shared" si="3"/>
        <v>8</v>
      </c>
      <c r="AV12" s="117">
        <f t="shared" si="3"/>
        <v>63</v>
      </c>
      <c r="AW12" s="117">
        <f t="shared" si="3"/>
        <v>3869765</v>
      </c>
      <c r="AX12" s="116">
        <v>15</v>
      </c>
      <c r="AY12" s="116">
        <v>11</v>
      </c>
      <c r="AZ12" s="117">
        <v>26</v>
      </c>
      <c r="BA12" s="116">
        <v>798035</v>
      </c>
      <c r="BB12" s="116">
        <v>44</v>
      </c>
      <c r="BC12" s="116">
        <v>0</v>
      </c>
      <c r="BD12" s="117">
        <v>44</v>
      </c>
      <c r="BE12" s="116">
        <v>2729960</v>
      </c>
      <c r="BF12" s="117">
        <f t="shared" si="14"/>
        <v>59</v>
      </c>
      <c r="BG12" s="117">
        <f t="shared" si="4"/>
        <v>11</v>
      </c>
      <c r="BH12" s="117">
        <f t="shared" si="4"/>
        <v>70</v>
      </c>
      <c r="BI12" s="117">
        <f t="shared" si="4"/>
        <v>3527995</v>
      </c>
      <c r="BJ12" s="116">
        <v>9</v>
      </c>
      <c r="BK12" s="116">
        <v>14</v>
      </c>
      <c r="BL12" s="117">
        <f t="shared" si="15"/>
        <v>23</v>
      </c>
      <c r="BM12" s="116">
        <v>469500</v>
      </c>
      <c r="BN12" s="117">
        <v>45</v>
      </c>
      <c r="BO12" s="117">
        <v>0</v>
      </c>
      <c r="BP12" s="117">
        <f t="shared" si="16"/>
        <v>45</v>
      </c>
      <c r="BQ12" s="117">
        <v>3682870</v>
      </c>
      <c r="BR12" s="117">
        <f t="shared" si="17"/>
        <v>54</v>
      </c>
      <c r="BS12" s="117">
        <f t="shared" si="18"/>
        <v>14</v>
      </c>
      <c r="BT12" s="117">
        <f t="shared" si="19"/>
        <v>68</v>
      </c>
      <c r="BU12" s="117">
        <f t="shared" si="20"/>
        <v>4152370</v>
      </c>
      <c r="BV12" s="117">
        <v>16</v>
      </c>
      <c r="BW12" s="117">
        <v>13</v>
      </c>
      <c r="BX12" s="117">
        <f t="shared" si="21"/>
        <v>29</v>
      </c>
      <c r="BY12" s="117">
        <v>1002744</v>
      </c>
      <c r="BZ12" s="117">
        <v>32</v>
      </c>
      <c r="CA12" s="117">
        <v>0</v>
      </c>
      <c r="CB12" s="117">
        <f t="shared" si="22"/>
        <v>32</v>
      </c>
      <c r="CC12" s="117">
        <v>1808623</v>
      </c>
      <c r="CD12" s="117">
        <f t="shared" si="23"/>
        <v>48</v>
      </c>
      <c r="CE12" s="117">
        <f t="shared" si="24"/>
        <v>13</v>
      </c>
      <c r="CF12" s="117">
        <f t="shared" si="25"/>
        <v>61</v>
      </c>
      <c r="CG12" s="117">
        <f t="shared" si="26"/>
        <v>2811367</v>
      </c>
      <c r="CH12" s="117">
        <v>7</v>
      </c>
      <c r="CI12" s="117">
        <v>8</v>
      </c>
      <c r="CJ12" s="117">
        <f t="shared" si="27"/>
        <v>15</v>
      </c>
      <c r="CK12" s="117">
        <v>912700</v>
      </c>
      <c r="CL12" s="117">
        <v>35</v>
      </c>
      <c r="CM12" s="117">
        <v>0</v>
      </c>
      <c r="CN12" s="117">
        <f t="shared" si="28"/>
        <v>35</v>
      </c>
      <c r="CO12" s="117">
        <v>1704060</v>
      </c>
      <c r="CP12" s="117">
        <f t="shared" si="29"/>
        <v>42</v>
      </c>
      <c r="CQ12" s="117">
        <f t="shared" si="30"/>
        <v>8</v>
      </c>
      <c r="CR12" s="117">
        <f t="shared" si="31"/>
        <v>50</v>
      </c>
      <c r="CS12" s="117">
        <f t="shared" si="32"/>
        <v>2616760</v>
      </c>
      <c r="CT12" s="117">
        <v>14</v>
      </c>
      <c r="CU12" s="117">
        <v>11</v>
      </c>
      <c r="CV12" s="117">
        <f t="shared" si="33"/>
        <v>25</v>
      </c>
      <c r="CW12" s="117">
        <v>1294540</v>
      </c>
      <c r="CX12" s="117">
        <v>27</v>
      </c>
      <c r="CY12" s="117">
        <v>0</v>
      </c>
      <c r="CZ12" s="117">
        <f t="shared" si="34"/>
        <v>27</v>
      </c>
      <c r="DA12" s="117">
        <v>2462610</v>
      </c>
      <c r="DB12" s="117">
        <f t="shared" si="35"/>
        <v>41</v>
      </c>
      <c r="DC12" s="117">
        <f t="shared" si="36"/>
        <v>11</v>
      </c>
      <c r="DD12" s="117">
        <f t="shared" si="37"/>
        <v>52</v>
      </c>
      <c r="DE12" s="117">
        <f t="shared" si="38"/>
        <v>3757150</v>
      </c>
      <c r="DF12" s="117">
        <v>10</v>
      </c>
      <c r="DG12" s="117">
        <v>12</v>
      </c>
      <c r="DH12" s="117">
        <f t="shared" si="39"/>
        <v>22</v>
      </c>
      <c r="DI12" s="117">
        <v>1447340</v>
      </c>
      <c r="DJ12" s="117">
        <v>26</v>
      </c>
      <c r="DK12" s="117">
        <v>0</v>
      </c>
      <c r="DL12" s="117">
        <f t="shared" si="40"/>
        <v>26</v>
      </c>
      <c r="DM12" s="117">
        <v>2658440</v>
      </c>
      <c r="DN12" s="117">
        <f t="shared" si="41"/>
        <v>36</v>
      </c>
      <c r="DO12" s="117">
        <f t="shared" si="42"/>
        <v>12</v>
      </c>
      <c r="DP12" s="117">
        <f t="shared" si="43"/>
        <v>48</v>
      </c>
      <c r="DQ12" s="117">
        <f t="shared" si="44"/>
        <v>4105780</v>
      </c>
      <c r="DR12" s="117">
        <v>14</v>
      </c>
      <c r="DS12" s="117">
        <v>17</v>
      </c>
      <c r="DT12" s="117">
        <f t="shared" si="45"/>
        <v>31</v>
      </c>
      <c r="DU12" s="117">
        <v>1039820</v>
      </c>
      <c r="DV12" s="117">
        <v>23</v>
      </c>
      <c r="DW12" s="117">
        <v>0</v>
      </c>
      <c r="DX12" s="117">
        <f t="shared" si="46"/>
        <v>23</v>
      </c>
      <c r="DY12" s="117">
        <v>3141090</v>
      </c>
      <c r="DZ12" s="117">
        <f t="shared" si="47"/>
        <v>37</v>
      </c>
      <c r="EA12" s="117">
        <f t="shared" si="48"/>
        <v>17</v>
      </c>
      <c r="EB12" s="117">
        <f t="shared" si="49"/>
        <v>54</v>
      </c>
      <c r="EC12" s="117">
        <f t="shared" si="50"/>
        <v>4180910</v>
      </c>
      <c r="ED12" s="117">
        <v>11</v>
      </c>
      <c r="EE12" s="117">
        <v>20</v>
      </c>
      <c r="EF12" s="117">
        <f t="shared" si="51"/>
        <v>31</v>
      </c>
      <c r="EG12" s="117">
        <v>683900</v>
      </c>
      <c r="EH12" s="117">
        <v>25</v>
      </c>
      <c r="EI12" s="117">
        <v>0</v>
      </c>
      <c r="EJ12" s="117">
        <f t="shared" si="52"/>
        <v>25</v>
      </c>
      <c r="EK12" s="117">
        <v>3426898</v>
      </c>
      <c r="EL12" s="117">
        <f t="shared" si="53"/>
        <v>36</v>
      </c>
      <c r="EM12" s="117">
        <f t="shared" si="54"/>
        <v>20</v>
      </c>
      <c r="EN12" s="117">
        <f t="shared" si="55"/>
        <v>56</v>
      </c>
      <c r="EO12" s="117">
        <f t="shared" si="56"/>
        <v>4110798</v>
      </c>
    </row>
    <row r="13" spans="1:145" x14ac:dyDescent="0.3">
      <c r="A13" s="162" t="s">
        <v>5</v>
      </c>
      <c r="B13" s="116">
        <v>20</v>
      </c>
      <c r="C13" s="116">
        <v>11</v>
      </c>
      <c r="D13" s="117">
        <v>31</v>
      </c>
      <c r="E13" s="116">
        <v>1034960</v>
      </c>
      <c r="F13" s="116">
        <v>62</v>
      </c>
      <c r="G13" s="116">
        <v>25</v>
      </c>
      <c r="H13" s="117">
        <v>87</v>
      </c>
      <c r="I13" s="116">
        <v>2390720</v>
      </c>
      <c r="J13" s="117">
        <f t="shared" si="10"/>
        <v>82</v>
      </c>
      <c r="K13" s="117">
        <f t="shared" si="0"/>
        <v>36</v>
      </c>
      <c r="L13" s="117">
        <f t="shared" si="0"/>
        <v>118</v>
      </c>
      <c r="M13" s="117">
        <f t="shared" si="0"/>
        <v>3425680</v>
      </c>
      <c r="N13" s="116">
        <v>17</v>
      </c>
      <c r="O13" s="116">
        <v>4</v>
      </c>
      <c r="P13" s="117">
        <v>21</v>
      </c>
      <c r="Q13" s="116">
        <v>563334</v>
      </c>
      <c r="R13" s="116">
        <v>49</v>
      </c>
      <c r="S13" s="116">
        <v>2</v>
      </c>
      <c r="T13" s="117">
        <v>51</v>
      </c>
      <c r="U13" s="116">
        <v>2586140</v>
      </c>
      <c r="V13" s="117">
        <f t="shared" si="11"/>
        <v>66</v>
      </c>
      <c r="W13" s="117">
        <f t="shared" si="1"/>
        <v>6</v>
      </c>
      <c r="X13" s="117">
        <f t="shared" si="1"/>
        <v>72</v>
      </c>
      <c r="Y13" s="117">
        <f t="shared" si="1"/>
        <v>3149474</v>
      </c>
      <c r="Z13" s="116">
        <v>21</v>
      </c>
      <c r="AA13" s="116">
        <v>12</v>
      </c>
      <c r="AB13" s="117">
        <v>33</v>
      </c>
      <c r="AC13" s="116">
        <v>1220890</v>
      </c>
      <c r="AD13" s="116">
        <v>40</v>
      </c>
      <c r="AE13" s="116">
        <v>0</v>
      </c>
      <c r="AF13" s="117">
        <v>40</v>
      </c>
      <c r="AG13" s="116">
        <v>1718770</v>
      </c>
      <c r="AH13" s="117">
        <f t="shared" si="12"/>
        <v>61</v>
      </c>
      <c r="AI13" s="117">
        <f t="shared" si="2"/>
        <v>12</v>
      </c>
      <c r="AJ13" s="117">
        <f t="shared" si="2"/>
        <v>73</v>
      </c>
      <c r="AK13" s="117">
        <f t="shared" si="2"/>
        <v>2939660</v>
      </c>
      <c r="AL13" s="116">
        <v>23</v>
      </c>
      <c r="AM13" s="116">
        <v>9</v>
      </c>
      <c r="AN13" s="117">
        <v>32</v>
      </c>
      <c r="AO13" s="116">
        <v>909690</v>
      </c>
      <c r="AP13" s="116">
        <v>45</v>
      </c>
      <c r="AQ13" s="116">
        <v>0</v>
      </c>
      <c r="AR13" s="117">
        <v>45</v>
      </c>
      <c r="AS13" s="116">
        <v>2202500</v>
      </c>
      <c r="AT13" s="117">
        <f t="shared" si="13"/>
        <v>68</v>
      </c>
      <c r="AU13" s="117">
        <f t="shared" si="3"/>
        <v>9</v>
      </c>
      <c r="AV13" s="117">
        <f t="shared" si="3"/>
        <v>77</v>
      </c>
      <c r="AW13" s="117">
        <f t="shared" si="3"/>
        <v>3112190</v>
      </c>
      <c r="AX13" s="116">
        <v>22</v>
      </c>
      <c r="AY13" s="116">
        <v>8</v>
      </c>
      <c r="AZ13" s="117">
        <v>30</v>
      </c>
      <c r="BA13" s="116">
        <v>1199798</v>
      </c>
      <c r="BB13" s="116">
        <v>48</v>
      </c>
      <c r="BC13" s="116">
        <v>0</v>
      </c>
      <c r="BD13" s="117">
        <v>48</v>
      </c>
      <c r="BE13" s="116">
        <v>2176803</v>
      </c>
      <c r="BF13" s="117">
        <f t="shared" si="14"/>
        <v>70</v>
      </c>
      <c r="BG13" s="117">
        <f t="shared" si="4"/>
        <v>8</v>
      </c>
      <c r="BH13" s="117">
        <f t="shared" si="4"/>
        <v>78</v>
      </c>
      <c r="BI13" s="117">
        <f t="shared" si="4"/>
        <v>3376601</v>
      </c>
      <c r="BJ13" s="116">
        <v>17</v>
      </c>
      <c r="BK13" s="116">
        <v>5</v>
      </c>
      <c r="BL13" s="117">
        <f t="shared" si="15"/>
        <v>22</v>
      </c>
      <c r="BM13" s="116">
        <v>877150</v>
      </c>
      <c r="BN13" s="117">
        <v>55</v>
      </c>
      <c r="BO13" s="117">
        <v>0</v>
      </c>
      <c r="BP13" s="117">
        <f t="shared" si="16"/>
        <v>55</v>
      </c>
      <c r="BQ13" s="117">
        <v>2733860</v>
      </c>
      <c r="BR13" s="117">
        <f t="shared" si="17"/>
        <v>72</v>
      </c>
      <c r="BS13" s="117">
        <f t="shared" si="18"/>
        <v>5</v>
      </c>
      <c r="BT13" s="117">
        <f t="shared" si="19"/>
        <v>77</v>
      </c>
      <c r="BU13" s="117">
        <f t="shared" si="20"/>
        <v>3611010</v>
      </c>
      <c r="BV13" s="117">
        <v>17</v>
      </c>
      <c r="BW13" s="117">
        <v>14</v>
      </c>
      <c r="BX13" s="117">
        <f t="shared" si="21"/>
        <v>31</v>
      </c>
      <c r="BY13" s="117">
        <v>1904964</v>
      </c>
      <c r="BZ13" s="117">
        <v>46</v>
      </c>
      <c r="CA13" s="117">
        <v>1</v>
      </c>
      <c r="CB13" s="117">
        <f t="shared" si="22"/>
        <v>47</v>
      </c>
      <c r="CC13" s="117">
        <v>2790200</v>
      </c>
      <c r="CD13" s="117">
        <f t="shared" si="23"/>
        <v>63</v>
      </c>
      <c r="CE13" s="117">
        <f t="shared" si="24"/>
        <v>15</v>
      </c>
      <c r="CF13" s="117">
        <f t="shared" si="25"/>
        <v>78</v>
      </c>
      <c r="CG13" s="117">
        <f t="shared" si="26"/>
        <v>4695164</v>
      </c>
      <c r="CH13" s="117">
        <v>16</v>
      </c>
      <c r="CI13" s="117">
        <v>17</v>
      </c>
      <c r="CJ13" s="117">
        <f t="shared" si="27"/>
        <v>33</v>
      </c>
      <c r="CK13" s="117">
        <v>1205700</v>
      </c>
      <c r="CL13" s="117">
        <v>44</v>
      </c>
      <c r="CM13" s="117">
        <v>0</v>
      </c>
      <c r="CN13" s="117">
        <f t="shared" si="28"/>
        <v>44</v>
      </c>
      <c r="CO13" s="117">
        <v>3294638</v>
      </c>
      <c r="CP13" s="117">
        <f t="shared" si="29"/>
        <v>60</v>
      </c>
      <c r="CQ13" s="117">
        <f t="shared" si="30"/>
        <v>17</v>
      </c>
      <c r="CR13" s="117">
        <f t="shared" si="31"/>
        <v>77</v>
      </c>
      <c r="CS13" s="117">
        <f t="shared" si="32"/>
        <v>4500338</v>
      </c>
      <c r="CT13" s="117">
        <v>14</v>
      </c>
      <c r="CU13" s="117">
        <v>14</v>
      </c>
      <c r="CV13" s="117">
        <f t="shared" si="33"/>
        <v>28</v>
      </c>
      <c r="CW13" s="117">
        <v>1313971</v>
      </c>
      <c r="CX13" s="117">
        <v>38</v>
      </c>
      <c r="CY13" s="117">
        <v>0</v>
      </c>
      <c r="CZ13" s="117">
        <f t="shared" si="34"/>
        <v>38</v>
      </c>
      <c r="DA13" s="117">
        <v>2984240</v>
      </c>
      <c r="DB13" s="117">
        <f t="shared" si="35"/>
        <v>52</v>
      </c>
      <c r="DC13" s="117">
        <f t="shared" si="36"/>
        <v>14</v>
      </c>
      <c r="DD13" s="117">
        <f t="shared" si="37"/>
        <v>66</v>
      </c>
      <c r="DE13" s="117">
        <f t="shared" si="38"/>
        <v>4298211</v>
      </c>
      <c r="DF13" s="117">
        <v>21</v>
      </c>
      <c r="DG13" s="117">
        <v>16</v>
      </c>
      <c r="DH13" s="117">
        <f t="shared" si="39"/>
        <v>37</v>
      </c>
      <c r="DI13" s="117">
        <v>1476564</v>
      </c>
      <c r="DJ13" s="117">
        <v>39</v>
      </c>
      <c r="DK13" s="117">
        <v>1</v>
      </c>
      <c r="DL13" s="117">
        <f t="shared" si="40"/>
        <v>40</v>
      </c>
      <c r="DM13" s="117">
        <v>2497321</v>
      </c>
      <c r="DN13" s="117">
        <f t="shared" si="41"/>
        <v>60</v>
      </c>
      <c r="DO13" s="117">
        <f t="shared" si="42"/>
        <v>17</v>
      </c>
      <c r="DP13" s="117">
        <f t="shared" si="43"/>
        <v>77</v>
      </c>
      <c r="DQ13" s="117">
        <f t="shared" si="44"/>
        <v>3973885</v>
      </c>
      <c r="DR13" s="117">
        <v>20</v>
      </c>
      <c r="DS13" s="117">
        <v>15</v>
      </c>
      <c r="DT13" s="117">
        <f t="shared" si="45"/>
        <v>35</v>
      </c>
      <c r="DU13" s="117">
        <v>1438000</v>
      </c>
      <c r="DV13" s="117">
        <v>36</v>
      </c>
      <c r="DW13" s="117">
        <v>3</v>
      </c>
      <c r="DX13" s="117">
        <f t="shared" si="46"/>
        <v>39</v>
      </c>
      <c r="DY13" s="117">
        <v>2432920</v>
      </c>
      <c r="DZ13" s="117">
        <f t="shared" si="47"/>
        <v>56</v>
      </c>
      <c r="EA13" s="117">
        <f t="shared" si="48"/>
        <v>18</v>
      </c>
      <c r="EB13" s="117">
        <f t="shared" si="49"/>
        <v>74</v>
      </c>
      <c r="EC13" s="117">
        <f t="shared" si="50"/>
        <v>3870920</v>
      </c>
      <c r="ED13" s="117">
        <v>24</v>
      </c>
      <c r="EE13" s="117">
        <v>16</v>
      </c>
      <c r="EF13" s="117">
        <f t="shared" si="51"/>
        <v>40</v>
      </c>
      <c r="EG13" s="117">
        <v>1408600</v>
      </c>
      <c r="EH13" s="117">
        <v>45</v>
      </c>
      <c r="EI13" s="117">
        <v>1</v>
      </c>
      <c r="EJ13" s="117">
        <f t="shared" si="52"/>
        <v>46</v>
      </c>
      <c r="EK13" s="117">
        <v>3536827</v>
      </c>
      <c r="EL13" s="117">
        <f t="shared" si="53"/>
        <v>69</v>
      </c>
      <c r="EM13" s="117">
        <f t="shared" si="54"/>
        <v>17</v>
      </c>
      <c r="EN13" s="117">
        <f t="shared" si="55"/>
        <v>86</v>
      </c>
      <c r="EO13" s="117">
        <f t="shared" si="56"/>
        <v>4945427</v>
      </c>
    </row>
    <row r="14" spans="1:145" x14ac:dyDescent="0.3">
      <c r="A14" s="162" t="s">
        <v>23</v>
      </c>
      <c r="B14" s="116">
        <v>19</v>
      </c>
      <c r="C14" s="116">
        <v>10</v>
      </c>
      <c r="D14" s="117">
        <v>29</v>
      </c>
      <c r="E14" s="116">
        <v>827800</v>
      </c>
      <c r="F14" s="116">
        <v>39</v>
      </c>
      <c r="G14" s="116">
        <v>0</v>
      </c>
      <c r="H14" s="117">
        <v>39</v>
      </c>
      <c r="I14" s="116">
        <v>2262328</v>
      </c>
      <c r="J14" s="117">
        <f t="shared" si="10"/>
        <v>58</v>
      </c>
      <c r="K14" s="117">
        <f t="shared" si="0"/>
        <v>10</v>
      </c>
      <c r="L14" s="117">
        <f t="shared" si="0"/>
        <v>68</v>
      </c>
      <c r="M14" s="117">
        <f t="shared" si="0"/>
        <v>3090128</v>
      </c>
      <c r="N14" s="116">
        <v>30</v>
      </c>
      <c r="O14" s="116">
        <v>13</v>
      </c>
      <c r="P14" s="117">
        <v>43</v>
      </c>
      <c r="Q14" s="116">
        <v>1052020</v>
      </c>
      <c r="R14" s="116">
        <v>36</v>
      </c>
      <c r="S14" s="116">
        <v>1</v>
      </c>
      <c r="T14" s="117">
        <v>37</v>
      </c>
      <c r="U14" s="116">
        <v>2517535</v>
      </c>
      <c r="V14" s="117">
        <f t="shared" si="11"/>
        <v>66</v>
      </c>
      <c r="W14" s="117">
        <f t="shared" si="1"/>
        <v>14</v>
      </c>
      <c r="X14" s="117">
        <f t="shared" si="1"/>
        <v>80</v>
      </c>
      <c r="Y14" s="117">
        <f t="shared" si="1"/>
        <v>3569555</v>
      </c>
      <c r="Z14" s="116">
        <v>16</v>
      </c>
      <c r="AA14" s="116">
        <v>19</v>
      </c>
      <c r="AB14" s="117">
        <v>35</v>
      </c>
      <c r="AC14" s="116">
        <v>491410</v>
      </c>
      <c r="AD14" s="116">
        <v>36</v>
      </c>
      <c r="AE14" s="116">
        <v>2</v>
      </c>
      <c r="AF14" s="117">
        <v>38</v>
      </c>
      <c r="AG14" s="116">
        <v>2886830</v>
      </c>
      <c r="AH14" s="117">
        <f t="shared" si="12"/>
        <v>52</v>
      </c>
      <c r="AI14" s="117">
        <f t="shared" si="2"/>
        <v>21</v>
      </c>
      <c r="AJ14" s="117">
        <f t="shared" si="2"/>
        <v>73</v>
      </c>
      <c r="AK14" s="117">
        <f t="shared" si="2"/>
        <v>3378240</v>
      </c>
      <c r="AL14" s="116">
        <v>16</v>
      </c>
      <c r="AM14" s="116">
        <v>5</v>
      </c>
      <c r="AN14" s="117">
        <v>21</v>
      </c>
      <c r="AO14" s="116">
        <v>508595</v>
      </c>
      <c r="AP14" s="116">
        <v>38</v>
      </c>
      <c r="AQ14" s="116">
        <v>0</v>
      </c>
      <c r="AR14" s="117">
        <v>38</v>
      </c>
      <c r="AS14" s="116">
        <v>2269425</v>
      </c>
      <c r="AT14" s="117">
        <f t="shared" si="13"/>
        <v>54</v>
      </c>
      <c r="AU14" s="117">
        <f t="shared" si="3"/>
        <v>5</v>
      </c>
      <c r="AV14" s="117">
        <f t="shared" si="3"/>
        <v>59</v>
      </c>
      <c r="AW14" s="117">
        <f t="shared" si="3"/>
        <v>2778020</v>
      </c>
      <c r="AX14" s="116">
        <v>26</v>
      </c>
      <c r="AY14" s="116">
        <v>22</v>
      </c>
      <c r="AZ14" s="117">
        <v>48</v>
      </c>
      <c r="BA14" s="116">
        <v>1365230</v>
      </c>
      <c r="BB14" s="116">
        <v>40</v>
      </c>
      <c r="BC14" s="116">
        <v>0</v>
      </c>
      <c r="BD14" s="117">
        <v>40</v>
      </c>
      <c r="BE14" s="116">
        <v>1982615</v>
      </c>
      <c r="BF14" s="117">
        <f t="shared" si="14"/>
        <v>66</v>
      </c>
      <c r="BG14" s="117">
        <f t="shared" si="4"/>
        <v>22</v>
      </c>
      <c r="BH14" s="117">
        <f t="shared" si="4"/>
        <v>88</v>
      </c>
      <c r="BI14" s="117">
        <f t="shared" si="4"/>
        <v>3347845</v>
      </c>
      <c r="BJ14" s="116">
        <v>26</v>
      </c>
      <c r="BK14" s="116">
        <v>25</v>
      </c>
      <c r="BL14" s="117">
        <f t="shared" si="15"/>
        <v>51</v>
      </c>
      <c r="BM14" s="116">
        <v>1167680</v>
      </c>
      <c r="BN14" s="117">
        <v>44</v>
      </c>
      <c r="BO14" s="117">
        <v>0</v>
      </c>
      <c r="BP14" s="117">
        <f t="shared" si="16"/>
        <v>44</v>
      </c>
      <c r="BQ14" s="117">
        <v>3075990</v>
      </c>
      <c r="BR14" s="117">
        <f t="shared" si="17"/>
        <v>70</v>
      </c>
      <c r="BS14" s="117">
        <f t="shared" si="18"/>
        <v>25</v>
      </c>
      <c r="BT14" s="117">
        <f t="shared" si="19"/>
        <v>95</v>
      </c>
      <c r="BU14" s="117">
        <f t="shared" si="20"/>
        <v>4243670</v>
      </c>
      <c r="BV14" s="117">
        <v>14</v>
      </c>
      <c r="BW14" s="117">
        <v>26</v>
      </c>
      <c r="BX14" s="117">
        <f t="shared" si="21"/>
        <v>40</v>
      </c>
      <c r="BY14" s="117">
        <v>1060390</v>
      </c>
      <c r="BZ14" s="117">
        <v>44</v>
      </c>
      <c r="CA14" s="117">
        <v>1</v>
      </c>
      <c r="CB14" s="117">
        <f t="shared" si="22"/>
        <v>45</v>
      </c>
      <c r="CC14" s="117">
        <v>2748290</v>
      </c>
      <c r="CD14" s="117">
        <f t="shared" si="23"/>
        <v>58</v>
      </c>
      <c r="CE14" s="117">
        <f t="shared" si="24"/>
        <v>27</v>
      </c>
      <c r="CF14" s="117">
        <f t="shared" si="25"/>
        <v>85</v>
      </c>
      <c r="CG14" s="117">
        <f t="shared" si="26"/>
        <v>3808680</v>
      </c>
      <c r="CH14" s="117">
        <v>12</v>
      </c>
      <c r="CI14" s="117">
        <v>25</v>
      </c>
      <c r="CJ14" s="117">
        <f t="shared" si="27"/>
        <v>37</v>
      </c>
      <c r="CK14" s="117">
        <v>780250</v>
      </c>
      <c r="CL14" s="117">
        <v>45</v>
      </c>
      <c r="CM14" s="117">
        <v>1</v>
      </c>
      <c r="CN14" s="117">
        <f t="shared" si="28"/>
        <v>46</v>
      </c>
      <c r="CO14" s="117">
        <v>3427820</v>
      </c>
      <c r="CP14" s="117">
        <f t="shared" si="29"/>
        <v>57</v>
      </c>
      <c r="CQ14" s="117">
        <f t="shared" si="30"/>
        <v>26</v>
      </c>
      <c r="CR14" s="117">
        <f t="shared" si="31"/>
        <v>83</v>
      </c>
      <c r="CS14" s="117">
        <f t="shared" si="32"/>
        <v>4208070</v>
      </c>
      <c r="CT14" s="117">
        <v>28</v>
      </c>
      <c r="CU14" s="117">
        <v>23</v>
      </c>
      <c r="CV14" s="117">
        <f t="shared" si="33"/>
        <v>51</v>
      </c>
      <c r="CW14" s="117">
        <v>1583200</v>
      </c>
      <c r="CX14" s="117">
        <v>27</v>
      </c>
      <c r="CY14" s="117">
        <v>1</v>
      </c>
      <c r="CZ14" s="117">
        <f t="shared" si="34"/>
        <v>28</v>
      </c>
      <c r="DA14" s="117">
        <v>2490780</v>
      </c>
      <c r="DB14" s="117">
        <f t="shared" si="35"/>
        <v>55</v>
      </c>
      <c r="DC14" s="117">
        <f t="shared" si="36"/>
        <v>24</v>
      </c>
      <c r="DD14" s="117">
        <f t="shared" si="37"/>
        <v>79</v>
      </c>
      <c r="DE14" s="117">
        <f t="shared" si="38"/>
        <v>4073980</v>
      </c>
      <c r="DF14" s="117">
        <v>20</v>
      </c>
      <c r="DG14" s="117">
        <v>15</v>
      </c>
      <c r="DH14" s="117">
        <f t="shared" si="39"/>
        <v>35</v>
      </c>
      <c r="DI14" s="117">
        <v>869100</v>
      </c>
      <c r="DJ14" s="117">
        <v>36</v>
      </c>
      <c r="DK14" s="117">
        <v>0</v>
      </c>
      <c r="DL14" s="117">
        <f t="shared" si="40"/>
        <v>36</v>
      </c>
      <c r="DM14" s="117">
        <v>2908480</v>
      </c>
      <c r="DN14" s="117">
        <f t="shared" si="41"/>
        <v>56</v>
      </c>
      <c r="DO14" s="117">
        <f t="shared" si="42"/>
        <v>15</v>
      </c>
      <c r="DP14" s="117">
        <f t="shared" si="43"/>
        <v>71</v>
      </c>
      <c r="DQ14" s="117">
        <f t="shared" si="44"/>
        <v>3777580</v>
      </c>
      <c r="DR14" s="117">
        <v>37</v>
      </c>
      <c r="DS14" s="117">
        <v>13</v>
      </c>
      <c r="DT14" s="117">
        <f t="shared" si="45"/>
        <v>50</v>
      </c>
      <c r="DU14" s="117">
        <v>1516600</v>
      </c>
      <c r="DV14" s="117">
        <v>37</v>
      </c>
      <c r="DW14" s="117">
        <v>0</v>
      </c>
      <c r="DX14" s="117">
        <f t="shared" si="46"/>
        <v>37</v>
      </c>
      <c r="DY14" s="117">
        <v>2984360</v>
      </c>
      <c r="DZ14" s="117">
        <f t="shared" si="47"/>
        <v>74</v>
      </c>
      <c r="EA14" s="117">
        <f t="shared" si="48"/>
        <v>13</v>
      </c>
      <c r="EB14" s="117">
        <f t="shared" si="49"/>
        <v>87</v>
      </c>
      <c r="EC14" s="117">
        <f t="shared" si="50"/>
        <v>4500960</v>
      </c>
      <c r="ED14" s="117">
        <v>26</v>
      </c>
      <c r="EE14" s="117">
        <v>23</v>
      </c>
      <c r="EF14" s="117">
        <f t="shared" si="51"/>
        <v>49</v>
      </c>
      <c r="EG14" s="117">
        <v>1463700</v>
      </c>
      <c r="EH14" s="117">
        <v>48</v>
      </c>
      <c r="EI14" s="117">
        <v>0</v>
      </c>
      <c r="EJ14" s="117">
        <f t="shared" si="52"/>
        <v>48</v>
      </c>
      <c r="EK14" s="117">
        <v>3059460</v>
      </c>
      <c r="EL14" s="117">
        <f t="shared" si="53"/>
        <v>74</v>
      </c>
      <c r="EM14" s="117">
        <f t="shared" si="54"/>
        <v>23</v>
      </c>
      <c r="EN14" s="117">
        <f t="shared" si="55"/>
        <v>97</v>
      </c>
      <c r="EO14" s="117">
        <f t="shared" si="56"/>
        <v>4523160</v>
      </c>
    </row>
    <row r="15" spans="1:145" x14ac:dyDescent="0.3">
      <c r="A15" s="162" t="s">
        <v>129</v>
      </c>
      <c r="B15" s="116">
        <v>30</v>
      </c>
      <c r="C15" s="116">
        <v>23</v>
      </c>
      <c r="D15" s="117">
        <v>53</v>
      </c>
      <c r="E15" s="116">
        <v>1405140</v>
      </c>
      <c r="F15" s="116">
        <v>79</v>
      </c>
      <c r="G15" s="116">
        <v>9</v>
      </c>
      <c r="H15" s="117">
        <v>88</v>
      </c>
      <c r="I15" s="116">
        <v>3211850</v>
      </c>
      <c r="J15" s="117">
        <f t="shared" si="10"/>
        <v>109</v>
      </c>
      <c r="K15" s="117">
        <f t="shared" si="0"/>
        <v>32</v>
      </c>
      <c r="L15" s="117">
        <f t="shared" si="0"/>
        <v>141</v>
      </c>
      <c r="M15" s="117">
        <f t="shared" si="0"/>
        <v>4616990</v>
      </c>
      <c r="N15" s="116">
        <v>24</v>
      </c>
      <c r="O15" s="116">
        <v>22</v>
      </c>
      <c r="P15" s="117">
        <v>46</v>
      </c>
      <c r="Q15" s="116">
        <v>1699970</v>
      </c>
      <c r="R15" s="116">
        <v>77</v>
      </c>
      <c r="S15" s="116">
        <v>2</v>
      </c>
      <c r="T15" s="117">
        <v>79</v>
      </c>
      <c r="U15" s="116">
        <v>3694185</v>
      </c>
      <c r="V15" s="117">
        <f t="shared" si="11"/>
        <v>101</v>
      </c>
      <c r="W15" s="117">
        <f t="shared" si="1"/>
        <v>24</v>
      </c>
      <c r="X15" s="117">
        <f t="shared" si="1"/>
        <v>125</v>
      </c>
      <c r="Y15" s="117">
        <f t="shared" si="1"/>
        <v>5394155</v>
      </c>
      <c r="Z15" s="116">
        <v>12</v>
      </c>
      <c r="AA15" s="116">
        <v>13</v>
      </c>
      <c r="AB15" s="117">
        <v>25</v>
      </c>
      <c r="AC15" s="116">
        <v>1416870</v>
      </c>
      <c r="AD15" s="116">
        <v>69</v>
      </c>
      <c r="AE15" s="116">
        <v>0</v>
      </c>
      <c r="AF15" s="117">
        <v>69</v>
      </c>
      <c r="AG15" s="116">
        <v>3392045</v>
      </c>
      <c r="AH15" s="117">
        <f t="shared" si="12"/>
        <v>81</v>
      </c>
      <c r="AI15" s="117">
        <f t="shared" si="2"/>
        <v>13</v>
      </c>
      <c r="AJ15" s="117">
        <f t="shared" si="2"/>
        <v>94</v>
      </c>
      <c r="AK15" s="117">
        <f t="shared" si="2"/>
        <v>4808915</v>
      </c>
      <c r="AL15" s="116">
        <v>8</v>
      </c>
      <c r="AM15" s="116">
        <v>8</v>
      </c>
      <c r="AN15" s="117">
        <v>16</v>
      </c>
      <c r="AO15" s="116">
        <v>577910</v>
      </c>
      <c r="AP15" s="116">
        <v>59</v>
      </c>
      <c r="AQ15" s="116">
        <v>0</v>
      </c>
      <c r="AR15" s="117">
        <v>59</v>
      </c>
      <c r="AS15" s="116">
        <v>3139735</v>
      </c>
      <c r="AT15" s="117">
        <f t="shared" si="13"/>
        <v>67</v>
      </c>
      <c r="AU15" s="117">
        <f t="shared" si="3"/>
        <v>8</v>
      </c>
      <c r="AV15" s="117">
        <f t="shared" si="3"/>
        <v>75</v>
      </c>
      <c r="AW15" s="117">
        <f t="shared" si="3"/>
        <v>3717645</v>
      </c>
      <c r="AX15" s="116">
        <v>18</v>
      </c>
      <c r="AY15" s="116">
        <v>11</v>
      </c>
      <c r="AZ15" s="117">
        <v>29</v>
      </c>
      <c r="BA15" s="116">
        <v>1100925</v>
      </c>
      <c r="BB15" s="116">
        <v>54</v>
      </c>
      <c r="BC15" s="116">
        <v>1</v>
      </c>
      <c r="BD15" s="117">
        <v>55</v>
      </c>
      <c r="BE15" s="116">
        <v>4057820</v>
      </c>
      <c r="BF15" s="117">
        <f t="shared" si="14"/>
        <v>72</v>
      </c>
      <c r="BG15" s="117">
        <f t="shared" si="4"/>
        <v>12</v>
      </c>
      <c r="BH15" s="117">
        <f t="shared" si="4"/>
        <v>84</v>
      </c>
      <c r="BI15" s="117">
        <f t="shared" si="4"/>
        <v>5158745</v>
      </c>
      <c r="BJ15" s="116">
        <v>10</v>
      </c>
      <c r="BK15" s="116">
        <v>7</v>
      </c>
      <c r="BL15" s="117">
        <f t="shared" si="15"/>
        <v>17</v>
      </c>
      <c r="BM15" s="116">
        <v>494720</v>
      </c>
      <c r="BN15" s="117">
        <v>58</v>
      </c>
      <c r="BO15" s="117">
        <v>1</v>
      </c>
      <c r="BP15" s="117">
        <f t="shared" si="16"/>
        <v>59</v>
      </c>
      <c r="BQ15" s="117">
        <v>3489508</v>
      </c>
      <c r="BR15" s="117">
        <f t="shared" si="17"/>
        <v>68</v>
      </c>
      <c r="BS15" s="117">
        <f t="shared" si="18"/>
        <v>8</v>
      </c>
      <c r="BT15" s="117">
        <f t="shared" si="19"/>
        <v>76</v>
      </c>
      <c r="BU15" s="117">
        <f t="shared" si="20"/>
        <v>3984228</v>
      </c>
      <c r="BV15" s="117">
        <v>7</v>
      </c>
      <c r="BW15" s="117">
        <v>10</v>
      </c>
      <c r="BX15" s="117">
        <f t="shared" si="21"/>
        <v>17</v>
      </c>
      <c r="BY15" s="117">
        <v>444500</v>
      </c>
      <c r="BZ15" s="117">
        <v>44</v>
      </c>
      <c r="CA15" s="117">
        <v>0</v>
      </c>
      <c r="CB15" s="117">
        <f t="shared" si="22"/>
        <v>44</v>
      </c>
      <c r="CC15" s="117">
        <v>2489999</v>
      </c>
      <c r="CD15" s="117">
        <f t="shared" si="23"/>
        <v>51</v>
      </c>
      <c r="CE15" s="117">
        <f t="shared" si="24"/>
        <v>10</v>
      </c>
      <c r="CF15" s="117">
        <f t="shared" si="25"/>
        <v>61</v>
      </c>
      <c r="CG15" s="117">
        <f t="shared" si="26"/>
        <v>2934499</v>
      </c>
      <c r="CH15" s="117">
        <v>8</v>
      </c>
      <c r="CI15" s="117">
        <v>14</v>
      </c>
      <c r="CJ15" s="117">
        <f t="shared" si="27"/>
        <v>22</v>
      </c>
      <c r="CK15" s="117">
        <v>1027200</v>
      </c>
      <c r="CL15" s="117">
        <v>28</v>
      </c>
      <c r="CM15" s="117">
        <v>0</v>
      </c>
      <c r="CN15" s="117">
        <f t="shared" si="28"/>
        <v>28</v>
      </c>
      <c r="CO15" s="117">
        <v>1961280</v>
      </c>
      <c r="CP15" s="117">
        <f t="shared" si="29"/>
        <v>36</v>
      </c>
      <c r="CQ15" s="117">
        <f t="shared" si="30"/>
        <v>14</v>
      </c>
      <c r="CR15" s="117">
        <f t="shared" si="31"/>
        <v>50</v>
      </c>
      <c r="CS15" s="117">
        <f t="shared" si="32"/>
        <v>2988480</v>
      </c>
      <c r="CT15" s="117">
        <v>8</v>
      </c>
      <c r="CU15" s="117">
        <v>24</v>
      </c>
      <c r="CV15" s="117">
        <f t="shared" si="33"/>
        <v>32</v>
      </c>
      <c r="CW15" s="117">
        <v>810680</v>
      </c>
      <c r="CX15" s="117">
        <v>29</v>
      </c>
      <c r="CY15" s="117">
        <v>0</v>
      </c>
      <c r="CZ15" s="117">
        <f t="shared" si="34"/>
        <v>29</v>
      </c>
      <c r="DA15" s="117">
        <v>2469480</v>
      </c>
      <c r="DB15" s="117">
        <f t="shared" si="35"/>
        <v>37</v>
      </c>
      <c r="DC15" s="117">
        <f t="shared" si="36"/>
        <v>24</v>
      </c>
      <c r="DD15" s="117">
        <f t="shared" si="37"/>
        <v>61</v>
      </c>
      <c r="DE15" s="117">
        <f t="shared" si="38"/>
        <v>3280160</v>
      </c>
      <c r="DF15" s="117">
        <v>18</v>
      </c>
      <c r="DG15" s="117">
        <v>15</v>
      </c>
      <c r="DH15" s="117">
        <f t="shared" si="39"/>
        <v>33</v>
      </c>
      <c r="DI15" s="117">
        <v>1651830</v>
      </c>
      <c r="DJ15" s="117">
        <v>33</v>
      </c>
      <c r="DK15" s="117">
        <v>2</v>
      </c>
      <c r="DL15" s="117">
        <f t="shared" si="40"/>
        <v>35</v>
      </c>
      <c r="DM15" s="117">
        <v>3296510</v>
      </c>
      <c r="DN15" s="117">
        <f t="shared" si="41"/>
        <v>51</v>
      </c>
      <c r="DO15" s="117">
        <f t="shared" si="42"/>
        <v>17</v>
      </c>
      <c r="DP15" s="117">
        <f t="shared" si="43"/>
        <v>68</v>
      </c>
      <c r="DQ15" s="117">
        <f t="shared" si="44"/>
        <v>4948340</v>
      </c>
      <c r="DR15" s="117">
        <v>11</v>
      </c>
      <c r="DS15" s="117">
        <v>16</v>
      </c>
      <c r="DT15" s="117">
        <f t="shared" si="45"/>
        <v>27</v>
      </c>
      <c r="DU15" s="117">
        <v>818620</v>
      </c>
      <c r="DV15" s="117">
        <v>29</v>
      </c>
      <c r="DW15" s="117">
        <v>1</v>
      </c>
      <c r="DX15" s="117">
        <f t="shared" si="46"/>
        <v>30</v>
      </c>
      <c r="DY15" s="117">
        <v>2981860</v>
      </c>
      <c r="DZ15" s="117">
        <f t="shared" si="47"/>
        <v>40</v>
      </c>
      <c r="EA15" s="117">
        <f t="shared" si="48"/>
        <v>17</v>
      </c>
      <c r="EB15" s="117">
        <f t="shared" si="49"/>
        <v>57</v>
      </c>
      <c r="EC15" s="117">
        <f t="shared" si="50"/>
        <v>3800480</v>
      </c>
      <c r="ED15" s="117">
        <v>14</v>
      </c>
      <c r="EE15" s="117">
        <v>16</v>
      </c>
      <c r="EF15" s="117">
        <f t="shared" si="51"/>
        <v>30</v>
      </c>
      <c r="EG15" s="117">
        <v>907720</v>
      </c>
      <c r="EH15" s="117">
        <v>32</v>
      </c>
      <c r="EI15" s="117">
        <v>0</v>
      </c>
      <c r="EJ15" s="117">
        <f t="shared" si="52"/>
        <v>32</v>
      </c>
      <c r="EK15" s="117">
        <v>3655970</v>
      </c>
      <c r="EL15" s="117">
        <f t="shared" si="53"/>
        <v>46</v>
      </c>
      <c r="EM15" s="117">
        <f t="shared" si="54"/>
        <v>16</v>
      </c>
      <c r="EN15" s="117">
        <f t="shared" si="55"/>
        <v>62</v>
      </c>
      <c r="EO15" s="117">
        <f t="shared" si="56"/>
        <v>4563690</v>
      </c>
    </row>
    <row r="16" spans="1:145" x14ac:dyDescent="0.3">
      <c r="A16" s="162" t="s">
        <v>9</v>
      </c>
      <c r="B16" s="116">
        <v>9</v>
      </c>
      <c r="C16" s="116">
        <v>16</v>
      </c>
      <c r="D16" s="117">
        <v>25</v>
      </c>
      <c r="E16" s="116">
        <v>166000</v>
      </c>
      <c r="F16" s="116">
        <v>27</v>
      </c>
      <c r="G16" s="116">
        <v>0</v>
      </c>
      <c r="H16" s="117">
        <v>27</v>
      </c>
      <c r="I16" s="116">
        <v>949800</v>
      </c>
      <c r="J16" s="117">
        <f t="shared" si="10"/>
        <v>36</v>
      </c>
      <c r="K16" s="117">
        <f t="shared" si="0"/>
        <v>16</v>
      </c>
      <c r="L16" s="117">
        <f t="shared" si="0"/>
        <v>52</v>
      </c>
      <c r="M16" s="117">
        <f t="shared" si="0"/>
        <v>1115800</v>
      </c>
      <c r="N16" s="116">
        <v>8</v>
      </c>
      <c r="O16" s="116">
        <v>8</v>
      </c>
      <c r="P16" s="117">
        <v>16</v>
      </c>
      <c r="Q16" s="116">
        <v>689298</v>
      </c>
      <c r="R16" s="116">
        <v>22</v>
      </c>
      <c r="S16" s="116">
        <v>0</v>
      </c>
      <c r="T16" s="117">
        <v>22</v>
      </c>
      <c r="U16" s="116">
        <v>816855</v>
      </c>
      <c r="V16" s="117">
        <f t="shared" si="11"/>
        <v>30</v>
      </c>
      <c r="W16" s="117">
        <f t="shared" si="1"/>
        <v>8</v>
      </c>
      <c r="X16" s="117">
        <f t="shared" si="1"/>
        <v>38</v>
      </c>
      <c r="Y16" s="117">
        <f t="shared" si="1"/>
        <v>1506153</v>
      </c>
      <c r="Z16" s="116">
        <v>6</v>
      </c>
      <c r="AA16" s="116">
        <v>9</v>
      </c>
      <c r="AB16" s="117">
        <v>15</v>
      </c>
      <c r="AC16" s="116">
        <v>367295</v>
      </c>
      <c r="AD16" s="116">
        <v>18</v>
      </c>
      <c r="AE16" s="116">
        <v>0</v>
      </c>
      <c r="AF16" s="117">
        <v>18</v>
      </c>
      <c r="AG16" s="116">
        <v>676725</v>
      </c>
      <c r="AH16" s="117">
        <f t="shared" si="12"/>
        <v>24</v>
      </c>
      <c r="AI16" s="117">
        <f t="shared" si="2"/>
        <v>9</v>
      </c>
      <c r="AJ16" s="117">
        <f t="shared" si="2"/>
        <v>33</v>
      </c>
      <c r="AK16" s="117">
        <f t="shared" si="2"/>
        <v>1044020</v>
      </c>
      <c r="AL16" s="116">
        <v>5</v>
      </c>
      <c r="AM16" s="116">
        <v>8</v>
      </c>
      <c r="AN16" s="117">
        <v>13</v>
      </c>
      <c r="AO16" s="116">
        <v>236655</v>
      </c>
      <c r="AP16" s="116">
        <v>23</v>
      </c>
      <c r="AQ16" s="116">
        <v>0</v>
      </c>
      <c r="AR16" s="117">
        <v>23</v>
      </c>
      <c r="AS16" s="116">
        <v>803365</v>
      </c>
      <c r="AT16" s="117">
        <f t="shared" si="13"/>
        <v>28</v>
      </c>
      <c r="AU16" s="117">
        <f t="shared" si="3"/>
        <v>8</v>
      </c>
      <c r="AV16" s="117">
        <f t="shared" si="3"/>
        <v>36</v>
      </c>
      <c r="AW16" s="117">
        <f t="shared" si="3"/>
        <v>1040020</v>
      </c>
      <c r="AX16" s="116">
        <v>6</v>
      </c>
      <c r="AY16" s="116">
        <v>7</v>
      </c>
      <c r="AZ16" s="117">
        <v>13</v>
      </c>
      <c r="BA16" s="116">
        <v>153195</v>
      </c>
      <c r="BB16" s="116">
        <v>18</v>
      </c>
      <c r="BC16" s="116">
        <v>0</v>
      </c>
      <c r="BD16" s="117">
        <v>18</v>
      </c>
      <c r="BE16" s="116">
        <v>638350</v>
      </c>
      <c r="BF16" s="117">
        <f t="shared" si="14"/>
        <v>24</v>
      </c>
      <c r="BG16" s="117">
        <f t="shared" si="4"/>
        <v>7</v>
      </c>
      <c r="BH16" s="117">
        <f t="shared" si="4"/>
        <v>31</v>
      </c>
      <c r="BI16" s="117">
        <f t="shared" si="4"/>
        <v>791545</v>
      </c>
      <c r="BJ16" s="116">
        <v>9</v>
      </c>
      <c r="BK16" s="116">
        <v>10</v>
      </c>
      <c r="BL16" s="117">
        <f t="shared" si="15"/>
        <v>19</v>
      </c>
      <c r="BM16" s="116">
        <v>441820</v>
      </c>
      <c r="BN16" s="117">
        <v>25</v>
      </c>
      <c r="BO16" s="117">
        <v>0</v>
      </c>
      <c r="BP16" s="117">
        <f t="shared" si="16"/>
        <v>25</v>
      </c>
      <c r="BQ16" s="117">
        <v>1300500</v>
      </c>
      <c r="BR16" s="117">
        <f t="shared" si="17"/>
        <v>34</v>
      </c>
      <c r="BS16" s="117">
        <f t="shared" si="18"/>
        <v>10</v>
      </c>
      <c r="BT16" s="117">
        <f t="shared" si="19"/>
        <v>44</v>
      </c>
      <c r="BU16" s="117">
        <f t="shared" si="20"/>
        <v>1742320</v>
      </c>
      <c r="BV16" s="117">
        <v>5</v>
      </c>
      <c r="BW16" s="117">
        <v>19</v>
      </c>
      <c r="BX16" s="117">
        <f t="shared" si="21"/>
        <v>24</v>
      </c>
      <c r="BY16" s="117">
        <v>264412</v>
      </c>
      <c r="BZ16" s="117">
        <v>22</v>
      </c>
      <c r="CA16" s="117">
        <v>0</v>
      </c>
      <c r="CB16" s="117">
        <f t="shared" si="22"/>
        <v>22</v>
      </c>
      <c r="CC16" s="117">
        <v>871760</v>
      </c>
      <c r="CD16" s="117">
        <f t="shared" si="23"/>
        <v>27</v>
      </c>
      <c r="CE16" s="117">
        <f t="shared" si="24"/>
        <v>19</v>
      </c>
      <c r="CF16" s="117">
        <f t="shared" si="25"/>
        <v>46</v>
      </c>
      <c r="CG16" s="117">
        <f t="shared" si="26"/>
        <v>1136172</v>
      </c>
      <c r="CH16" s="117">
        <v>9</v>
      </c>
      <c r="CI16" s="117">
        <v>14</v>
      </c>
      <c r="CJ16" s="117">
        <f t="shared" si="27"/>
        <v>23</v>
      </c>
      <c r="CK16" s="117">
        <v>341800</v>
      </c>
      <c r="CL16" s="117">
        <v>19</v>
      </c>
      <c r="CM16" s="117">
        <v>2</v>
      </c>
      <c r="CN16" s="117">
        <f t="shared" si="28"/>
        <v>21</v>
      </c>
      <c r="CO16" s="117">
        <v>1026680</v>
      </c>
      <c r="CP16" s="117">
        <f t="shared" si="29"/>
        <v>28</v>
      </c>
      <c r="CQ16" s="117">
        <f t="shared" si="30"/>
        <v>16</v>
      </c>
      <c r="CR16" s="117">
        <f t="shared" si="31"/>
        <v>44</v>
      </c>
      <c r="CS16" s="117">
        <f t="shared" si="32"/>
        <v>1368480</v>
      </c>
      <c r="CT16" s="117">
        <v>8</v>
      </c>
      <c r="CU16" s="117">
        <v>12</v>
      </c>
      <c r="CV16" s="117">
        <f t="shared" si="33"/>
        <v>20</v>
      </c>
      <c r="CW16" s="117">
        <v>453000</v>
      </c>
      <c r="CX16" s="117">
        <v>25</v>
      </c>
      <c r="CY16" s="117">
        <v>0</v>
      </c>
      <c r="CZ16" s="117">
        <f t="shared" si="34"/>
        <v>25</v>
      </c>
      <c r="DA16" s="117">
        <v>975800</v>
      </c>
      <c r="DB16" s="117">
        <f t="shared" si="35"/>
        <v>33</v>
      </c>
      <c r="DC16" s="117">
        <f t="shared" si="36"/>
        <v>12</v>
      </c>
      <c r="DD16" s="117">
        <f t="shared" si="37"/>
        <v>45</v>
      </c>
      <c r="DE16" s="117">
        <f t="shared" si="38"/>
        <v>1428800</v>
      </c>
      <c r="DF16" s="117">
        <v>12</v>
      </c>
      <c r="DG16" s="117">
        <v>15</v>
      </c>
      <c r="DH16" s="117">
        <f t="shared" si="39"/>
        <v>27</v>
      </c>
      <c r="DI16" s="117">
        <v>461090</v>
      </c>
      <c r="DJ16" s="117">
        <v>26</v>
      </c>
      <c r="DK16" s="117">
        <v>0</v>
      </c>
      <c r="DL16" s="117">
        <f t="shared" si="40"/>
        <v>26</v>
      </c>
      <c r="DM16" s="117">
        <v>1148800</v>
      </c>
      <c r="DN16" s="117">
        <f t="shared" si="41"/>
        <v>38</v>
      </c>
      <c r="DO16" s="117">
        <f t="shared" si="42"/>
        <v>15</v>
      </c>
      <c r="DP16" s="117">
        <f t="shared" si="43"/>
        <v>53</v>
      </c>
      <c r="DQ16" s="117">
        <f t="shared" si="44"/>
        <v>1609890</v>
      </c>
      <c r="DR16" s="117">
        <v>12</v>
      </c>
      <c r="DS16" s="117">
        <v>12</v>
      </c>
      <c r="DT16" s="117">
        <f t="shared" si="45"/>
        <v>24</v>
      </c>
      <c r="DU16" s="117">
        <v>435100</v>
      </c>
      <c r="DV16" s="117">
        <v>19</v>
      </c>
      <c r="DW16" s="117">
        <v>2</v>
      </c>
      <c r="DX16" s="117">
        <f t="shared" si="46"/>
        <v>21</v>
      </c>
      <c r="DY16" s="117">
        <v>855500</v>
      </c>
      <c r="DZ16" s="117">
        <f t="shared" si="47"/>
        <v>31</v>
      </c>
      <c r="EA16" s="117">
        <f t="shared" si="48"/>
        <v>14</v>
      </c>
      <c r="EB16" s="117">
        <f t="shared" si="49"/>
        <v>45</v>
      </c>
      <c r="EC16" s="117">
        <f t="shared" si="50"/>
        <v>1290600</v>
      </c>
      <c r="ED16" s="117">
        <v>12</v>
      </c>
      <c r="EE16" s="117">
        <v>14</v>
      </c>
      <c r="EF16" s="117">
        <f t="shared" si="51"/>
        <v>26</v>
      </c>
      <c r="EG16" s="117">
        <v>597890</v>
      </c>
      <c r="EH16" s="117">
        <v>25</v>
      </c>
      <c r="EI16" s="117">
        <v>0</v>
      </c>
      <c r="EJ16" s="117">
        <f t="shared" si="52"/>
        <v>25</v>
      </c>
      <c r="EK16" s="117">
        <v>1015140</v>
      </c>
      <c r="EL16" s="117">
        <f t="shared" si="53"/>
        <v>37</v>
      </c>
      <c r="EM16" s="117">
        <f t="shared" si="54"/>
        <v>14</v>
      </c>
      <c r="EN16" s="117">
        <f t="shared" si="55"/>
        <v>51</v>
      </c>
      <c r="EO16" s="117">
        <f t="shared" si="56"/>
        <v>1613030</v>
      </c>
    </row>
    <row r="17" spans="1:160" x14ac:dyDescent="0.3">
      <c r="A17" s="162" t="s">
        <v>12</v>
      </c>
      <c r="B17" s="116">
        <v>12</v>
      </c>
      <c r="C17" s="116">
        <v>9</v>
      </c>
      <c r="D17" s="117">
        <v>21</v>
      </c>
      <c r="E17" s="116">
        <v>310400</v>
      </c>
      <c r="F17" s="116">
        <v>21</v>
      </c>
      <c r="G17" s="116">
        <v>0</v>
      </c>
      <c r="H17" s="117">
        <v>21</v>
      </c>
      <c r="I17" s="116">
        <v>641995</v>
      </c>
      <c r="J17" s="117">
        <f t="shared" si="10"/>
        <v>33</v>
      </c>
      <c r="K17" s="117">
        <f t="shared" si="0"/>
        <v>9</v>
      </c>
      <c r="L17" s="117">
        <f t="shared" si="0"/>
        <v>42</v>
      </c>
      <c r="M17" s="117">
        <f t="shared" si="0"/>
        <v>952395</v>
      </c>
      <c r="N17" s="116">
        <v>13</v>
      </c>
      <c r="O17" s="116">
        <v>9</v>
      </c>
      <c r="P17" s="117">
        <v>22</v>
      </c>
      <c r="Q17" s="116">
        <v>645050</v>
      </c>
      <c r="R17" s="116">
        <v>24</v>
      </c>
      <c r="S17" s="116">
        <v>0</v>
      </c>
      <c r="T17" s="117">
        <v>24</v>
      </c>
      <c r="U17" s="116">
        <v>1467435</v>
      </c>
      <c r="V17" s="117">
        <f t="shared" si="11"/>
        <v>37</v>
      </c>
      <c r="W17" s="117">
        <f t="shared" si="1"/>
        <v>9</v>
      </c>
      <c r="X17" s="117">
        <f t="shared" si="1"/>
        <v>46</v>
      </c>
      <c r="Y17" s="117">
        <f t="shared" si="1"/>
        <v>2112485</v>
      </c>
      <c r="Z17" s="116">
        <v>6</v>
      </c>
      <c r="AA17" s="116">
        <v>6</v>
      </c>
      <c r="AB17" s="117">
        <v>12</v>
      </c>
      <c r="AC17" s="116">
        <v>192895</v>
      </c>
      <c r="AD17" s="116">
        <v>17</v>
      </c>
      <c r="AE17" s="116">
        <v>0</v>
      </c>
      <c r="AF17" s="117">
        <v>17</v>
      </c>
      <c r="AG17" s="116">
        <v>753035</v>
      </c>
      <c r="AH17" s="117">
        <f t="shared" si="12"/>
        <v>23</v>
      </c>
      <c r="AI17" s="117">
        <f t="shared" si="2"/>
        <v>6</v>
      </c>
      <c r="AJ17" s="117">
        <f t="shared" si="2"/>
        <v>29</v>
      </c>
      <c r="AK17" s="117">
        <f t="shared" si="2"/>
        <v>945930</v>
      </c>
      <c r="AL17" s="116">
        <v>14</v>
      </c>
      <c r="AM17" s="116">
        <v>8</v>
      </c>
      <c r="AN17" s="117">
        <v>22</v>
      </c>
      <c r="AO17" s="116">
        <v>544370</v>
      </c>
      <c r="AP17" s="116">
        <v>20</v>
      </c>
      <c r="AQ17" s="116">
        <v>0</v>
      </c>
      <c r="AR17" s="117">
        <v>20</v>
      </c>
      <c r="AS17" s="116">
        <v>1023720</v>
      </c>
      <c r="AT17" s="117">
        <f t="shared" si="13"/>
        <v>34</v>
      </c>
      <c r="AU17" s="117">
        <f t="shared" si="3"/>
        <v>8</v>
      </c>
      <c r="AV17" s="117">
        <f t="shared" si="3"/>
        <v>42</v>
      </c>
      <c r="AW17" s="117">
        <f t="shared" si="3"/>
        <v>1568090</v>
      </c>
      <c r="AX17" s="116">
        <v>9</v>
      </c>
      <c r="AY17" s="116">
        <v>6</v>
      </c>
      <c r="AZ17" s="117">
        <v>15</v>
      </c>
      <c r="BA17" s="116">
        <v>554875</v>
      </c>
      <c r="BB17" s="116">
        <v>21</v>
      </c>
      <c r="BC17" s="116">
        <v>0</v>
      </c>
      <c r="BD17" s="117">
        <v>21</v>
      </c>
      <c r="BE17" s="116">
        <v>1396185</v>
      </c>
      <c r="BF17" s="117">
        <f t="shared" si="14"/>
        <v>30</v>
      </c>
      <c r="BG17" s="117">
        <f t="shared" si="4"/>
        <v>6</v>
      </c>
      <c r="BH17" s="117">
        <f t="shared" si="4"/>
        <v>36</v>
      </c>
      <c r="BI17" s="117">
        <f t="shared" si="4"/>
        <v>1951060</v>
      </c>
      <c r="BJ17" s="116">
        <v>10</v>
      </c>
      <c r="BK17" s="116">
        <v>10</v>
      </c>
      <c r="BL17" s="117">
        <f t="shared" si="15"/>
        <v>20</v>
      </c>
      <c r="BM17" s="116">
        <v>485760</v>
      </c>
      <c r="BN17" s="117">
        <v>21</v>
      </c>
      <c r="BO17" s="117">
        <v>0</v>
      </c>
      <c r="BP17" s="117">
        <f t="shared" si="16"/>
        <v>21</v>
      </c>
      <c r="BQ17" s="117">
        <v>1247755</v>
      </c>
      <c r="BR17" s="117">
        <f t="shared" si="17"/>
        <v>31</v>
      </c>
      <c r="BS17" s="117">
        <f t="shared" si="18"/>
        <v>10</v>
      </c>
      <c r="BT17" s="117">
        <f t="shared" si="19"/>
        <v>41</v>
      </c>
      <c r="BU17" s="117">
        <f t="shared" si="20"/>
        <v>1733515</v>
      </c>
      <c r="BV17" s="117">
        <v>10</v>
      </c>
      <c r="BW17" s="117">
        <v>9</v>
      </c>
      <c r="BX17" s="117">
        <f t="shared" si="21"/>
        <v>19</v>
      </c>
      <c r="BY17" s="117">
        <v>688200</v>
      </c>
      <c r="BZ17" s="117">
        <v>16</v>
      </c>
      <c r="CA17" s="117">
        <v>1</v>
      </c>
      <c r="CB17" s="117">
        <f t="shared" si="22"/>
        <v>17</v>
      </c>
      <c r="CC17" s="117">
        <v>836475</v>
      </c>
      <c r="CD17" s="117">
        <f t="shared" si="23"/>
        <v>26</v>
      </c>
      <c r="CE17" s="117">
        <f t="shared" si="24"/>
        <v>10</v>
      </c>
      <c r="CF17" s="117">
        <f t="shared" si="25"/>
        <v>36</v>
      </c>
      <c r="CG17" s="117">
        <f t="shared" si="26"/>
        <v>1524675</v>
      </c>
      <c r="CH17" s="117">
        <v>8</v>
      </c>
      <c r="CI17" s="117">
        <v>13</v>
      </c>
      <c r="CJ17" s="117">
        <f t="shared" si="27"/>
        <v>21</v>
      </c>
      <c r="CK17" s="117">
        <v>417560</v>
      </c>
      <c r="CL17" s="117">
        <v>14</v>
      </c>
      <c r="CM17" s="117">
        <v>1</v>
      </c>
      <c r="CN17" s="117">
        <f t="shared" si="28"/>
        <v>15</v>
      </c>
      <c r="CO17" s="117">
        <v>729360</v>
      </c>
      <c r="CP17" s="117">
        <f t="shared" si="29"/>
        <v>22</v>
      </c>
      <c r="CQ17" s="117">
        <f t="shared" si="30"/>
        <v>14</v>
      </c>
      <c r="CR17" s="117">
        <f t="shared" si="31"/>
        <v>36</v>
      </c>
      <c r="CS17" s="117">
        <f t="shared" si="32"/>
        <v>1146920</v>
      </c>
      <c r="CT17" s="117">
        <v>8</v>
      </c>
      <c r="CU17" s="117">
        <v>10</v>
      </c>
      <c r="CV17" s="117">
        <f t="shared" si="33"/>
        <v>18</v>
      </c>
      <c r="CW17" s="117">
        <v>325300</v>
      </c>
      <c r="CX17" s="117">
        <v>16</v>
      </c>
      <c r="CY17" s="117">
        <v>0</v>
      </c>
      <c r="CZ17" s="117">
        <f t="shared" si="34"/>
        <v>16</v>
      </c>
      <c r="DA17" s="117">
        <v>1213360</v>
      </c>
      <c r="DB17" s="117">
        <f t="shared" si="35"/>
        <v>24</v>
      </c>
      <c r="DC17" s="117">
        <f t="shared" si="36"/>
        <v>10</v>
      </c>
      <c r="DD17" s="117">
        <f t="shared" si="37"/>
        <v>34</v>
      </c>
      <c r="DE17" s="117">
        <f t="shared" si="38"/>
        <v>1538660</v>
      </c>
      <c r="DF17" s="117">
        <v>12</v>
      </c>
      <c r="DG17" s="117">
        <v>6</v>
      </c>
      <c r="DH17" s="117">
        <f t="shared" si="39"/>
        <v>18</v>
      </c>
      <c r="DI17" s="117">
        <v>941050</v>
      </c>
      <c r="DJ17" s="117">
        <v>13</v>
      </c>
      <c r="DK17" s="117">
        <v>0</v>
      </c>
      <c r="DL17" s="117">
        <f t="shared" si="40"/>
        <v>13</v>
      </c>
      <c r="DM17" s="117">
        <v>838920</v>
      </c>
      <c r="DN17" s="117">
        <f t="shared" si="41"/>
        <v>25</v>
      </c>
      <c r="DO17" s="117">
        <f t="shared" si="42"/>
        <v>6</v>
      </c>
      <c r="DP17" s="117">
        <f t="shared" si="43"/>
        <v>31</v>
      </c>
      <c r="DQ17" s="117">
        <f t="shared" si="44"/>
        <v>1779970</v>
      </c>
      <c r="DR17" s="117">
        <v>5</v>
      </c>
      <c r="DS17" s="117">
        <v>4</v>
      </c>
      <c r="DT17" s="117">
        <f t="shared" si="45"/>
        <v>9</v>
      </c>
      <c r="DU17" s="117">
        <v>222800</v>
      </c>
      <c r="DV17" s="117">
        <v>10</v>
      </c>
      <c r="DW17" s="117">
        <v>1</v>
      </c>
      <c r="DX17" s="117">
        <f t="shared" si="46"/>
        <v>11</v>
      </c>
      <c r="DY17" s="117">
        <v>652190</v>
      </c>
      <c r="DZ17" s="117">
        <f t="shared" si="47"/>
        <v>15</v>
      </c>
      <c r="EA17" s="117">
        <f t="shared" si="48"/>
        <v>5</v>
      </c>
      <c r="EB17" s="117">
        <f t="shared" si="49"/>
        <v>20</v>
      </c>
      <c r="EC17" s="117">
        <f t="shared" si="50"/>
        <v>874990</v>
      </c>
      <c r="ED17" s="117">
        <v>13</v>
      </c>
      <c r="EE17" s="117">
        <v>3</v>
      </c>
      <c r="EF17" s="117">
        <f t="shared" si="51"/>
        <v>16</v>
      </c>
      <c r="EG17" s="117">
        <v>766900</v>
      </c>
      <c r="EH17" s="117">
        <v>16</v>
      </c>
      <c r="EI17" s="117">
        <v>0</v>
      </c>
      <c r="EJ17" s="117">
        <f t="shared" si="52"/>
        <v>16</v>
      </c>
      <c r="EK17" s="117">
        <v>1338900</v>
      </c>
      <c r="EL17" s="117">
        <f t="shared" si="53"/>
        <v>29</v>
      </c>
      <c r="EM17" s="117">
        <f t="shared" si="54"/>
        <v>3</v>
      </c>
      <c r="EN17" s="117">
        <f t="shared" si="55"/>
        <v>32</v>
      </c>
      <c r="EO17" s="117">
        <f t="shared" si="56"/>
        <v>2105800</v>
      </c>
    </row>
    <row r="18" spans="1:160" x14ac:dyDescent="0.3">
      <c r="A18" s="162" t="s">
        <v>103</v>
      </c>
      <c r="B18" s="116">
        <v>24</v>
      </c>
      <c r="C18" s="116">
        <v>58</v>
      </c>
      <c r="D18" s="117">
        <v>82</v>
      </c>
      <c r="E18" s="116">
        <v>106200</v>
      </c>
      <c r="F18" s="116">
        <v>0</v>
      </c>
      <c r="G18" s="116">
        <v>2</v>
      </c>
      <c r="H18" s="117">
        <v>2</v>
      </c>
      <c r="I18" s="116">
        <v>3900</v>
      </c>
      <c r="J18" s="117">
        <f t="shared" si="10"/>
        <v>24</v>
      </c>
      <c r="K18" s="117">
        <f t="shared" si="0"/>
        <v>60</v>
      </c>
      <c r="L18" s="117">
        <f t="shared" si="0"/>
        <v>84</v>
      </c>
      <c r="M18" s="117">
        <f t="shared" si="0"/>
        <v>110100</v>
      </c>
      <c r="N18" s="116">
        <v>36</v>
      </c>
      <c r="O18" s="116">
        <v>80</v>
      </c>
      <c r="P18" s="117">
        <v>116</v>
      </c>
      <c r="Q18" s="116">
        <v>4800</v>
      </c>
      <c r="R18" s="116">
        <v>1</v>
      </c>
      <c r="S18" s="116">
        <v>2</v>
      </c>
      <c r="T18" s="117">
        <v>3</v>
      </c>
      <c r="U18" s="116">
        <v>0</v>
      </c>
      <c r="V18" s="117">
        <f t="shared" si="11"/>
        <v>37</v>
      </c>
      <c r="W18" s="117">
        <f t="shared" si="1"/>
        <v>82</v>
      </c>
      <c r="X18" s="117">
        <f t="shared" si="1"/>
        <v>119</v>
      </c>
      <c r="Y18" s="117">
        <f t="shared" si="1"/>
        <v>4800</v>
      </c>
      <c r="Z18" s="116">
        <v>35</v>
      </c>
      <c r="AA18" s="116">
        <v>53</v>
      </c>
      <c r="AB18" s="117">
        <v>88</v>
      </c>
      <c r="AC18" s="116">
        <v>0</v>
      </c>
      <c r="AD18" s="116">
        <v>2</v>
      </c>
      <c r="AE18" s="116">
        <v>0</v>
      </c>
      <c r="AF18" s="117">
        <v>2</v>
      </c>
      <c r="AG18" s="116">
        <v>0</v>
      </c>
      <c r="AH18" s="117">
        <f t="shared" si="12"/>
        <v>37</v>
      </c>
      <c r="AI18" s="117">
        <f t="shared" si="2"/>
        <v>53</v>
      </c>
      <c r="AJ18" s="117">
        <f t="shared" si="2"/>
        <v>90</v>
      </c>
      <c r="AK18" s="117">
        <f t="shared" si="2"/>
        <v>0</v>
      </c>
      <c r="AL18" s="116">
        <v>29</v>
      </c>
      <c r="AM18" s="116">
        <v>55</v>
      </c>
      <c r="AN18" s="117">
        <v>84</v>
      </c>
      <c r="AO18" s="116">
        <v>0</v>
      </c>
      <c r="AP18" s="116">
        <v>11</v>
      </c>
      <c r="AQ18" s="116">
        <v>0</v>
      </c>
      <c r="AR18" s="117">
        <v>11</v>
      </c>
      <c r="AS18" s="116">
        <v>0</v>
      </c>
      <c r="AT18" s="117">
        <f t="shared" si="13"/>
        <v>40</v>
      </c>
      <c r="AU18" s="117">
        <f t="shared" si="3"/>
        <v>55</v>
      </c>
      <c r="AV18" s="117">
        <f t="shared" si="3"/>
        <v>95</v>
      </c>
      <c r="AW18" s="117">
        <f t="shared" si="3"/>
        <v>0</v>
      </c>
      <c r="AX18" s="116">
        <v>19</v>
      </c>
      <c r="AY18" s="116">
        <v>51</v>
      </c>
      <c r="AZ18" s="117">
        <v>70</v>
      </c>
      <c r="BA18" s="116">
        <v>0</v>
      </c>
      <c r="BB18" s="116">
        <v>18</v>
      </c>
      <c r="BC18" s="116">
        <v>0</v>
      </c>
      <c r="BD18" s="117">
        <v>18</v>
      </c>
      <c r="BE18" s="116">
        <v>0</v>
      </c>
      <c r="BF18" s="117">
        <f t="shared" si="14"/>
        <v>37</v>
      </c>
      <c r="BG18" s="117">
        <f t="shared" si="4"/>
        <v>51</v>
      </c>
      <c r="BH18" s="117">
        <f t="shared" si="4"/>
        <v>88</v>
      </c>
      <c r="BI18" s="117">
        <f t="shared" si="4"/>
        <v>0</v>
      </c>
      <c r="BJ18" s="116">
        <v>13</v>
      </c>
      <c r="BK18" s="116">
        <v>34</v>
      </c>
      <c r="BL18" s="117">
        <f t="shared" si="15"/>
        <v>47</v>
      </c>
      <c r="BM18" s="116">
        <v>0</v>
      </c>
      <c r="BN18" s="117">
        <v>18</v>
      </c>
      <c r="BO18" s="117">
        <v>0</v>
      </c>
      <c r="BP18" s="117">
        <f t="shared" si="16"/>
        <v>18</v>
      </c>
      <c r="BQ18" s="117">
        <v>0</v>
      </c>
      <c r="BR18" s="117">
        <f t="shared" si="17"/>
        <v>31</v>
      </c>
      <c r="BS18" s="117">
        <f t="shared" si="18"/>
        <v>34</v>
      </c>
      <c r="BT18" s="117">
        <f t="shared" si="19"/>
        <v>65</v>
      </c>
      <c r="BU18" s="117">
        <f t="shared" si="20"/>
        <v>0</v>
      </c>
      <c r="BV18" s="117">
        <v>17</v>
      </c>
      <c r="BW18" s="117">
        <v>34</v>
      </c>
      <c r="BX18" s="117">
        <f t="shared" si="21"/>
        <v>51</v>
      </c>
      <c r="BY18" s="117">
        <v>0</v>
      </c>
      <c r="BZ18" s="117">
        <v>13</v>
      </c>
      <c r="CA18" s="117">
        <v>0</v>
      </c>
      <c r="CB18" s="117">
        <f t="shared" si="22"/>
        <v>13</v>
      </c>
      <c r="CC18" s="117">
        <v>0</v>
      </c>
      <c r="CD18" s="117">
        <f t="shared" si="23"/>
        <v>30</v>
      </c>
      <c r="CE18" s="117">
        <f t="shared" si="24"/>
        <v>34</v>
      </c>
      <c r="CF18" s="117">
        <f t="shared" si="25"/>
        <v>64</v>
      </c>
      <c r="CG18" s="117">
        <f t="shared" si="26"/>
        <v>0</v>
      </c>
      <c r="CH18" s="117">
        <v>11</v>
      </c>
      <c r="CI18" s="117">
        <v>26</v>
      </c>
      <c r="CJ18" s="117">
        <f t="shared" si="27"/>
        <v>37</v>
      </c>
      <c r="CK18" s="117">
        <v>0</v>
      </c>
      <c r="CL18" s="117">
        <v>11</v>
      </c>
      <c r="CM18" s="117">
        <v>0</v>
      </c>
      <c r="CN18" s="117">
        <f t="shared" si="28"/>
        <v>11</v>
      </c>
      <c r="CO18" s="117">
        <v>0</v>
      </c>
      <c r="CP18" s="117">
        <f t="shared" si="29"/>
        <v>22</v>
      </c>
      <c r="CQ18" s="117">
        <f t="shared" si="30"/>
        <v>26</v>
      </c>
      <c r="CR18" s="117">
        <f t="shared" si="31"/>
        <v>48</v>
      </c>
      <c r="CS18" s="117">
        <f t="shared" si="32"/>
        <v>0</v>
      </c>
      <c r="CT18" s="117">
        <v>24</v>
      </c>
      <c r="CU18" s="117">
        <v>33</v>
      </c>
      <c r="CV18" s="117">
        <f t="shared" si="33"/>
        <v>57</v>
      </c>
      <c r="CW18" s="117">
        <v>0</v>
      </c>
      <c r="CX18" s="117">
        <v>8</v>
      </c>
      <c r="CY18" s="117">
        <v>0</v>
      </c>
      <c r="CZ18" s="117">
        <f t="shared" si="34"/>
        <v>8</v>
      </c>
      <c r="DA18" s="117">
        <v>0</v>
      </c>
      <c r="DB18" s="117">
        <f t="shared" si="35"/>
        <v>32</v>
      </c>
      <c r="DC18" s="117">
        <f t="shared" si="36"/>
        <v>33</v>
      </c>
      <c r="DD18" s="117">
        <f t="shared" si="37"/>
        <v>65</v>
      </c>
      <c r="DE18" s="117">
        <f t="shared" si="38"/>
        <v>0</v>
      </c>
      <c r="DF18" s="117">
        <v>17</v>
      </c>
      <c r="DG18" s="117">
        <v>41</v>
      </c>
      <c r="DH18" s="117">
        <f t="shared" si="39"/>
        <v>58</v>
      </c>
      <c r="DI18" s="117">
        <v>0</v>
      </c>
      <c r="DJ18" s="117">
        <v>5</v>
      </c>
      <c r="DK18" s="117">
        <v>1</v>
      </c>
      <c r="DL18" s="117">
        <f t="shared" si="40"/>
        <v>6</v>
      </c>
      <c r="DM18" s="117">
        <v>0</v>
      </c>
      <c r="DN18" s="117">
        <f t="shared" si="41"/>
        <v>22</v>
      </c>
      <c r="DO18" s="117">
        <f t="shared" si="42"/>
        <v>42</v>
      </c>
      <c r="DP18" s="117">
        <f t="shared" si="43"/>
        <v>64</v>
      </c>
      <c r="DQ18" s="117">
        <f t="shared" si="44"/>
        <v>0</v>
      </c>
      <c r="DR18" s="117">
        <v>15</v>
      </c>
      <c r="DS18" s="117">
        <v>38</v>
      </c>
      <c r="DT18" s="117">
        <f t="shared" si="45"/>
        <v>53</v>
      </c>
      <c r="DU18" s="117">
        <v>0</v>
      </c>
      <c r="DV18" s="117">
        <v>4</v>
      </c>
      <c r="DW18" s="117">
        <v>0</v>
      </c>
      <c r="DX18" s="117">
        <f t="shared" si="46"/>
        <v>4</v>
      </c>
      <c r="DY18" s="117">
        <v>0</v>
      </c>
      <c r="DZ18" s="117">
        <f t="shared" si="47"/>
        <v>19</v>
      </c>
      <c r="EA18" s="117">
        <f t="shared" si="48"/>
        <v>38</v>
      </c>
      <c r="EB18" s="117">
        <f t="shared" si="49"/>
        <v>57</v>
      </c>
      <c r="EC18" s="117">
        <f t="shared" si="50"/>
        <v>0</v>
      </c>
      <c r="ED18" s="117">
        <v>31</v>
      </c>
      <c r="EE18" s="117">
        <v>73</v>
      </c>
      <c r="EF18" s="117">
        <f t="shared" si="51"/>
        <v>104</v>
      </c>
      <c r="EG18" s="117">
        <v>1735380</v>
      </c>
      <c r="EH18" s="117">
        <v>10</v>
      </c>
      <c r="EI18" s="117">
        <v>5</v>
      </c>
      <c r="EJ18" s="117">
        <f t="shared" si="52"/>
        <v>15</v>
      </c>
      <c r="EK18" s="117">
        <v>2700</v>
      </c>
      <c r="EL18" s="117">
        <f t="shared" si="53"/>
        <v>41</v>
      </c>
      <c r="EM18" s="117">
        <f t="shared" si="54"/>
        <v>78</v>
      </c>
      <c r="EN18" s="117">
        <f t="shared" si="55"/>
        <v>119</v>
      </c>
      <c r="EO18" s="117">
        <f t="shared" si="56"/>
        <v>1738080</v>
      </c>
    </row>
    <row r="19" spans="1:160" x14ac:dyDescent="0.3">
      <c r="A19" s="163" t="s">
        <v>86</v>
      </c>
      <c r="B19" s="116">
        <v>0</v>
      </c>
      <c r="C19" s="116">
        <v>0</v>
      </c>
      <c r="D19" s="117">
        <v>0</v>
      </c>
      <c r="E19" s="116">
        <v>0</v>
      </c>
      <c r="F19" s="116">
        <v>0</v>
      </c>
      <c r="G19" s="116">
        <v>0</v>
      </c>
      <c r="H19" s="117">
        <v>0</v>
      </c>
      <c r="I19" s="116">
        <v>0</v>
      </c>
      <c r="J19" s="117">
        <f t="shared" si="10"/>
        <v>0</v>
      </c>
      <c r="K19" s="117">
        <f t="shared" si="0"/>
        <v>0</v>
      </c>
      <c r="L19" s="117">
        <f t="shared" si="0"/>
        <v>0</v>
      </c>
      <c r="M19" s="117">
        <f t="shared" si="0"/>
        <v>0</v>
      </c>
      <c r="N19" s="116">
        <v>18</v>
      </c>
      <c r="O19" s="116">
        <v>16</v>
      </c>
      <c r="P19" s="117">
        <v>34</v>
      </c>
      <c r="Q19" s="116">
        <v>1403194</v>
      </c>
      <c r="R19" s="116">
        <v>2</v>
      </c>
      <c r="S19" s="116">
        <v>0</v>
      </c>
      <c r="T19" s="117">
        <v>2</v>
      </c>
      <c r="U19" s="116">
        <v>300200</v>
      </c>
      <c r="V19" s="117">
        <f t="shared" si="11"/>
        <v>20</v>
      </c>
      <c r="W19" s="117">
        <f t="shared" si="1"/>
        <v>16</v>
      </c>
      <c r="X19" s="117">
        <f t="shared" si="1"/>
        <v>36</v>
      </c>
      <c r="Y19" s="117">
        <f t="shared" si="1"/>
        <v>1703394</v>
      </c>
      <c r="Z19" s="116">
        <v>29</v>
      </c>
      <c r="AA19" s="116">
        <v>15</v>
      </c>
      <c r="AB19" s="117">
        <v>44</v>
      </c>
      <c r="AC19" s="116">
        <v>883780</v>
      </c>
      <c r="AD19" s="116">
        <v>9</v>
      </c>
      <c r="AE19" s="116">
        <v>0</v>
      </c>
      <c r="AF19" s="117">
        <v>9</v>
      </c>
      <c r="AG19" s="116">
        <v>884010</v>
      </c>
      <c r="AH19" s="117">
        <f t="shared" si="12"/>
        <v>38</v>
      </c>
      <c r="AI19" s="117">
        <f t="shared" si="2"/>
        <v>15</v>
      </c>
      <c r="AJ19" s="117">
        <f t="shared" si="2"/>
        <v>53</v>
      </c>
      <c r="AK19" s="117">
        <f t="shared" si="2"/>
        <v>1767790</v>
      </c>
      <c r="AL19" s="116">
        <v>34</v>
      </c>
      <c r="AM19" s="116">
        <v>19</v>
      </c>
      <c r="AN19" s="117">
        <v>53</v>
      </c>
      <c r="AO19" s="116">
        <v>1055645</v>
      </c>
      <c r="AP19" s="116">
        <v>22</v>
      </c>
      <c r="AQ19" s="116">
        <v>0</v>
      </c>
      <c r="AR19" s="117">
        <v>22</v>
      </c>
      <c r="AS19" s="116">
        <v>827655</v>
      </c>
      <c r="AT19" s="117">
        <f t="shared" si="13"/>
        <v>56</v>
      </c>
      <c r="AU19" s="117">
        <f t="shared" si="3"/>
        <v>19</v>
      </c>
      <c r="AV19" s="117">
        <f t="shared" si="3"/>
        <v>75</v>
      </c>
      <c r="AW19" s="117">
        <f t="shared" si="3"/>
        <v>1883300</v>
      </c>
      <c r="AX19" s="116">
        <v>27</v>
      </c>
      <c r="AY19" s="116">
        <v>18</v>
      </c>
      <c r="AZ19" s="117">
        <v>45</v>
      </c>
      <c r="BA19" s="116">
        <v>836985</v>
      </c>
      <c r="BB19" s="116">
        <v>25</v>
      </c>
      <c r="BC19" s="116">
        <v>0</v>
      </c>
      <c r="BD19" s="117">
        <v>25</v>
      </c>
      <c r="BE19" s="116">
        <f>1330218+48100</f>
        <v>1378318</v>
      </c>
      <c r="BF19" s="117">
        <f t="shared" si="14"/>
        <v>52</v>
      </c>
      <c r="BG19" s="117">
        <f t="shared" si="4"/>
        <v>18</v>
      </c>
      <c r="BH19" s="117">
        <f t="shared" si="4"/>
        <v>70</v>
      </c>
      <c r="BI19" s="117">
        <f t="shared" si="4"/>
        <v>2215303</v>
      </c>
      <c r="BJ19" s="116">
        <v>14</v>
      </c>
      <c r="BK19" s="116">
        <v>24</v>
      </c>
      <c r="BL19" s="117">
        <f t="shared" si="15"/>
        <v>38</v>
      </c>
      <c r="BM19" s="116">
        <v>770510</v>
      </c>
      <c r="BN19" s="117">
        <v>33</v>
      </c>
      <c r="BO19" s="117">
        <v>1</v>
      </c>
      <c r="BP19" s="117">
        <f t="shared" si="16"/>
        <v>34</v>
      </c>
      <c r="BQ19" s="117">
        <v>1551305</v>
      </c>
      <c r="BR19" s="117">
        <f t="shared" si="17"/>
        <v>47</v>
      </c>
      <c r="BS19" s="117">
        <f t="shared" si="18"/>
        <v>25</v>
      </c>
      <c r="BT19" s="117">
        <f t="shared" si="19"/>
        <v>72</v>
      </c>
      <c r="BU19" s="117">
        <f t="shared" si="20"/>
        <v>2321815</v>
      </c>
      <c r="BV19" s="117">
        <v>9</v>
      </c>
      <c r="BW19" s="117">
        <v>23</v>
      </c>
      <c r="BX19" s="117">
        <f t="shared" si="21"/>
        <v>32</v>
      </c>
      <c r="BY19" s="117">
        <v>599580</v>
      </c>
      <c r="BZ19" s="117">
        <v>29</v>
      </c>
      <c r="CA19" s="117">
        <v>0</v>
      </c>
      <c r="CB19" s="117">
        <f t="shared" si="22"/>
        <v>29</v>
      </c>
      <c r="CC19" s="117">
        <v>1644922</v>
      </c>
      <c r="CD19" s="117">
        <f t="shared" si="23"/>
        <v>38</v>
      </c>
      <c r="CE19" s="117">
        <f t="shared" si="24"/>
        <v>23</v>
      </c>
      <c r="CF19" s="117">
        <f t="shared" si="25"/>
        <v>61</v>
      </c>
      <c r="CG19" s="117">
        <f t="shared" si="26"/>
        <v>2244502</v>
      </c>
      <c r="CH19" s="117">
        <v>11</v>
      </c>
      <c r="CI19" s="117">
        <v>16</v>
      </c>
      <c r="CJ19" s="117">
        <f t="shared" si="27"/>
        <v>27</v>
      </c>
      <c r="CK19" s="117">
        <v>373000</v>
      </c>
      <c r="CL19" s="117">
        <v>18</v>
      </c>
      <c r="CM19" s="117">
        <v>0</v>
      </c>
      <c r="CN19" s="117">
        <f t="shared" si="28"/>
        <v>18</v>
      </c>
      <c r="CO19" s="117">
        <v>1077274</v>
      </c>
      <c r="CP19" s="117">
        <f t="shared" si="29"/>
        <v>29</v>
      </c>
      <c r="CQ19" s="117">
        <f t="shared" si="30"/>
        <v>16</v>
      </c>
      <c r="CR19" s="117">
        <f t="shared" si="31"/>
        <v>45</v>
      </c>
      <c r="CS19" s="117">
        <f t="shared" si="32"/>
        <v>1450274</v>
      </c>
      <c r="CT19" s="117">
        <v>13</v>
      </c>
      <c r="CU19" s="117">
        <v>16</v>
      </c>
      <c r="CV19" s="117">
        <f t="shared" si="33"/>
        <v>29</v>
      </c>
      <c r="CW19" s="117">
        <v>628500</v>
      </c>
      <c r="CX19" s="117">
        <v>17</v>
      </c>
      <c r="CY19" s="117">
        <v>0</v>
      </c>
      <c r="CZ19" s="117">
        <f t="shared" si="34"/>
        <v>17</v>
      </c>
      <c r="DA19" s="117">
        <v>1406260</v>
      </c>
      <c r="DB19" s="117">
        <f t="shared" si="35"/>
        <v>30</v>
      </c>
      <c r="DC19" s="117">
        <f t="shared" si="36"/>
        <v>16</v>
      </c>
      <c r="DD19" s="117">
        <f t="shared" si="37"/>
        <v>46</v>
      </c>
      <c r="DE19" s="117">
        <f t="shared" si="38"/>
        <v>2034760</v>
      </c>
      <c r="DF19" s="117">
        <v>10</v>
      </c>
      <c r="DG19" s="117">
        <v>18</v>
      </c>
      <c r="DH19" s="117">
        <f t="shared" si="39"/>
        <v>28</v>
      </c>
      <c r="DI19" s="117">
        <v>477774</v>
      </c>
      <c r="DJ19" s="117">
        <v>24</v>
      </c>
      <c r="DK19" s="117">
        <v>1</v>
      </c>
      <c r="DL19" s="117">
        <f t="shared" si="40"/>
        <v>25</v>
      </c>
      <c r="DM19" s="117">
        <v>1946908</v>
      </c>
      <c r="DN19" s="117">
        <f t="shared" si="41"/>
        <v>34</v>
      </c>
      <c r="DO19" s="117">
        <f t="shared" si="42"/>
        <v>19</v>
      </c>
      <c r="DP19" s="117">
        <f t="shared" si="43"/>
        <v>53</v>
      </c>
      <c r="DQ19" s="117">
        <f t="shared" si="44"/>
        <v>2424682</v>
      </c>
      <c r="DR19" s="117">
        <v>18</v>
      </c>
      <c r="DS19" s="117">
        <v>19</v>
      </c>
      <c r="DT19" s="117">
        <f t="shared" si="45"/>
        <v>37</v>
      </c>
      <c r="DU19" s="117">
        <v>740200</v>
      </c>
      <c r="DV19" s="117">
        <v>16</v>
      </c>
      <c r="DW19" s="117">
        <v>0</v>
      </c>
      <c r="DX19" s="117">
        <f t="shared" si="46"/>
        <v>16</v>
      </c>
      <c r="DY19" s="117">
        <v>1297450</v>
      </c>
      <c r="DZ19" s="117">
        <f t="shared" si="47"/>
        <v>34</v>
      </c>
      <c r="EA19" s="117">
        <f t="shared" si="48"/>
        <v>19</v>
      </c>
      <c r="EB19" s="117">
        <f t="shared" si="49"/>
        <v>53</v>
      </c>
      <c r="EC19" s="117">
        <f t="shared" si="50"/>
        <v>2037650</v>
      </c>
      <c r="ED19" s="117">
        <v>17</v>
      </c>
      <c r="EE19" s="117">
        <v>29</v>
      </c>
      <c r="EF19" s="117">
        <f t="shared" si="51"/>
        <v>46</v>
      </c>
      <c r="EG19" s="117">
        <v>1073900</v>
      </c>
      <c r="EH19" s="117">
        <v>20</v>
      </c>
      <c r="EI19" s="117">
        <v>0</v>
      </c>
      <c r="EJ19" s="117">
        <f t="shared" si="52"/>
        <v>20</v>
      </c>
      <c r="EK19" s="117">
        <v>2000800</v>
      </c>
      <c r="EL19" s="117">
        <f t="shared" si="53"/>
        <v>37</v>
      </c>
      <c r="EM19" s="117">
        <f t="shared" si="54"/>
        <v>29</v>
      </c>
      <c r="EN19" s="117">
        <f t="shared" si="55"/>
        <v>66</v>
      </c>
      <c r="EO19" s="117">
        <f t="shared" si="56"/>
        <v>3074700</v>
      </c>
    </row>
    <row r="20" spans="1:160" x14ac:dyDescent="0.3">
      <c r="A20" s="163" t="s">
        <v>130</v>
      </c>
      <c r="B20" s="116">
        <v>0</v>
      </c>
      <c r="C20" s="116">
        <v>0</v>
      </c>
      <c r="D20" s="117">
        <v>0</v>
      </c>
      <c r="E20" s="116">
        <v>0</v>
      </c>
      <c r="F20" s="116">
        <v>0</v>
      </c>
      <c r="G20" s="116">
        <v>0</v>
      </c>
      <c r="H20" s="117">
        <v>0</v>
      </c>
      <c r="I20" s="116">
        <v>0</v>
      </c>
      <c r="J20" s="117">
        <f t="shared" si="10"/>
        <v>0</v>
      </c>
      <c r="K20" s="117">
        <f t="shared" si="10"/>
        <v>0</v>
      </c>
      <c r="L20" s="117">
        <f t="shared" si="10"/>
        <v>0</v>
      </c>
      <c r="M20" s="117">
        <f t="shared" si="10"/>
        <v>0</v>
      </c>
      <c r="N20" s="116">
        <v>0</v>
      </c>
      <c r="O20" s="116">
        <v>0</v>
      </c>
      <c r="P20" s="117">
        <v>0</v>
      </c>
      <c r="Q20" s="116">
        <v>0</v>
      </c>
      <c r="R20" s="116">
        <v>0</v>
      </c>
      <c r="S20" s="116">
        <v>0</v>
      </c>
      <c r="T20" s="117">
        <v>0</v>
      </c>
      <c r="U20" s="116">
        <v>0</v>
      </c>
      <c r="V20" s="117">
        <f t="shared" si="11"/>
        <v>0</v>
      </c>
      <c r="W20" s="117">
        <f t="shared" si="11"/>
        <v>0</v>
      </c>
      <c r="X20" s="117">
        <f t="shared" si="11"/>
        <v>0</v>
      </c>
      <c r="Y20" s="117">
        <f t="shared" si="11"/>
        <v>0</v>
      </c>
      <c r="Z20" s="116">
        <v>15</v>
      </c>
      <c r="AA20" s="116">
        <v>16</v>
      </c>
      <c r="AB20" s="117">
        <v>31</v>
      </c>
      <c r="AC20" s="116">
        <v>970430</v>
      </c>
      <c r="AD20" s="116">
        <v>6</v>
      </c>
      <c r="AE20" s="116">
        <v>1</v>
      </c>
      <c r="AF20" s="117">
        <v>7</v>
      </c>
      <c r="AG20" s="116">
        <v>355530</v>
      </c>
      <c r="AH20" s="117">
        <f t="shared" si="12"/>
        <v>21</v>
      </c>
      <c r="AI20" s="117">
        <f t="shared" si="12"/>
        <v>17</v>
      </c>
      <c r="AJ20" s="117">
        <f t="shared" si="12"/>
        <v>38</v>
      </c>
      <c r="AK20" s="117">
        <f t="shared" si="12"/>
        <v>1325960</v>
      </c>
      <c r="AL20" s="116">
        <v>17</v>
      </c>
      <c r="AM20" s="116">
        <v>20</v>
      </c>
      <c r="AN20" s="117">
        <v>37</v>
      </c>
      <c r="AO20" s="116">
        <v>657420</v>
      </c>
      <c r="AP20" s="116">
        <v>13</v>
      </c>
      <c r="AQ20" s="116">
        <v>0</v>
      </c>
      <c r="AR20" s="117">
        <v>13</v>
      </c>
      <c r="AS20" s="116">
        <v>1010195</v>
      </c>
      <c r="AT20" s="117">
        <f t="shared" si="13"/>
        <v>30</v>
      </c>
      <c r="AU20" s="117">
        <f t="shared" si="13"/>
        <v>20</v>
      </c>
      <c r="AV20" s="117">
        <f t="shared" si="13"/>
        <v>50</v>
      </c>
      <c r="AW20" s="117">
        <f t="shared" si="13"/>
        <v>1667615</v>
      </c>
      <c r="AX20" s="116">
        <v>14</v>
      </c>
      <c r="AY20" s="116">
        <v>14</v>
      </c>
      <c r="AZ20" s="117">
        <v>28</v>
      </c>
      <c r="BA20" s="116">
        <v>721950</v>
      </c>
      <c r="BB20" s="116">
        <v>21</v>
      </c>
      <c r="BC20" s="116">
        <v>1</v>
      </c>
      <c r="BD20" s="117">
        <v>22</v>
      </c>
      <c r="BE20" s="116">
        <v>1700230</v>
      </c>
      <c r="BF20" s="117">
        <f t="shared" si="14"/>
        <v>35</v>
      </c>
      <c r="BG20" s="117">
        <f t="shared" si="14"/>
        <v>15</v>
      </c>
      <c r="BH20" s="117">
        <f t="shared" si="14"/>
        <v>50</v>
      </c>
      <c r="BI20" s="117">
        <f t="shared" si="14"/>
        <v>2422180</v>
      </c>
      <c r="BJ20" s="116">
        <v>10</v>
      </c>
      <c r="BK20" s="116">
        <v>11</v>
      </c>
      <c r="BL20" s="117">
        <f t="shared" si="15"/>
        <v>21</v>
      </c>
      <c r="BM20" s="116">
        <v>424860</v>
      </c>
      <c r="BN20" s="117">
        <v>24</v>
      </c>
      <c r="BO20" s="117">
        <v>0</v>
      </c>
      <c r="BP20" s="117">
        <f t="shared" si="16"/>
        <v>24</v>
      </c>
      <c r="BQ20" s="117">
        <v>2292000</v>
      </c>
      <c r="BR20" s="117">
        <f t="shared" si="17"/>
        <v>34</v>
      </c>
      <c r="BS20" s="117">
        <f t="shared" si="18"/>
        <v>11</v>
      </c>
      <c r="BT20" s="117">
        <f t="shared" si="19"/>
        <v>45</v>
      </c>
      <c r="BU20" s="117">
        <f t="shared" si="20"/>
        <v>2716860</v>
      </c>
      <c r="BV20" s="117">
        <v>10</v>
      </c>
      <c r="BW20" s="117">
        <v>25</v>
      </c>
      <c r="BX20" s="117">
        <f t="shared" si="21"/>
        <v>35</v>
      </c>
      <c r="BY20" s="117">
        <v>727202</v>
      </c>
      <c r="BZ20" s="117">
        <v>24</v>
      </c>
      <c r="CA20" s="117">
        <v>0</v>
      </c>
      <c r="CB20" s="117">
        <f t="shared" si="22"/>
        <v>24</v>
      </c>
      <c r="CC20" s="117">
        <v>1972250</v>
      </c>
      <c r="CD20" s="117">
        <f t="shared" si="23"/>
        <v>34</v>
      </c>
      <c r="CE20" s="117">
        <f t="shared" si="24"/>
        <v>25</v>
      </c>
      <c r="CF20" s="117">
        <f t="shared" si="25"/>
        <v>59</v>
      </c>
      <c r="CG20" s="117">
        <f t="shared" si="26"/>
        <v>2699452</v>
      </c>
      <c r="CH20" s="117">
        <v>19</v>
      </c>
      <c r="CI20" s="117">
        <v>24</v>
      </c>
      <c r="CJ20" s="117">
        <f t="shared" si="27"/>
        <v>43</v>
      </c>
      <c r="CK20" s="117">
        <v>968900</v>
      </c>
      <c r="CL20" s="117">
        <v>17</v>
      </c>
      <c r="CM20" s="117">
        <v>0</v>
      </c>
      <c r="CN20" s="117">
        <f t="shared" si="28"/>
        <v>17</v>
      </c>
      <c r="CO20" s="117">
        <v>656780</v>
      </c>
      <c r="CP20" s="117">
        <f t="shared" si="29"/>
        <v>36</v>
      </c>
      <c r="CQ20" s="117">
        <f t="shared" si="30"/>
        <v>24</v>
      </c>
      <c r="CR20" s="117">
        <f t="shared" si="31"/>
        <v>60</v>
      </c>
      <c r="CS20" s="117">
        <f t="shared" si="32"/>
        <v>1625680</v>
      </c>
      <c r="CT20" s="117">
        <v>13</v>
      </c>
      <c r="CU20" s="117">
        <v>22</v>
      </c>
      <c r="CV20" s="117">
        <f t="shared" si="33"/>
        <v>35</v>
      </c>
      <c r="CW20" s="117">
        <v>1711780</v>
      </c>
      <c r="CX20" s="117">
        <v>24</v>
      </c>
      <c r="CY20" s="117">
        <v>0</v>
      </c>
      <c r="CZ20" s="117">
        <f t="shared" si="34"/>
        <v>24</v>
      </c>
      <c r="DA20" s="117">
        <v>1512328</v>
      </c>
      <c r="DB20" s="117">
        <f t="shared" si="35"/>
        <v>37</v>
      </c>
      <c r="DC20" s="117">
        <f t="shared" si="36"/>
        <v>22</v>
      </c>
      <c r="DD20" s="117">
        <f t="shared" si="37"/>
        <v>59</v>
      </c>
      <c r="DE20" s="117">
        <f t="shared" si="38"/>
        <v>3224108</v>
      </c>
      <c r="DF20" s="117">
        <v>16</v>
      </c>
      <c r="DG20" s="117">
        <v>31</v>
      </c>
      <c r="DH20" s="117">
        <f t="shared" si="39"/>
        <v>47</v>
      </c>
      <c r="DI20" s="117">
        <v>1227620</v>
      </c>
      <c r="DJ20" s="117">
        <v>28</v>
      </c>
      <c r="DK20" s="117">
        <v>1</v>
      </c>
      <c r="DL20" s="117">
        <f t="shared" si="40"/>
        <v>29</v>
      </c>
      <c r="DM20" s="117">
        <v>2440540</v>
      </c>
      <c r="DN20" s="117">
        <f t="shared" si="41"/>
        <v>44</v>
      </c>
      <c r="DO20" s="117">
        <f t="shared" si="42"/>
        <v>32</v>
      </c>
      <c r="DP20" s="117">
        <f t="shared" si="43"/>
        <v>76</v>
      </c>
      <c r="DQ20" s="117">
        <f t="shared" si="44"/>
        <v>3668160</v>
      </c>
      <c r="DR20" s="117">
        <v>15</v>
      </c>
      <c r="DS20" s="117">
        <v>20</v>
      </c>
      <c r="DT20" s="117">
        <f t="shared" si="45"/>
        <v>35</v>
      </c>
      <c r="DU20" s="117">
        <v>694460</v>
      </c>
      <c r="DV20" s="117">
        <v>25</v>
      </c>
      <c r="DW20" s="117">
        <v>0</v>
      </c>
      <c r="DX20" s="117">
        <f t="shared" si="46"/>
        <v>25</v>
      </c>
      <c r="DY20" s="117">
        <v>2418904</v>
      </c>
      <c r="DZ20" s="117">
        <f t="shared" si="47"/>
        <v>40</v>
      </c>
      <c r="EA20" s="117">
        <f t="shared" si="48"/>
        <v>20</v>
      </c>
      <c r="EB20" s="117">
        <f t="shared" si="49"/>
        <v>60</v>
      </c>
      <c r="EC20" s="117">
        <f t="shared" si="50"/>
        <v>3113364</v>
      </c>
      <c r="ED20" s="117">
        <v>16</v>
      </c>
      <c r="EE20" s="117">
        <v>31</v>
      </c>
      <c r="EF20" s="117">
        <f t="shared" si="51"/>
        <v>47</v>
      </c>
      <c r="EG20" s="117">
        <v>1326840</v>
      </c>
      <c r="EH20" s="117">
        <v>28</v>
      </c>
      <c r="EI20" s="117">
        <v>0</v>
      </c>
      <c r="EJ20" s="117">
        <f t="shared" si="52"/>
        <v>28</v>
      </c>
      <c r="EK20" s="117">
        <v>1784420</v>
      </c>
      <c r="EL20" s="117">
        <f t="shared" si="53"/>
        <v>44</v>
      </c>
      <c r="EM20" s="117">
        <f t="shared" si="54"/>
        <v>31</v>
      </c>
      <c r="EN20" s="117">
        <f t="shared" si="55"/>
        <v>75</v>
      </c>
      <c r="EO20" s="117">
        <f t="shared" si="56"/>
        <v>3111260</v>
      </c>
    </row>
    <row r="21" spans="1:160" x14ac:dyDescent="0.3">
      <c r="A21" s="164" t="s">
        <v>87</v>
      </c>
      <c r="B21" s="116">
        <v>0</v>
      </c>
      <c r="C21" s="116">
        <v>0</v>
      </c>
      <c r="D21" s="117">
        <v>0</v>
      </c>
      <c r="E21" s="116">
        <v>0</v>
      </c>
      <c r="F21" s="116">
        <v>0</v>
      </c>
      <c r="G21" s="116">
        <v>0</v>
      </c>
      <c r="H21" s="117">
        <v>0</v>
      </c>
      <c r="I21" s="116">
        <v>0</v>
      </c>
      <c r="J21" s="117">
        <f t="shared" si="10"/>
        <v>0</v>
      </c>
      <c r="K21" s="117">
        <f t="shared" si="10"/>
        <v>0</v>
      </c>
      <c r="L21" s="117">
        <f t="shared" si="10"/>
        <v>0</v>
      </c>
      <c r="M21" s="117">
        <f t="shared" si="10"/>
        <v>0</v>
      </c>
      <c r="N21" s="116">
        <v>0</v>
      </c>
      <c r="O21" s="116">
        <v>0</v>
      </c>
      <c r="P21" s="117">
        <v>0</v>
      </c>
      <c r="Q21" s="116">
        <v>0</v>
      </c>
      <c r="R21" s="116">
        <v>0</v>
      </c>
      <c r="S21" s="116">
        <v>0</v>
      </c>
      <c r="T21" s="117">
        <v>0</v>
      </c>
      <c r="U21" s="116">
        <v>0</v>
      </c>
      <c r="V21" s="117">
        <f t="shared" si="11"/>
        <v>0</v>
      </c>
      <c r="W21" s="117">
        <f t="shared" si="11"/>
        <v>0</v>
      </c>
      <c r="X21" s="117">
        <f t="shared" si="11"/>
        <v>0</v>
      </c>
      <c r="Y21" s="117">
        <f t="shared" si="11"/>
        <v>0</v>
      </c>
      <c r="Z21" s="116">
        <v>4</v>
      </c>
      <c r="AA21" s="116">
        <v>5</v>
      </c>
      <c r="AB21" s="117">
        <v>9</v>
      </c>
      <c r="AC21" s="116">
        <v>327470</v>
      </c>
      <c r="AD21" s="116">
        <v>1</v>
      </c>
      <c r="AE21" s="116">
        <v>0</v>
      </c>
      <c r="AF21" s="117">
        <v>1</v>
      </c>
      <c r="AG21" s="116">
        <v>38295</v>
      </c>
      <c r="AH21" s="117">
        <f t="shared" si="12"/>
        <v>5</v>
      </c>
      <c r="AI21" s="117">
        <f t="shared" si="12"/>
        <v>5</v>
      </c>
      <c r="AJ21" s="117">
        <f t="shared" si="12"/>
        <v>10</v>
      </c>
      <c r="AK21" s="117">
        <f t="shared" si="12"/>
        <v>365765</v>
      </c>
      <c r="AL21" s="116">
        <v>3</v>
      </c>
      <c r="AM21" s="116">
        <v>7</v>
      </c>
      <c r="AN21" s="117">
        <v>10</v>
      </c>
      <c r="AO21" s="116">
        <v>111895</v>
      </c>
      <c r="AP21" s="116">
        <v>5</v>
      </c>
      <c r="AQ21" s="116">
        <v>0</v>
      </c>
      <c r="AR21" s="117">
        <v>5</v>
      </c>
      <c r="AS21" s="116">
        <v>385100</v>
      </c>
      <c r="AT21" s="117">
        <f t="shared" si="13"/>
        <v>8</v>
      </c>
      <c r="AU21" s="117">
        <f t="shared" si="13"/>
        <v>7</v>
      </c>
      <c r="AV21" s="117">
        <f t="shared" si="13"/>
        <v>15</v>
      </c>
      <c r="AW21" s="117">
        <f t="shared" si="13"/>
        <v>496995</v>
      </c>
      <c r="AX21" s="116">
        <v>9</v>
      </c>
      <c r="AY21" s="116">
        <v>4</v>
      </c>
      <c r="AZ21" s="117">
        <v>13</v>
      </c>
      <c r="BA21" s="116">
        <v>386465</v>
      </c>
      <c r="BB21" s="116">
        <v>3</v>
      </c>
      <c r="BC21" s="116">
        <v>0</v>
      </c>
      <c r="BD21" s="117">
        <v>3</v>
      </c>
      <c r="BE21" s="116">
        <v>767495</v>
      </c>
      <c r="BF21" s="117">
        <f t="shared" si="14"/>
        <v>12</v>
      </c>
      <c r="BG21" s="117">
        <f t="shared" si="14"/>
        <v>4</v>
      </c>
      <c r="BH21" s="117">
        <f t="shared" si="14"/>
        <v>16</v>
      </c>
      <c r="BI21" s="117">
        <f t="shared" si="14"/>
        <v>1153960</v>
      </c>
      <c r="BJ21" s="116">
        <v>6</v>
      </c>
      <c r="BK21" s="116">
        <v>8</v>
      </c>
      <c r="BL21" s="117">
        <f t="shared" si="15"/>
        <v>14</v>
      </c>
      <c r="BM21" s="116">
        <v>336360</v>
      </c>
      <c r="BN21" s="117">
        <v>8</v>
      </c>
      <c r="BO21" s="117">
        <v>0</v>
      </c>
      <c r="BP21" s="117">
        <f t="shared" si="16"/>
        <v>8</v>
      </c>
      <c r="BQ21" s="117">
        <v>897755</v>
      </c>
      <c r="BR21" s="117">
        <f t="shared" si="17"/>
        <v>14</v>
      </c>
      <c r="BS21" s="117">
        <f t="shared" si="18"/>
        <v>8</v>
      </c>
      <c r="BT21" s="117">
        <f t="shared" si="19"/>
        <v>22</v>
      </c>
      <c r="BU21" s="117">
        <f t="shared" si="20"/>
        <v>1234115</v>
      </c>
      <c r="BV21" s="117">
        <v>3</v>
      </c>
      <c r="BW21" s="117">
        <v>4</v>
      </c>
      <c r="BX21" s="117">
        <f t="shared" si="21"/>
        <v>7</v>
      </c>
      <c r="BY21" s="117">
        <v>561400</v>
      </c>
      <c r="BZ21" s="117">
        <v>10</v>
      </c>
      <c r="CA21" s="117">
        <v>1</v>
      </c>
      <c r="CB21" s="117">
        <f t="shared" si="22"/>
        <v>11</v>
      </c>
      <c r="CC21" s="117">
        <v>423310</v>
      </c>
      <c r="CD21" s="117">
        <f t="shared" si="23"/>
        <v>13</v>
      </c>
      <c r="CE21" s="117">
        <f t="shared" si="24"/>
        <v>5</v>
      </c>
      <c r="CF21" s="117">
        <f t="shared" si="25"/>
        <v>18</v>
      </c>
      <c r="CG21" s="117">
        <f t="shared" si="26"/>
        <v>984710</v>
      </c>
      <c r="CH21" s="117">
        <v>4</v>
      </c>
      <c r="CI21" s="117">
        <v>11</v>
      </c>
      <c r="CJ21" s="117">
        <f t="shared" si="27"/>
        <v>15</v>
      </c>
      <c r="CK21" s="117">
        <v>360200</v>
      </c>
      <c r="CL21" s="117">
        <v>7</v>
      </c>
      <c r="CM21" s="117">
        <v>0</v>
      </c>
      <c r="CN21" s="117">
        <f t="shared" si="28"/>
        <v>7</v>
      </c>
      <c r="CO21" s="117">
        <v>323370</v>
      </c>
      <c r="CP21" s="117">
        <f t="shared" si="29"/>
        <v>11</v>
      </c>
      <c r="CQ21" s="117">
        <f t="shared" si="30"/>
        <v>11</v>
      </c>
      <c r="CR21" s="117">
        <f t="shared" si="31"/>
        <v>22</v>
      </c>
      <c r="CS21" s="117">
        <f t="shared" si="32"/>
        <v>683570</v>
      </c>
      <c r="CT21" s="117">
        <v>6</v>
      </c>
      <c r="CU21" s="117">
        <v>6</v>
      </c>
      <c r="CV21" s="117">
        <f t="shared" si="33"/>
        <v>12</v>
      </c>
      <c r="CW21" s="117">
        <v>641000</v>
      </c>
      <c r="CX21" s="117">
        <v>6</v>
      </c>
      <c r="CY21" s="117">
        <v>1</v>
      </c>
      <c r="CZ21" s="117">
        <f t="shared" si="34"/>
        <v>7</v>
      </c>
      <c r="DA21" s="117">
        <v>391260</v>
      </c>
      <c r="DB21" s="117">
        <f t="shared" si="35"/>
        <v>12</v>
      </c>
      <c r="DC21" s="117">
        <f t="shared" si="36"/>
        <v>7</v>
      </c>
      <c r="DD21" s="117">
        <f t="shared" si="37"/>
        <v>19</v>
      </c>
      <c r="DE21" s="117">
        <f t="shared" si="38"/>
        <v>1032260</v>
      </c>
      <c r="DF21" s="117">
        <v>4</v>
      </c>
      <c r="DG21" s="117">
        <v>3</v>
      </c>
      <c r="DH21" s="117">
        <f t="shared" si="39"/>
        <v>7</v>
      </c>
      <c r="DI21" s="117">
        <v>316700</v>
      </c>
      <c r="DJ21" s="117">
        <v>7</v>
      </c>
      <c r="DK21" s="117">
        <v>0</v>
      </c>
      <c r="DL21" s="117">
        <f t="shared" si="40"/>
        <v>7</v>
      </c>
      <c r="DM21" s="117">
        <v>545330</v>
      </c>
      <c r="DN21" s="117">
        <f t="shared" si="41"/>
        <v>11</v>
      </c>
      <c r="DO21" s="117">
        <f t="shared" si="42"/>
        <v>3</v>
      </c>
      <c r="DP21" s="117">
        <f t="shared" si="43"/>
        <v>14</v>
      </c>
      <c r="DQ21" s="117">
        <f t="shared" si="44"/>
        <v>862030</v>
      </c>
      <c r="DR21" s="117">
        <v>9</v>
      </c>
      <c r="DS21" s="117">
        <v>3</v>
      </c>
      <c r="DT21" s="117">
        <f t="shared" si="45"/>
        <v>12</v>
      </c>
      <c r="DU21" s="117">
        <v>902500</v>
      </c>
      <c r="DV21" s="117">
        <v>9</v>
      </c>
      <c r="DW21" s="117">
        <v>1</v>
      </c>
      <c r="DX21" s="117">
        <f t="shared" si="46"/>
        <v>10</v>
      </c>
      <c r="DY21" s="117">
        <v>978070</v>
      </c>
      <c r="DZ21" s="117">
        <f t="shared" si="47"/>
        <v>18</v>
      </c>
      <c r="EA21" s="117">
        <f t="shared" si="48"/>
        <v>4</v>
      </c>
      <c r="EB21" s="117">
        <f t="shared" si="49"/>
        <v>22</v>
      </c>
      <c r="EC21" s="117">
        <f t="shared" si="50"/>
        <v>1880570</v>
      </c>
      <c r="ED21" s="117">
        <v>9</v>
      </c>
      <c r="EE21" s="117">
        <v>14</v>
      </c>
      <c r="EF21" s="117">
        <f t="shared" si="51"/>
        <v>23</v>
      </c>
      <c r="EG21" s="117">
        <v>572900</v>
      </c>
      <c r="EH21" s="117">
        <v>6</v>
      </c>
      <c r="EI21" s="117">
        <v>0</v>
      </c>
      <c r="EJ21" s="117">
        <f t="shared" si="52"/>
        <v>6</v>
      </c>
      <c r="EK21" s="117">
        <v>404930</v>
      </c>
      <c r="EL21" s="117">
        <f t="shared" si="53"/>
        <v>15</v>
      </c>
      <c r="EM21" s="117">
        <f t="shared" si="54"/>
        <v>14</v>
      </c>
      <c r="EN21" s="117">
        <f t="shared" si="55"/>
        <v>29</v>
      </c>
      <c r="EO21" s="117">
        <f t="shared" si="56"/>
        <v>977830</v>
      </c>
    </row>
    <row r="22" spans="1:160" x14ac:dyDescent="0.3">
      <c r="A22" s="164" t="s">
        <v>95</v>
      </c>
      <c r="B22" s="116">
        <v>0</v>
      </c>
      <c r="C22" s="116">
        <v>0</v>
      </c>
      <c r="D22" s="117">
        <v>0</v>
      </c>
      <c r="E22" s="116">
        <v>0</v>
      </c>
      <c r="F22" s="116">
        <v>0</v>
      </c>
      <c r="G22" s="116">
        <v>0</v>
      </c>
      <c r="H22" s="117">
        <v>0</v>
      </c>
      <c r="I22" s="116">
        <v>0</v>
      </c>
      <c r="J22" s="117">
        <f t="shared" si="10"/>
        <v>0</v>
      </c>
      <c r="K22" s="117">
        <f t="shared" si="10"/>
        <v>0</v>
      </c>
      <c r="L22" s="117">
        <f t="shared" si="10"/>
        <v>0</v>
      </c>
      <c r="M22" s="117">
        <f t="shared" si="10"/>
        <v>0</v>
      </c>
      <c r="N22" s="116">
        <v>0</v>
      </c>
      <c r="O22" s="116">
        <v>0</v>
      </c>
      <c r="P22" s="117">
        <v>0</v>
      </c>
      <c r="Q22" s="116">
        <v>0</v>
      </c>
      <c r="R22" s="116">
        <v>0</v>
      </c>
      <c r="S22" s="116">
        <v>0</v>
      </c>
      <c r="T22" s="117">
        <v>0</v>
      </c>
      <c r="U22" s="116">
        <v>0</v>
      </c>
      <c r="V22" s="117">
        <f t="shared" si="11"/>
        <v>0</v>
      </c>
      <c r="W22" s="117">
        <f t="shared" si="11"/>
        <v>0</v>
      </c>
      <c r="X22" s="117">
        <f t="shared" si="11"/>
        <v>0</v>
      </c>
      <c r="Y22" s="117">
        <f t="shared" si="11"/>
        <v>0</v>
      </c>
      <c r="Z22" s="116">
        <f t="shared" si="11"/>
        <v>0</v>
      </c>
      <c r="AA22" s="116">
        <f t="shared" si="11"/>
        <v>0</v>
      </c>
      <c r="AB22" s="116">
        <f t="shared" si="11"/>
        <v>0</v>
      </c>
      <c r="AC22" s="116">
        <f t="shared" si="11"/>
        <v>0</v>
      </c>
      <c r="AD22" s="116">
        <v>0</v>
      </c>
      <c r="AE22" s="116">
        <v>0</v>
      </c>
      <c r="AF22" s="117">
        <v>0</v>
      </c>
      <c r="AG22" s="116">
        <v>0</v>
      </c>
      <c r="AH22" s="117">
        <f t="shared" si="12"/>
        <v>0</v>
      </c>
      <c r="AI22" s="117">
        <f t="shared" si="12"/>
        <v>0</v>
      </c>
      <c r="AJ22" s="117">
        <f t="shared" si="12"/>
        <v>0</v>
      </c>
      <c r="AK22" s="117">
        <f t="shared" si="12"/>
        <v>0</v>
      </c>
      <c r="AL22" s="116">
        <v>0</v>
      </c>
      <c r="AM22" s="116">
        <v>0</v>
      </c>
      <c r="AN22" s="116">
        <v>0</v>
      </c>
      <c r="AO22" s="116">
        <v>0</v>
      </c>
      <c r="AP22" s="116">
        <v>0</v>
      </c>
      <c r="AQ22" s="116">
        <v>0</v>
      </c>
      <c r="AR22" s="117">
        <v>0</v>
      </c>
      <c r="AS22" s="116">
        <v>0</v>
      </c>
      <c r="AT22" s="117">
        <f t="shared" si="13"/>
        <v>0</v>
      </c>
      <c r="AU22" s="117">
        <f t="shared" si="13"/>
        <v>0</v>
      </c>
      <c r="AV22" s="117">
        <f t="shared" si="13"/>
        <v>0</v>
      </c>
      <c r="AW22" s="117">
        <f t="shared" si="13"/>
        <v>0</v>
      </c>
      <c r="AX22" s="116">
        <v>30</v>
      </c>
      <c r="AY22" s="116">
        <v>21</v>
      </c>
      <c r="AZ22" s="117">
        <v>51</v>
      </c>
      <c r="BA22" s="116">
        <v>1176470</v>
      </c>
      <c r="BB22" s="116">
        <v>3</v>
      </c>
      <c r="BC22" s="116">
        <v>0</v>
      </c>
      <c r="BD22" s="117">
        <v>3</v>
      </c>
      <c r="BE22" s="116">
        <v>147395</v>
      </c>
      <c r="BF22" s="117">
        <f t="shared" si="14"/>
        <v>33</v>
      </c>
      <c r="BG22" s="117">
        <f t="shared" si="14"/>
        <v>21</v>
      </c>
      <c r="BH22" s="117">
        <f t="shared" si="14"/>
        <v>54</v>
      </c>
      <c r="BI22" s="117">
        <f t="shared" si="14"/>
        <v>1323865</v>
      </c>
      <c r="BJ22" s="116">
        <v>11</v>
      </c>
      <c r="BK22" s="116">
        <v>5</v>
      </c>
      <c r="BL22" s="117">
        <f t="shared" si="15"/>
        <v>16</v>
      </c>
      <c r="BM22" s="116">
        <v>913760</v>
      </c>
      <c r="BN22" s="117">
        <v>19</v>
      </c>
      <c r="BO22" s="117">
        <v>0</v>
      </c>
      <c r="BP22" s="117">
        <f t="shared" si="16"/>
        <v>19</v>
      </c>
      <c r="BQ22" s="117">
        <v>1271625</v>
      </c>
      <c r="BR22" s="117">
        <f t="shared" si="17"/>
        <v>30</v>
      </c>
      <c r="BS22" s="117">
        <f t="shared" si="18"/>
        <v>5</v>
      </c>
      <c r="BT22" s="117">
        <f t="shared" si="19"/>
        <v>35</v>
      </c>
      <c r="BU22" s="117">
        <f t="shared" si="20"/>
        <v>2185385</v>
      </c>
      <c r="BV22" s="117">
        <v>7</v>
      </c>
      <c r="BW22" s="117">
        <v>4</v>
      </c>
      <c r="BX22" s="117">
        <f t="shared" si="21"/>
        <v>11</v>
      </c>
      <c r="BY22" s="117">
        <v>604200</v>
      </c>
      <c r="BZ22" s="117">
        <v>19</v>
      </c>
      <c r="CA22" s="117">
        <v>0</v>
      </c>
      <c r="CB22" s="117">
        <f t="shared" si="22"/>
        <v>19</v>
      </c>
      <c r="CC22" s="117">
        <v>872500</v>
      </c>
      <c r="CD22" s="117">
        <f t="shared" si="23"/>
        <v>26</v>
      </c>
      <c r="CE22" s="117">
        <f t="shared" si="24"/>
        <v>4</v>
      </c>
      <c r="CF22" s="117">
        <f t="shared" si="25"/>
        <v>30</v>
      </c>
      <c r="CG22" s="117">
        <f t="shared" si="26"/>
        <v>1476700</v>
      </c>
      <c r="CH22" s="117">
        <v>7</v>
      </c>
      <c r="CI22" s="117">
        <v>11</v>
      </c>
      <c r="CJ22" s="117">
        <f t="shared" si="27"/>
        <v>18</v>
      </c>
      <c r="CK22" s="117">
        <v>391500</v>
      </c>
      <c r="CL22" s="117">
        <v>15</v>
      </c>
      <c r="CM22" s="117">
        <v>0</v>
      </c>
      <c r="CN22" s="117">
        <f t="shared" si="28"/>
        <v>15</v>
      </c>
      <c r="CO22" s="117">
        <v>920800</v>
      </c>
      <c r="CP22" s="117">
        <f t="shared" si="29"/>
        <v>22</v>
      </c>
      <c r="CQ22" s="117">
        <f t="shared" si="30"/>
        <v>11</v>
      </c>
      <c r="CR22" s="117">
        <f t="shared" si="31"/>
        <v>33</v>
      </c>
      <c r="CS22" s="117">
        <f t="shared" si="32"/>
        <v>1312300</v>
      </c>
      <c r="CT22" s="117">
        <v>7</v>
      </c>
      <c r="CU22" s="117">
        <v>7</v>
      </c>
      <c r="CV22" s="117">
        <f t="shared" si="33"/>
        <v>14</v>
      </c>
      <c r="CW22" s="117">
        <v>250430</v>
      </c>
      <c r="CX22" s="117">
        <v>16</v>
      </c>
      <c r="CY22" s="117">
        <v>2</v>
      </c>
      <c r="CZ22" s="117">
        <f t="shared" si="34"/>
        <v>18</v>
      </c>
      <c r="DA22" s="117">
        <v>1304520</v>
      </c>
      <c r="DB22" s="117">
        <f t="shared" si="35"/>
        <v>23</v>
      </c>
      <c r="DC22" s="117">
        <f t="shared" si="36"/>
        <v>9</v>
      </c>
      <c r="DD22" s="117">
        <f t="shared" si="37"/>
        <v>32</v>
      </c>
      <c r="DE22" s="117">
        <f t="shared" si="38"/>
        <v>1554950</v>
      </c>
      <c r="DF22" s="117">
        <v>10</v>
      </c>
      <c r="DG22" s="117">
        <v>14</v>
      </c>
      <c r="DH22" s="117">
        <f t="shared" si="39"/>
        <v>24</v>
      </c>
      <c r="DI22" s="117">
        <v>360400</v>
      </c>
      <c r="DJ22" s="117">
        <v>16</v>
      </c>
      <c r="DK22" s="117">
        <v>0</v>
      </c>
      <c r="DL22" s="117">
        <f t="shared" si="40"/>
        <v>16</v>
      </c>
      <c r="DM22" s="117">
        <v>1119440</v>
      </c>
      <c r="DN22" s="117">
        <f t="shared" si="41"/>
        <v>26</v>
      </c>
      <c r="DO22" s="117">
        <f t="shared" si="42"/>
        <v>14</v>
      </c>
      <c r="DP22" s="117">
        <f t="shared" si="43"/>
        <v>40</v>
      </c>
      <c r="DQ22" s="117">
        <f t="shared" si="44"/>
        <v>1479840</v>
      </c>
      <c r="DR22" s="117">
        <v>9</v>
      </c>
      <c r="DS22" s="117">
        <v>7</v>
      </c>
      <c r="DT22" s="117">
        <f t="shared" si="45"/>
        <v>16</v>
      </c>
      <c r="DU22" s="117">
        <v>331200</v>
      </c>
      <c r="DV22" s="117">
        <v>17</v>
      </c>
      <c r="DW22" s="117">
        <v>0</v>
      </c>
      <c r="DX22" s="117">
        <f t="shared" si="46"/>
        <v>17</v>
      </c>
      <c r="DY22" s="117">
        <v>1311540</v>
      </c>
      <c r="DZ22" s="117">
        <f t="shared" si="47"/>
        <v>26</v>
      </c>
      <c r="EA22" s="117">
        <f t="shared" si="48"/>
        <v>7</v>
      </c>
      <c r="EB22" s="117">
        <f t="shared" si="49"/>
        <v>33</v>
      </c>
      <c r="EC22" s="117">
        <f t="shared" si="50"/>
        <v>1642740</v>
      </c>
      <c r="ED22" s="117">
        <v>11</v>
      </c>
      <c r="EE22" s="117">
        <v>7</v>
      </c>
      <c r="EF22" s="117">
        <f t="shared" si="51"/>
        <v>18</v>
      </c>
      <c r="EG22" s="117">
        <v>601100</v>
      </c>
      <c r="EH22" s="117">
        <v>22</v>
      </c>
      <c r="EI22" s="117">
        <v>0</v>
      </c>
      <c r="EJ22" s="117">
        <f t="shared" si="52"/>
        <v>22</v>
      </c>
      <c r="EK22" s="117">
        <v>1609280</v>
      </c>
      <c r="EL22" s="117">
        <f t="shared" si="53"/>
        <v>33</v>
      </c>
      <c r="EM22" s="117">
        <f t="shared" si="54"/>
        <v>7</v>
      </c>
      <c r="EN22" s="117">
        <f t="shared" si="55"/>
        <v>40</v>
      </c>
      <c r="EO22" s="117">
        <f t="shared" si="56"/>
        <v>2210380</v>
      </c>
    </row>
    <row r="23" spans="1:160" x14ac:dyDescent="0.3">
      <c r="A23" s="161" t="s">
        <v>14</v>
      </c>
      <c r="B23" s="115">
        <f>SUM(B4:B22)</f>
        <v>304</v>
      </c>
      <c r="C23" s="115">
        <f t="shared" ref="C23:CI23" si="57">SUM(C4:C22)</f>
        <v>233</v>
      </c>
      <c r="D23" s="115">
        <f t="shared" si="57"/>
        <v>537</v>
      </c>
      <c r="E23" s="115">
        <f t="shared" si="57"/>
        <v>13167710</v>
      </c>
      <c r="F23" s="115">
        <f t="shared" si="57"/>
        <v>594</v>
      </c>
      <c r="G23" s="115">
        <f t="shared" si="57"/>
        <v>47</v>
      </c>
      <c r="H23" s="115">
        <f t="shared" si="57"/>
        <v>641</v>
      </c>
      <c r="I23" s="115">
        <f t="shared" si="57"/>
        <v>31584426</v>
      </c>
      <c r="J23" s="115">
        <f t="shared" si="57"/>
        <v>898</v>
      </c>
      <c r="K23" s="115">
        <f t="shared" si="57"/>
        <v>280</v>
      </c>
      <c r="L23" s="115">
        <f t="shared" si="57"/>
        <v>1178</v>
      </c>
      <c r="M23" s="115">
        <f t="shared" si="57"/>
        <v>44752136</v>
      </c>
      <c r="N23" s="115">
        <f t="shared" si="57"/>
        <v>285</v>
      </c>
      <c r="O23" s="115">
        <f t="shared" si="57"/>
        <v>285</v>
      </c>
      <c r="P23" s="115">
        <f t="shared" si="57"/>
        <v>570</v>
      </c>
      <c r="Q23" s="115">
        <f t="shared" si="57"/>
        <v>15771864</v>
      </c>
      <c r="R23" s="115">
        <f t="shared" si="57"/>
        <v>597</v>
      </c>
      <c r="S23" s="115">
        <f t="shared" si="57"/>
        <v>12</v>
      </c>
      <c r="T23" s="115">
        <f t="shared" si="57"/>
        <v>609</v>
      </c>
      <c r="U23" s="115">
        <f t="shared" si="57"/>
        <v>39458660</v>
      </c>
      <c r="V23" s="115">
        <f t="shared" si="57"/>
        <v>882</v>
      </c>
      <c r="W23" s="115">
        <f t="shared" si="57"/>
        <v>297</v>
      </c>
      <c r="X23" s="115">
        <f t="shared" si="57"/>
        <v>1179</v>
      </c>
      <c r="Y23" s="115">
        <f t="shared" si="57"/>
        <v>55230524</v>
      </c>
      <c r="Z23" s="115">
        <f t="shared" si="57"/>
        <v>312</v>
      </c>
      <c r="AA23" s="115">
        <f t="shared" si="57"/>
        <v>269</v>
      </c>
      <c r="AB23" s="115">
        <f t="shared" si="57"/>
        <v>581</v>
      </c>
      <c r="AC23" s="115">
        <f t="shared" si="57"/>
        <v>16535170</v>
      </c>
      <c r="AD23" s="115">
        <f t="shared" si="57"/>
        <v>568</v>
      </c>
      <c r="AE23" s="115">
        <f t="shared" si="57"/>
        <v>7</v>
      </c>
      <c r="AF23" s="115">
        <f t="shared" si="57"/>
        <v>575</v>
      </c>
      <c r="AG23" s="115">
        <f t="shared" si="57"/>
        <v>35578796</v>
      </c>
      <c r="AH23" s="115">
        <f t="shared" si="57"/>
        <v>880</v>
      </c>
      <c r="AI23" s="115">
        <f t="shared" si="57"/>
        <v>276</v>
      </c>
      <c r="AJ23" s="115">
        <f t="shared" si="57"/>
        <v>1156</v>
      </c>
      <c r="AK23" s="115">
        <f t="shared" si="57"/>
        <v>52113966</v>
      </c>
      <c r="AL23" s="115">
        <f t="shared" si="57"/>
        <v>312</v>
      </c>
      <c r="AM23" s="115">
        <f t="shared" si="57"/>
        <v>269</v>
      </c>
      <c r="AN23" s="115">
        <f t="shared" si="57"/>
        <v>581</v>
      </c>
      <c r="AO23" s="115">
        <f t="shared" si="57"/>
        <v>13890025</v>
      </c>
      <c r="AP23" s="115">
        <f t="shared" si="57"/>
        <v>613</v>
      </c>
      <c r="AQ23" s="115">
        <f t="shared" si="57"/>
        <v>4</v>
      </c>
      <c r="AR23" s="115">
        <f t="shared" si="57"/>
        <v>617</v>
      </c>
      <c r="AS23" s="115">
        <f t="shared" si="57"/>
        <v>39952166</v>
      </c>
      <c r="AT23" s="115">
        <f t="shared" si="57"/>
        <v>925</v>
      </c>
      <c r="AU23" s="115">
        <f t="shared" si="57"/>
        <v>273</v>
      </c>
      <c r="AV23" s="115">
        <f t="shared" si="57"/>
        <v>1198</v>
      </c>
      <c r="AW23" s="115">
        <f t="shared" si="57"/>
        <v>53842191</v>
      </c>
      <c r="AX23" s="115">
        <f t="shared" si="57"/>
        <v>355</v>
      </c>
      <c r="AY23" s="115">
        <f t="shared" si="57"/>
        <v>291</v>
      </c>
      <c r="AZ23" s="115">
        <f t="shared" si="57"/>
        <v>646</v>
      </c>
      <c r="BA23" s="115">
        <f t="shared" si="57"/>
        <v>16161643</v>
      </c>
      <c r="BB23" s="115">
        <f t="shared" si="57"/>
        <v>612</v>
      </c>
      <c r="BC23" s="115">
        <f t="shared" si="57"/>
        <v>11</v>
      </c>
      <c r="BD23" s="115">
        <f t="shared" si="57"/>
        <v>623</v>
      </c>
      <c r="BE23" s="115">
        <f t="shared" si="57"/>
        <v>44839953</v>
      </c>
      <c r="BF23" s="115">
        <f t="shared" si="57"/>
        <v>967</v>
      </c>
      <c r="BG23" s="115">
        <f t="shared" si="57"/>
        <v>302</v>
      </c>
      <c r="BH23" s="115">
        <f t="shared" si="57"/>
        <v>1269</v>
      </c>
      <c r="BI23" s="115">
        <f t="shared" si="57"/>
        <v>61001596</v>
      </c>
      <c r="BJ23" s="115">
        <f t="shared" si="57"/>
        <v>271</v>
      </c>
      <c r="BK23" s="115">
        <f t="shared" si="57"/>
        <v>283</v>
      </c>
      <c r="BL23" s="115">
        <f t="shared" si="57"/>
        <v>554</v>
      </c>
      <c r="BM23" s="115">
        <f t="shared" si="57"/>
        <v>14250310</v>
      </c>
      <c r="BN23" s="115">
        <f t="shared" si="57"/>
        <v>684</v>
      </c>
      <c r="BO23" s="115">
        <f t="shared" si="57"/>
        <v>7</v>
      </c>
      <c r="BP23" s="115">
        <f t="shared" si="57"/>
        <v>691</v>
      </c>
      <c r="BQ23" s="115">
        <f t="shared" si="57"/>
        <v>47463106</v>
      </c>
      <c r="BR23" s="115">
        <f t="shared" si="57"/>
        <v>955</v>
      </c>
      <c r="BS23" s="115">
        <f t="shared" si="57"/>
        <v>290</v>
      </c>
      <c r="BT23" s="115">
        <f t="shared" si="57"/>
        <v>1245</v>
      </c>
      <c r="BU23" s="115">
        <f t="shared" si="57"/>
        <v>61713416</v>
      </c>
      <c r="BV23" s="115">
        <f t="shared" si="57"/>
        <v>223</v>
      </c>
      <c r="BW23" s="115">
        <f t="shared" si="57"/>
        <v>351</v>
      </c>
      <c r="BX23" s="115">
        <f t="shared" si="57"/>
        <v>574</v>
      </c>
      <c r="BY23" s="115">
        <f t="shared" si="57"/>
        <v>18458375</v>
      </c>
      <c r="BZ23" s="115">
        <f t="shared" si="57"/>
        <v>600</v>
      </c>
      <c r="CA23" s="115">
        <f t="shared" si="57"/>
        <v>11</v>
      </c>
      <c r="CB23" s="115">
        <f t="shared" si="57"/>
        <v>611</v>
      </c>
      <c r="CC23" s="115">
        <f t="shared" si="57"/>
        <v>37570628</v>
      </c>
      <c r="CD23" s="115">
        <f t="shared" si="57"/>
        <v>823</v>
      </c>
      <c r="CE23" s="115">
        <f t="shared" si="57"/>
        <v>362</v>
      </c>
      <c r="CF23" s="115">
        <f t="shared" si="57"/>
        <v>1185</v>
      </c>
      <c r="CG23" s="115">
        <f t="shared" si="57"/>
        <v>56029003</v>
      </c>
      <c r="CH23" s="115">
        <f t="shared" si="57"/>
        <v>213</v>
      </c>
      <c r="CI23" s="115">
        <f t="shared" si="57"/>
        <v>316</v>
      </c>
      <c r="CJ23" s="115">
        <f t="shared" ref="CJ23:CO23" si="58">SUM(CJ4:CJ22)</f>
        <v>529</v>
      </c>
      <c r="CK23" s="115">
        <f t="shared" si="58"/>
        <v>17117140</v>
      </c>
      <c r="CL23" s="115">
        <f t="shared" si="58"/>
        <v>541</v>
      </c>
      <c r="CM23" s="115">
        <f t="shared" si="58"/>
        <v>5</v>
      </c>
      <c r="CN23" s="115">
        <f t="shared" si="58"/>
        <v>546</v>
      </c>
      <c r="CO23" s="115">
        <f t="shared" si="58"/>
        <v>40331818</v>
      </c>
      <c r="CP23" s="115">
        <f>SUM(CP4:CP22)</f>
        <v>754</v>
      </c>
      <c r="CQ23" s="115">
        <f t="shared" ref="CQ23:DE23" si="59">SUM(CQ4:CQ22)</f>
        <v>321</v>
      </c>
      <c r="CR23" s="115">
        <f t="shared" si="59"/>
        <v>1075</v>
      </c>
      <c r="CS23" s="115">
        <f t="shared" si="59"/>
        <v>57448958</v>
      </c>
      <c r="CT23" s="115">
        <f t="shared" si="59"/>
        <v>246</v>
      </c>
      <c r="CU23" s="115">
        <f t="shared" si="59"/>
        <v>285</v>
      </c>
      <c r="CV23" s="115">
        <f t="shared" si="59"/>
        <v>531</v>
      </c>
      <c r="CW23" s="115">
        <f t="shared" si="59"/>
        <v>22263821</v>
      </c>
      <c r="CX23" s="115">
        <f t="shared" si="59"/>
        <v>479</v>
      </c>
      <c r="CY23" s="115">
        <f t="shared" si="59"/>
        <v>14</v>
      </c>
      <c r="CZ23" s="115">
        <f t="shared" si="59"/>
        <v>493</v>
      </c>
      <c r="DA23" s="115">
        <f t="shared" si="59"/>
        <v>41344909</v>
      </c>
      <c r="DB23" s="115">
        <f t="shared" si="59"/>
        <v>725</v>
      </c>
      <c r="DC23" s="115">
        <f t="shared" si="59"/>
        <v>299</v>
      </c>
      <c r="DD23" s="115">
        <f t="shared" si="59"/>
        <v>1024</v>
      </c>
      <c r="DE23" s="115">
        <f t="shared" si="59"/>
        <v>63608730</v>
      </c>
      <c r="DF23" s="115">
        <f>SUM(DF4:DF22)</f>
        <v>272</v>
      </c>
      <c r="DG23" s="115">
        <f t="shared" ref="DG23:DQ23" si="60">SUM(DG4:DG22)</f>
        <v>323</v>
      </c>
      <c r="DH23" s="115">
        <f t="shared" si="60"/>
        <v>595</v>
      </c>
      <c r="DI23" s="115">
        <f t="shared" si="60"/>
        <v>18779588</v>
      </c>
      <c r="DJ23" s="115">
        <f t="shared" si="60"/>
        <v>517</v>
      </c>
      <c r="DK23" s="115">
        <f t="shared" si="60"/>
        <v>21</v>
      </c>
      <c r="DL23" s="115">
        <f t="shared" si="60"/>
        <v>538</v>
      </c>
      <c r="DM23" s="115">
        <f t="shared" si="60"/>
        <v>47557401</v>
      </c>
      <c r="DN23" s="115">
        <f t="shared" si="60"/>
        <v>789</v>
      </c>
      <c r="DO23" s="115">
        <f t="shared" si="60"/>
        <v>344</v>
      </c>
      <c r="DP23" s="115">
        <f t="shared" si="60"/>
        <v>1133</v>
      </c>
      <c r="DQ23" s="115">
        <f t="shared" si="60"/>
        <v>66336989</v>
      </c>
      <c r="DR23" s="115">
        <f>SUM(DR4:DR22)</f>
        <v>289</v>
      </c>
      <c r="DS23" s="115">
        <f t="shared" ref="DS23:EO23" si="61">SUM(DS4:DS22)</f>
        <v>292</v>
      </c>
      <c r="DT23" s="115">
        <f t="shared" si="61"/>
        <v>581</v>
      </c>
      <c r="DU23" s="115">
        <f t="shared" si="61"/>
        <v>18173290</v>
      </c>
      <c r="DV23" s="115">
        <f t="shared" si="61"/>
        <v>454</v>
      </c>
      <c r="DW23" s="115">
        <f t="shared" si="61"/>
        <v>16</v>
      </c>
      <c r="DX23" s="115">
        <f t="shared" si="61"/>
        <v>470</v>
      </c>
      <c r="DY23" s="115">
        <f t="shared" si="61"/>
        <v>40994374</v>
      </c>
      <c r="DZ23" s="115">
        <f t="shared" si="61"/>
        <v>743</v>
      </c>
      <c r="EA23" s="115">
        <f t="shared" si="61"/>
        <v>308</v>
      </c>
      <c r="EB23" s="115">
        <f t="shared" si="61"/>
        <v>1051</v>
      </c>
      <c r="EC23" s="115">
        <f t="shared" si="61"/>
        <v>59167664</v>
      </c>
      <c r="ED23" s="115">
        <f t="shared" si="61"/>
        <v>334</v>
      </c>
      <c r="EE23" s="115">
        <f t="shared" si="61"/>
        <v>421</v>
      </c>
      <c r="EF23" s="115">
        <f t="shared" si="61"/>
        <v>755</v>
      </c>
      <c r="EG23" s="115">
        <f t="shared" si="61"/>
        <v>24886890</v>
      </c>
      <c r="EH23" s="115">
        <f t="shared" si="61"/>
        <v>509</v>
      </c>
      <c r="EI23" s="115">
        <f t="shared" si="61"/>
        <v>21</v>
      </c>
      <c r="EJ23" s="115">
        <f t="shared" si="61"/>
        <v>530</v>
      </c>
      <c r="EK23" s="115">
        <f t="shared" si="61"/>
        <v>46697235</v>
      </c>
      <c r="EL23" s="115">
        <f t="shared" si="61"/>
        <v>843</v>
      </c>
      <c r="EM23" s="115">
        <f t="shared" si="61"/>
        <v>442</v>
      </c>
      <c r="EN23" s="115">
        <f t="shared" si="61"/>
        <v>1285</v>
      </c>
      <c r="EO23" s="115">
        <f t="shared" si="61"/>
        <v>71584125</v>
      </c>
    </row>
    <row r="24" spans="1:160" x14ac:dyDescent="0.3">
      <c r="M24" s="159"/>
      <c r="Y24" s="159"/>
      <c r="AK24" s="159"/>
      <c r="AW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  <c r="EP24" s="120"/>
      <c r="EQ24" s="120"/>
      <c r="ER24" s="120"/>
      <c r="ES24" s="120"/>
      <c r="ET24" s="120"/>
      <c r="EU24" s="120"/>
      <c r="EV24" s="120"/>
      <c r="EW24" s="120"/>
      <c r="EX24" s="120"/>
      <c r="EY24" s="120"/>
      <c r="EZ24" s="120"/>
      <c r="FA24" s="120"/>
      <c r="FB24" s="120"/>
      <c r="FC24" s="120"/>
      <c r="FD24" s="120"/>
    </row>
  </sheetData>
  <mergeCells count="49">
    <mergeCell ref="DR1:EC1"/>
    <mergeCell ref="DR2:DU2"/>
    <mergeCell ref="DV2:DY2"/>
    <mergeCell ref="DZ2:EC2"/>
    <mergeCell ref="ED1:EO1"/>
    <mergeCell ref="ED2:EG2"/>
    <mergeCell ref="EH2:EK2"/>
    <mergeCell ref="EL2:EO2"/>
    <mergeCell ref="B2:E2"/>
    <mergeCell ref="F2:I2"/>
    <mergeCell ref="N2:Q2"/>
    <mergeCell ref="R2:U2"/>
    <mergeCell ref="Z2:AC2"/>
    <mergeCell ref="J2:M2"/>
    <mergeCell ref="V2:Y2"/>
    <mergeCell ref="CL2:CO2"/>
    <mergeCell ref="CP2:CS2"/>
    <mergeCell ref="CH1:CS1"/>
    <mergeCell ref="CH2:CK2"/>
    <mergeCell ref="CD1:CG1"/>
    <mergeCell ref="CD2:CG2"/>
    <mergeCell ref="CT1:DE1"/>
    <mergeCell ref="CT2:CW2"/>
    <mergeCell ref="CX2:DA2"/>
    <mergeCell ref="DB2:DE2"/>
    <mergeCell ref="DF1:DQ1"/>
    <mergeCell ref="DF2:DI2"/>
    <mergeCell ref="DJ2:DM2"/>
    <mergeCell ref="DN2:DQ2"/>
    <mergeCell ref="B1:M1"/>
    <mergeCell ref="N1:Y1"/>
    <mergeCell ref="Z1:AK1"/>
    <mergeCell ref="AL1:AW1"/>
    <mergeCell ref="AX1:BI1"/>
    <mergeCell ref="AD2:AG2"/>
    <mergeCell ref="BJ2:BM2"/>
    <mergeCell ref="BR2:BU2"/>
    <mergeCell ref="BJ1:BU1"/>
    <mergeCell ref="BV1:CC1"/>
    <mergeCell ref="AP2:AS2"/>
    <mergeCell ref="AX2:BA2"/>
    <mergeCell ref="BB2:BE2"/>
    <mergeCell ref="BV2:BY2"/>
    <mergeCell ref="BZ2:CC2"/>
    <mergeCell ref="AH2:AK2"/>
    <mergeCell ref="AT2:AW2"/>
    <mergeCell ref="BF2:BI2"/>
    <mergeCell ref="AL2:AO2"/>
    <mergeCell ref="BN2:BQ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5B2A-0D45-40B8-9765-1E1BCEAD57D0}">
  <dimension ref="A1:BF4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RowHeight="14.4" x14ac:dyDescent="0.3"/>
  <cols>
    <col min="1" max="1" width="29" bestFit="1" customWidth="1"/>
    <col min="2" max="2" width="7" bestFit="1" customWidth="1"/>
    <col min="3" max="3" width="5.44140625" bestFit="1" customWidth="1"/>
    <col min="4" max="4" width="6.5546875" style="7" bestFit="1" customWidth="1"/>
    <col min="5" max="5" width="10.77734375" bestFit="1" customWidth="1"/>
    <col min="6" max="6" width="7.77734375" bestFit="1" customWidth="1"/>
    <col min="7" max="7" width="5.88671875" bestFit="1" customWidth="1"/>
    <col min="8" max="8" width="6.5546875" style="7" bestFit="1" customWidth="1"/>
    <col min="9" max="9" width="10.77734375" bestFit="1" customWidth="1"/>
    <col min="10" max="10" width="6.88671875" bestFit="1" customWidth="1"/>
    <col min="11" max="11" width="5.44140625" bestFit="1" customWidth="1"/>
    <col min="12" max="12" width="6.5546875" style="7" bestFit="1" customWidth="1"/>
    <col min="13" max="13" width="10.77734375" bestFit="1" customWidth="1"/>
    <col min="14" max="14" width="6.33203125" bestFit="1" customWidth="1"/>
    <col min="15" max="15" width="5.44140625" bestFit="1" customWidth="1"/>
    <col min="16" max="16" width="6.5546875" style="7" bestFit="1" customWidth="1"/>
    <col min="17" max="17" width="10.77734375" bestFit="1" customWidth="1"/>
    <col min="18" max="18" width="7.33203125" bestFit="1" customWidth="1"/>
    <col min="19" max="19" width="5.44140625" bestFit="1" customWidth="1"/>
    <col min="20" max="20" width="6.5546875" style="7" bestFit="1" customWidth="1"/>
    <col min="21" max="21" width="10.77734375" bestFit="1" customWidth="1"/>
    <col min="22" max="22" width="7" bestFit="1" customWidth="1"/>
    <col min="23" max="23" width="5.44140625" bestFit="1" customWidth="1"/>
    <col min="24" max="24" width="6.5546875" style="7" bestFit="1" customWidth="1"/>
    <col min="25" max="25" width="10.77734375" bestFit="1" customWidth="1"/>
    <col min="26" max="26" width="6.88671875" bestFit="1" customWidth="1"/>
    <col min="27" max="27" width="5.44140625" bestFit="1" customWidth="1"/>
    <col min="28" max="28" width="6.5546875" style="7" bestFit="1" customWidth="1"/>
    <col min="29" max="29" width="10.77734375" bestFit="1" customWidth="1"/>
    <col min="30" max="30" width="7.33203125" bestFit="1" customWidth="1"/>
    <col min="31" max="31" width="5.44140625" bestFit="1" customWidth="1"/>
    <col min="32" max="32" width="6.5546875" style="7" bestFit="1" customWidth="1"/>
    <col min="33" max="33" width="10.77734375" bestFit="1" customWidth="1"/>
    <col min="34" max="34" width="7.109375" bestFit="1" customWidth="1"/>
    <col min="35" max="35" width="5.44140625" bestFit="1" customWidth="1"/>
    <col min="36" max="36" width="6.5546875" style="7" bestFit="1" customWidth="1"/>
    <col min="37" max="37" width="10.77734375" bestFit="1" customWidth="1"/>
    <col min="38" max="38" width="6.88671875" bestFit="1" customWidth="1"/>
    <col min="39" max="39" width="5.44140625" bestFit="1" customWidth="1"/>
    <col min="40" max="40" width="6.5546875" style="7" bestFit="1" customWidth="1"/>
    <col min="41" max="41" width="10.77734375" bestFit="1" customWidth="1"/>
    <col min="42" max="42" width="7" bestFit="1" customWidth="1"/>
    <col min="43" max="43" width="5.44140625" bestFit="1" customWidth="1"/>
    <col min="44" max="44" width="6.5546875" style="7" bestFit="1" customWidth="1"/>
    <col min="45" max="45" width="10.77734375" bestFit="1" customWidth="1"/>
    <col min="46" max="46" width="7.5546875" bestFit="1" customWidth="1"/>
    <col min="47" max="47" width="5.44140625" bestFit="1" customWidth="1"/>
    <col min="48" max="48" width="6.5546875" style="7" bestFit="1" customWidth="1"/>
    <col min="49" max="49" width="10.77734375" bestFit="1" customWidth="1"/>
    <col min="50" max="50" width="15.33203125" bestFit="1" customWidth="1"/>
    <col min="51" max="51" width="6.33203125" bestFit="1" customWidth="1"/>
    <col min="52" max="52" width="8.21875" bestFit="1" customWidth="1"/>
    <col min="53" max="53" width="11.88671875" bestFit="1" customWidth="1"/>
    <col min="54" max="54" width="1.5546875" customWidth="1"/>
    <col min="55" max="55" width="5.44140625" bestFit="1" customWidth="1"/>
    <col min="56" max="56" width="5.44140625" customWidth="1"/>
    <col min="57" max="57" width="6.5546875" bestFit="1" customWidth="1"/>
    <col min="58" max="58" width="11.109375" bestFit="1" customWidth="1"/>
    <col min="59" max="60" width="5.77734375" bestFit="1" customWidth="1"/>
    <col min="61" max="62" width="5.33203125" bestFit="1" customWidth="1"/>
    <col min="63" max="64" width="5.77734375" bestFit="1" customWidth="1"/>
    <col min="65" max="65" width="4.88671875" bestFit="1" customWidth="1"/>
    <col min="66" max="68" width="5.33203125" bestFit="1" customWidth="1"/>
    <col min="69" max="70" width="5.77734375" bestFit="1" customWidth="1"/>
    <col min="71" max="71" width="5.33203125" bestFit="1" customWidth="1"/>
    <col min="72" max="72" width="5.33203125" customWidth="1"/>
    <col min="73" max="73" width="5.21875" bestFit="1" customWidth="1"/>
    <col min="74" max="74" width="5.33203125" bestFit="1" customWidth="1"/>
    <col min="75" max="75" width="5" bestFit="1" customWidth="1"/>
    <col min="76" max="76" width="5.33203125" bestFit="1" customWidth="1"/>
    <col min="77" max="87" width="6.6640625" bestFit="1" customWidth="1"/>
  </cols>
  <sheetData>
    <row r="1" spans="1:58" ht="16.2" thickBot="1" x14ac:dyDescent="0.35">
      <c r="A1" s="384" t="s">
        <v>66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5"/>
      <c r="AO1" s="385"/>
      <c r="AP1" s="385"/>
      <c r="AQ1" s="385"/>
      <c r="AR1" s="385"/>
      <c r="AS1" s="385"/>
      <c r="AT1" s="385"/>
      <c r="AU1" s="385"/>
      <c r="AV1" s="385"/>
      <c r="AW1" s="386"/>
      <c r="AX1" s="387" t="s">
        <v>51</v>
      </c>
      <c r="AY1" s="388"/>
      <c r="AZ1" s="388"/>
      <c r="BA1" s="389"/>
    </row>
    <row r="2" spans="1:58" ht="16.2" thickBot="1" x14ac:dyDescent="0.35">
      <c r="A2" s="165" t="s">
        <v>65</v>
      </c>
      <c r="B2" s="166">
        <v>45017</v>
      </c>
      <c r="C2" s="124"/>
      <c r="D2" s="124"/>
      <c r="E2" s="124"/>
      <c r="F2" s="166">
        <v>45047</v>
      </c>
      <c r="G2" s="124"/>
      <c r="H2" s="124"/>
      <c r="I2" s="124"/>
      <c r="J2" s="166">
        <v>45078</v>
      </c>
      <c r="K2" s="124"/>
      <c r="L2" s="124"/>
      <c r="M2" s="124"/>
      <c r="N2" s="166">
        <v>45108</v>
      </c>
      <c r="O2" s="124"/>
      <c r="P2" s="124"/>
      <c r="Q2" s="124"/>
      <c r="R2" s="166">
        <v>45139</v>
      </c>
      <c r="S2" s="124"/>
      <c r="T2" s="124"/>
      <c r="U2" s="124"/>
      <c r="V2" s="166">
        <v>45170</v>
      </c>
      <c r="W2" s="124"/>
      <c r="X2" s="124"/>
      <c r="Y2" s="124"/>
      <c r="Z2" s="166">
        <v>45200</v>
      </c>
      <c r="AA2" s="124"/>
      <c r="AB2" s="124"/>
      <c r="AC2" s="124"/>
      <c r="AD2" s="166">
        <v>45231</v>
      </c>
      <c r="AE2" s="124"/>
      <c r="AF2" s="124"/>
      <c r="AG2" s="124"/>
      <c r="AH2" s="166">
        <v>45261</v>
      </c>
      <c r="AI2" s="124"/>
      <c r="AJ2" s="124"/>
      <c r="AK2" s="124"/>
      <c r="AL2" s="166">
        <v>45292</v>
      </c>
      <c r="AM2" s="124"/>
      <c r="AN2" s="124"/>
      <c r="AO2" s="124"/>
      <c r="AP2" s="166">
        <v>45323</v>
      </c>
      <c r="AQ2" s="124"/>
      <c r="AR2" s="124"/>
      <c r="AS2" s="124"/>
      <c r="AT2" s="166">
        <v>45352</v>
      </c>
      <c r="AU2" s="124"/>
      <c r="AV2" s="124"/>
      <c r="AW2" s="124"/>
      <c r="AX2" s="125" t="s">
        <v>17</v>
      </c>
      <c r="AY2" s="126"/>
      <c r="AZ2" s="126"/>
      <c r="BA2" s="127"/>
      <c r="BC2" s="62" t="s">
        <v>15</v>
      </c>
      <c r="BD2" s="61" t="s">
        <v>16</v>
      </c>
      <c r="BE2" s="61" t="s">
        <v>14</v>
      </c>
    </row>
    <row r="3" spans="1:58" ht="15.6" x14ac:dyDescent="0.3">
      <c r="A3" s="128" t="s">
        <v>26</v>
      </c>
      <c r="B3" s="129" t="s">
        <v>15</v>
      </c>
      <c r="C3" s="130" t="s">
        <v>16</v>
      </c>
      <c r="D3" s="130" t="s">
        <v>14</v>
      </c>
      <c r="E3" s="130" t="s">
        <v>22</v>
      </c>
      <c r="F3" s="129" t="s">
        <v>15</v>
      </c>
      <c r="G3" s="130" t="s">
        <v>16</v>
      </c>
      <c r="H3" s="130" t="s">
        <v>14</v>
      </c>
      <c r="I3" s="130" t="s">
        <v>22</v>
      </c>
      <c r="J3" s="129" t="s">
        <v>15</v>
      </c>
      <c r="K3" s="130" t="s">
        <v>16</v>
      </c>
      <c r="L3" s="130" t="s">
        <v>14</v>
      </c>
      <c r="M3" s="130" t="s">
        <v>22</v>
      </c>
      <c r="N3" s="129" t="s">
        <v>15</v>
      </c>
      <c r="O3" s="130" t="s">
        <v>16</v>
      </c>
      <c r="P3" s="130" t="s">
        <v>14</v>
      </c>
      <c r="Q3" s="130" t="s">
        <v>22</v>
      </c>
      <c r="R3" s="129" t="s">
        <v>15</v>
      </c>
      <c r="S3" s="130" t="s">
        <v>16</v>
      </c>
      <c r="T3" s="130" t="s">
        <v>14</v>
      </c>
      <c r="U3" s="130" t="s">
        <v>22</v>
      </c>
      <c r="V3" s="129" t="s">
        <v>15</v>
      </c>
      <c r="W3" s="130" t="s">
        <v>16</v>
      </c>
      <c r="X3" s="130" t="s">
        <v>14</v>
      </c>
      <c r="Y3" s="130" t="s">
        <v>22</v>
      </c>
      <c r="Z3" s="129" t="s">
        <v>15</v>
      </c>
      <c r="AA3" s="130" t="s">
        <v>16</v>
      </c>
      <c r="AB3" s="130" t="s">
        <v>14</v>
      </c>
      <c r="AC3" s="130" t="s">
        <v>22</v>
      </c>
      <c r="AD3" s="129" t="s">
        <v>15</v>
      </c>
      <c r="AE3" s="130" t="s">
        <v>16</v>
      </c>
      <c r="AF3" s="130" t="s">
        <v>14</v>
      </c>
      <c r="AG3" s="130" t="s">
        <v>22</v>
      </c>
      <c r="AH3" s="129" t="s">
        <v>15</v>
      </c>
      <c r="AI3" s="130" t="s">
        <v>16</v>
      </c>
      <c r="AJ3" s="130" t="s">
        <v>14</v>
      </c>
      <c r="AK3" s="130" t="s">
        <v>22</v>
      </c>
      <c r="AL3" s="129" t="s">
        <v>15</v>
      </c>
      <c r="AM3" s="130" t="s">
        <v>16</v>
      </c>
      <c r="AN3" s="130" t="s">
        <v>14</v>
      </c>
      <c r="AO3" s="130" t="s">
        <v>22</v>
      </c>
      <c r="AP3" s="129" t="s">
        <v>15</v>
      </c>
      <c r="AQ3" s="130" t="s">
        <v>16</v>
      </c>
      <c r="AR3" s="130" t="s">
        <v>14</v>
      </c>
      <c r="AS3" s="130" t="s">
        <v>22</v>
      </c>
      <c r="AT3" s="129" t="s">
        <v>15</v>
      </c>
      <c r="AU3" s="130" t="s">
        <v>16</v>
      </c>
      <c r="AV3" s="130" t="s">
        <v>14</v>
      </c>
      <c r="AW3" s="130" t="s">
        <v>22</v>
      </c>
      <c r="AX3" s="129" t="s">
        <v>15</v>
      </c>
      <c r="AY3" s="130" t="s">
        <v>16</v>
      </c>
      <c r="AZ3" s="130" t="s">
        <v>67</v>
      </c>
      <c r="BA3" s="131" t="s">
        <v>22</v>
      </c>
      <c r="BC3" s="121">
        <f t="shared" ref="BC3:BC38" si="0">B4+F4+J4</f>
        <v>133</v>
      </c>
      <c r="BD3" s="121">
        <f t="shared" ref="BD3:BD38" si="1">C4+G4+K4</f>
        <v>62</v>
      </c>
      <c r="BE3" s="121">
        <f t="shared" ref="BE3:BE38" si="2">D4+H4+L4</f>
        <v>195</v>
      </c>
      <c r="BF3">
        <f t="shared" ref="BF3:BF38" si="3">E4+I4+M4</f>
        <v>6516540</v>
      </c>
    </row>
    <row r="4" spans="1:58" x14ac:dyDescent="0.3">
      <c r="A4" s="132" t="s">
        <v>4</v>
      </c>
      <c r="B4" s="133">
        <v>48</v>
      </c>
      <c r="C4" s="134">
        <v>20</v>
      </c>
      <c r="D4" s="135">
        <f t="shared" ref="D4:D16" si="4">SUM(B4:C4)</f>
        <v>68</v>
      </c>
      <c r="E4" s="134">
        <v>2498990</v>
      </c>
      <c r="F4" s="133">
        <v>40</v>
      </c>
      <c r="G4" s="134">
        <v>16</v>
      </c>
      <c r="H4" s="135">
        <f>F4+G4</f>
        <v>56</v>
      </c>
      <c r="I4" s="134">
        <v>1711200</v>
      </c>
      <c r="J4" s="133">
        <v>45</v>
      </c>
      <c r="K4" s="134">
        <v>26</v>
      </c>
      <c r="L4" s="135">
        <f>J4+K4</f>
        <v>71</v>
      </c>
      <c r="M4" s="134">
        <v>2306350</v>
      </c>
      <c r="N4" s="133">
        <v>46</v>
      </c>
      <c r="O4" s="134">
        <v>16</v>
      </c>
      <c r="P4" s="135">
        <f>N4+O4</f>
        <v>62</v>
      </c>
      <c r="Q4" s="134">
        <v>2044890</v>
      </c>
      <c r="R4" s="133">
        <v>27</v>
      </c>
      <c r="S4" s="134">
        <v>15</v>
      </c>
      <c r="T4" s="135">
        <f>R4+S4</f>
        <v>42</v>
      </c>
      <c r="U4" s="134">
        <v>1805390</v>
      </c>
      <c r="V4" s="133">
        <v>31</v>
      </c>
      <c r="W4" s="134">
        <v>14</v>
      </c>
      <c r="X4" s="135">
        <f>V4+W4</f>
        <v>45</v>
      </c>
      <c r="Y4" s="134">
        <v>1960010</v>
      </c>
      <c r="Z4" s="133">
        <v>28</v>
      </c>
      <c r="AA4" s="134">
        <v>16</v>
      </c>
      <c r="AB4" s="135">
        <f>Z4+AA4</f>
        <v>44</v>
      </c>
      <c r="AC4" s="134">
        <v>1418765</v>
      </c>
      <c r="AD4" s="133">
        <v>19</v>
      </c>
      <c r="AE4" s="134">
        <v>19</v>
      </c>
      <c r="AF4" s="135">
        <f>AD4+AE4</f>
        <v>38</v>
      </c>
      <c r="AG4" s="134">
        <v>742540</v>
      </c>
      <c r="AH4" s="133">
        <v>45</v>
      </c>
      <c r="AI4" s="134">
        <v>20</v>
      </c>
      <c r="AJ4" s="135">
        <f>AH4+AI4</f>
        <v>65</v>
      </c>
      <c r="AK4" s="134">
        <v>1993870</v>
      </c>
      <c r="AL4" s="133">
        <v>53</v>
      </c>
      <c r="AM4" s="134">
        <v>18</v>
      </c>
      <c r="AN4" s="135">
        <f>AL4+AM4</f>
        <v>71</v>
      </c>
      <c r="AO4" s="134">
        <v>4279800</v>
      </c>
      <c r="AP4" s="133">
        <v>40</v>
      </c>
      <c r="AQ4" s="134">
        <v>13</v>
      </c>
      <c r="AR4" s="135">
        <f>AP4+AQ4</f>
        <v>53</v>
      </c>
      <c r="AS4" s="134">
        <v>2653840</v>
      </c>
      <c r="AT4" s="133">
        <v>31</v>
      </c>
      <c r="AU4" s="136">
        <v>14</v>
      </c>
      <c r="AV4" s="137">
        <f>AT4+AU4</f>
        <v>45</v>
      </c>
      <c r="AW4" s="136">
        <v>1958940</v>
      </c>
      <c r="AX4" s="137">
        <f>B4+F4+J4+N4+R4+V4+Z4+AD4+AH4+AL4+AP4+AT4</f>
        <v>453</v>
      </c>
      <c r="AY4" s="135">
        <f t="shared" ref="AY4:BA18" si="5">C4+G4+K4+O4+S4+W4+AA4+AE4+AI4+AM4+AQ4+AU4</f>
        <v>207</v>
      </c>
      <c r="AZ4" s="135">
        <f t="shared" si="5"/>
        <v>660</v>
      </c>
      <c r="BA4" s="138">
        <f t="shared" si="5"/>
        <v>25374585</v>
      </c>
      <c r="BC4" s="121">
        <f t="shared" si="0"/>
        <v>44</v>
      </c>
      <c r="BD4" s="121">
        <f t="shared" si="1"/>
        <v>16</v>
      </c>
      <c r="BE4" s="121">
        <f t="shared" si="2"/>
        <v>60</v>
      </c>
      <c r="BF4">
        <f t="shared" si="3"/>
        <v>1413650</v>
      </c>
    </row>
    <row r="5" spans="1:58" x14ac:dyDescent="0.3">
      <c r="A5" s="132" t="s">
        <v>8</v>
      </c>
      <c r="B5" s="133">
        <v>17</v>
      </c>
      <c r="C5" s="134">
        <v>7</v>
      </c>
      <c r="D5" s="135">
        <f t="shared" si="4"/>
        <v>24</v>
      </c>
      <c r="E5" s="134">
        <v>698100</v>
      </c>
      <c r="F5" s="133">
        <v>9</v>
      </c>
      <c r="G5" s="134">
        <v>5</v>
      </c>
      <c r="H5" s="135">
        <f t="shared" ref="H5:H18" si="6">F5+G5</f>
        <v>14</v>
      </c>
      <c r="I5" s="134">
        <v>210700</v>
      </c>
      <c r="J5" s="133">
        <v>18</v>
      </c>
      <c r="K5" s="134">
        <v>4</v>
      </c>
      <c r="L5" s="135">
        <f t="shared" ref="L5:L18" si="7">J5+K5</f>
        <v>22</v>
      </c>
      <c r="M5" s="134">
        <v>504850</v>
      </c>
      <c r="N5" s="133">
        <v>15</v>
      </c>
      <c r="O5" s="134">
        <v>7</v>
      </c>
      <c r="P5" s="135">
        <f t="shared" ref="P5:P18" si="8">N5+O5</f>
        <v>22</v>
      </c>
      <c r="Q5" s="134">
        <v>575000</v>
      </c>
      <c r="R5" s="133">
        <v>15</v>
      </c>
      <c r="S5" s="134">
        <v>5</v>
      </c>
      <c r="T5" s="135">
        <f t="shared" ref="T5:T18" si="9">R5+S5</f>
        <v>20</v>
      </c>
      <c r="U5" s="134">
        <v>724100</v>
      </c>
      <c r="V5" s="133">
        <v>18</v>
      </c>
      <c r="W5" s="134">
        <v>6</v>
      </c>
      <c r="X5" s="135">
        <f t="shared" ref="X5:X18" si="10">V5+W5</f>
        <v>24</v>
      </c>
      <c r="Y5" s="134">
        <v>474400</v>
      </c>
      <c r="Z5" s="133">
        <v>15</v>
      </c>
      <c r="AA5" s="134">
        <v>2</v>
      </c>
      <c r="AB5" s="135">
        <f t="shared" ref="AB5:AB18" si="11">Z5+AA5</f>
        <v>17</v>
      </c>
      <c r="AC5" s="134">
        <v>384100</v>
      </c>
      <c r="AD5" s="133">
        <v>12</v>
      </c>
      <c r="AE5" s="134">
        <v>7</v>
      </c>
      <c r="AF5" s="135">
        <f t="shared" ref="AF5:AF18" si="12">AD5+AE5</f>
        <v>19</v>
      </c>
      <c r="AG5" s="134">
        <v>657100</v>
      </c>
      <c r="AH5" s="133">
        <v>21</v>
      </c>
      <c r="AI5" s="134">
        <v>6</v>
      </c>
      <c r="AJ5" s="135">
        <f t="shared" ref="AJ5:AJ18" si="13">AH5+AI5</f>
        <v>27</v>
      </c>
      <c r="AK5" s="134">
        <v>963560</v>
      </c>
      <c r="AL5" s="133">
        <v>11</v>
      </c>
      <c r="AM5" s="134">
        <v>11</v>
      </c>
      <c r="AN5" s="135">
        <f t="shared" ref="AN5:AN18" si="14">AL5+AM5</f>
        <v>22</v>
      </c>
      <c r="AO5" s="134">
        <v>442100</v>
      </c>
      <c r="AP5" s="133">
        <v>17</v>
      </c>
      <c r="AQ5" s="134">
        <v>12</v>
      </c>
      <c r="AR5" s="135">
        <f t="shared" ref="AR5:AR18" si="15">AP5+AQ5</f>
        <v>29</v>
      </c>
      <c r="AS5" s="134">
        <v>644700</v>
      </c>
      <c r="AT5" s="133">
        <v>14</v>
      </c>
      <c r="AU5" s="136">
        <v>14</v>
      </c>
      <c r="AV5" s="137">
        <f t="shared" ref="AV5:AV18" si="16">AT5+AU5</f>
        <v>28</v>
      </c>
      <c r="AW5" s="136">
        <v>634175</v>
      </c>
      <c r="AX5" s="137">
        <f t="shared" ref="AX5:AX18" si="17">B5+F5+J5+N5+R5+V5+Z5+AD5+AH5+AL5+AP5+AT5</f>
        <v>182</v>
      </c>
      <c r="AY5" s="135">
        <f t="shared" si="5"/>
        <v>86</v>
      </c>
      <c r="AZ5" s="135">
        <f t="shared" si="5"/>
        <v>268</v>
      </c>
      <c r="BA5" s="138">
        <f t="shared" si="5"/>
        <v>6912885</v>
      </c>
      <c r="BC5" s="121">
        <f t="shared" si="0"/>
        <v>47</v>
      </c>
      <c r="BD5" s="121">
        <f t="shared" si="1"/>
        <v>29</v>
      </c>
      <c r="BE5" s="121">
        <f t="shared" si="2"/>
        <v>76</v>
      </c>
      <c r="BF5">
        <f t="shared" si="3"/>
        <v>1995200</v>
      </c>
    </row>
    <row r="6" spans="1:58" x14ac:dyDescent="0.3">
      <c r="A6" s="132" t="s">
        <v>7</v>
      </c>
      <c r="B6" s="133">
        <v>9</v>
      </c>
      <c r="C6" s="134">
        <v>11</v>
      </c>
      <c r="D6" s="135">
        <f t="shared" si="4"/>
        <v>20</v>
      </c>
      <c r="E6" s="134">
        <v>381300</v>
      </c>
      <c r="F6" s="133">
        <v>20</v>
      </c>
      <c r="G6" s="134">
        <v>10</v>
      </c>
      <c r="H6" s="135">
        <f t="shared" si="6"/>
        <v>30</v>
      </c>
      <c r="I6" s="134">
        <v>701150</v>
      </c>
      <c r="J6" s="133">
        <v>18</v>
      </c>
      <c r="K6" s="134">
        <v>8</v>
      </c>
      <c r="L6" s="135">
        <f t="shared" si="7"/>
        <v>26</v>
      </c>
      <c r="M6" s="134">
        <v>912750</v>
      </c>
      <c r="N6" s="133">
        <v>17</v>
      </c>
      <c r="O6" s="134">
        <v>9</v>
      </c>
      <c r="P6" s="135">
        <f t="shared" si="8"/>
        <v>26</v>
      </c>
      <c r="Q6" s="134">
        <v>1205200</v>
      </c>
      <c r="R6" s="133">
        <v>22</v>
      </c>
      <c r="S6" s="134">
        <v>11</v>
      </c>
      <c r="T6" s="135">
        <f t="shared" si="9"/>
        <v>33</v>
      </c>
      <c r="U6" s="134">
        <v>1398050</v>
      </c>
      <c r="V6" s="133">
        <v>11</v>
      </c>
      <c r="W6" s="134">
        <v>2</v>
      </c>
      <c r="X6" s="135">
        <f t="shared" si="10"/>
        <v>13</v>
      </c>
      <c r="Y6" s="134">
        <v>429300</v>
      </c>
      <c r="Z6" s="133">
        <v>7</v>
      </c>
      <c r="AA6" s="134">
        <v>6</v>
      </c>
      <c r="AB6" s="135">
        <f t="shared" si="11"/>
        <v>13</v>
      </c>
      <c r="AC6" s="134">
        <v>325900</v>
      </c>
      <c r="AD6" s="133">
        <v>5</v>
      </c>
      <c r="AE6" s="134">
        <v>9</v>
      </c>
      <c r="AF6" s="135">
        <f t="shared" si="12"/>
        <v>14</v>
      </c>
      <c r="AG6" s="134">
        <v>286200</v>
      </c>
      <c r="AH6" s="133">
        <v>9</v>
      </c>
      <c r="AI6" s="134">
        <v>12</v>
      </c>
      <c r="AJ6" s="135">
        <f t="shared" si="13"/>
        <v>21</v>
      </c>
      <c r="AK6" s="134">
        <v>372100</v>
      </c>
      <c r="AL6" s="133">
        <v>15</v>
      </c>
      <c r="AM6" s="134">
        <v>7</v>
      </c>
      <c r="AN6" s="135">
        <f t="shared" si="14"/>
        <v>22</v>
      </c>
      <c r="AO6" s="134">
        <v>603220</v>
      </c>
      <c r="AP6" s="133">
        <v>18</v>
      </c>
      <c r="AQ6" s="134">
        <v>8</v>
      </c>
      <c r="AR6" s="135">
        <f t="shared" si="15"/>
        <v>26</v>
      </c>
      <c r="AS6" s="134">
        <v>742385</v>
      </c>
      <c r="AT6" s="133">
        <v>12</v>
      </c>
      <c r="AU6" s="136">
        <v>14</v>
      </c>
      <c r="AV6" s="137">
        <f t="shared" si="16"/>
        <v>26</v>
      </c>
      <c r="AW6" s="136">
        <v>690300</v>
      </c>
      <c r="AX6" s="137">
        <f t="shared" si="17"/>
        <v>163</v>
      </c>
      <c r="AY6" s="135">
        <f t="shared" si="5"/>
        <v>107</v>
      </c>
      <c r="AZ6" s="135">
        <f t="shared" si="5"/>
        <v>270</v>
      </c>
      <c r="BA6" s="138">
        <f t="shared" si="5"/>
        <v>8047855</v>
      </c>
      <c r="BC6" s="121">
        <f t="shared" si="0"/>
        <v>6</v>
      </c>
      <c r="BD6" s="121">
        <f t="shared" si="1"/>
        <v>6</v>
      </c>
      <c r="BE6" s="121">
        <f t="shared" si="2"/>
        <v>12</v>
      </c>
      <c r="BF6">
        <f t="shared" si="3"/>
        <v>144600</v>
      </c>
    </row>
    <row r="7" spans="1:58" x14ac:dyDescent="0.3">
      <c r="A7" s="132" t="s">
        <v>13</v>
      </c>
      <c r="B7" s="133">
        <v>1</v>
      </c>
      <c r="C7" s="134">
        <v>3</v>
      </c>
      <c r="D7" s="135">
        <f t="shared" si="4"/>
        <v>4</v>
      </c>
      <c r="E7" s="134">
        <v>13200</v>
      </c>
      <c r="F7" s="133">
        <v>3</v>
      </c>
      <c r="G7" s="134">
        <v>3</v>
      </c>
      <c r="H7" s="135">
        <f t="shared" si="6"/>
        <v>6</v>
      </c>
      <c r="I7" s="134">
        <v>52700</v>
      </c>
      <c r="J7" s="133">
        <v>2</v>
      </c>
      <c r="K7" s="134">
        <v>0</v>
      </c>
      <c r="L7" s="135">
        <f t="shared" si="7"/>
        <v>2</v>
      </c>
      <c r="M7" s="134">
        <v>78700</v>
      </c>
      <c r="N7" s="133">
        <v>3</v>
      </c>
      <c r="O7" s="134">
        <v>2</v>
      </c>
      <c r="P7" s="135">
        <f t="shared" si="8"/>
        <v>5</v>
      </c>
      <c r="Q7" s="134">
        <v>164800</v>
      </c>
      <c r="R7" s="133">
        <v>4</v>
      </c>
      <c r="S7" s="134">
        <v>0</v>
      </c>
      <c r="T7" s="135">
        <f t="shared" si="9"/>
        <v>4</v>
      </c>
      <c r="U7" s="134">
        <v>189400</v>
      </c>
      <c r="V7" s="133">
        <v>4</v>
      </c>
      <c r="W7" s="134">
        <v>2</v>
      </c>
      <c r="X7" s="135">
        <f t="shared" si="10"/>
        <v>6</v>
      </c>
      <c r="Y7" s="134">
        <v>114200</v>
      </c>
      <c r="Z7" s="133">
        <v>5</v>
      </c>
      <c r="AA7" s="134">
        <v>3</v>
      </c>
      <c r="AB7" s="135">
        <f t="shared" si="11"/>
        <v>8</v>
      </c>
      <c r="AC7" s="134">
        <v>211110</v>
      </c>
      <c r="AD7" s="133">
        <v>3</v>
      </c>
      <c r="AE7" s="134">
        <v>2</v>
      </c>
      <c r="AF7" s="135">
        <f t="shared" si="12"/>
        <v>5</v>
      </c>
      <c r="AG7" s="134">
        <v>197400</v>
      </c>
      <c r="AH7" s="133">
        <v>4</v>
      </c>
      <c r="AI7" s="134">
        <v>6</v>
      </c>
      <c r="AJ7" s="135">
        <f t="shared" si="13"/>
        <v>10</v>
      </c>
      <c r="AK7" s="134">
        <v>160400</v>
      </c>
      <c r="AL7" s="133">
        <v>10</v>
      </c>
      <c r="AM7" s="134">
        <v>5</v>
      </c>
      <c r="AN7" s="135">
        <f t="shared" si="14"/>
        <v>15</v>
      </c>
      <c r="AO7" s="134">
        <v>361300</v>
      </c>
      <c r="AP7" s="133">
        <v>5</v>
      </c>
      <c r="AQ7" s="134">
        <v>9</v>
      </c>
      <c r="AR7" s="135">
        <f t="shared" si="15"/>
        <v>14</v>
      </c>
      <c r="AS7" s="134">
        <v>262700</v>
      </c>
      <c r="AT7" s="133">
        <v>7</v>
      </c>
      <c r="AU7" s="136">
        <v>4</v>
      </c>
      <c r="AV7" s="137">
        <f t="shared" si="16"/>
        <v>11</v>
      </c>
      <c r="AW7" s="136">
        <v>197200</v>
      </c>
      <c r="AX7" s="137">
        <f t="shared" si="17"/>
        <v>51</v>
      </c>
      <c r="AY7" s="135">
        <f t="shared" si="5"/>
        <v>39</v>
      </c>
      <c r="AZ7" s="135">
        <f t="shared" si="5"/>
        <v>90</v>
      </c>
      <c r="BA7" s="138">
        <f t="shared" si="5"/>
        <v>2003110</v>
      </c>
      <c r="BC7" s="121">
        <f t="shared" si="0"/>
        <v>86</v>
      </c>
      <c r="BD7" s="121">
        <f t="shared" si="1"/>
        <v>34</v>
      </c>
      <c r="BE7" s="121">
        <f t="shared" si="2"/>
        <v>120</v>
      </c>
      <c r="BF7">
        <f t="shared" si="3"/>
        <v>4359300</v>
      </c>
    </row>
    <row r="8" spans="1:58" x14ac:dyDescent="0.3">
      <c r="A8" s="132" t="s">
        <v>127</v>
      </c>
      <c r="B8" s="133">
        <v>24</v>
      </c>
      <c r="C8" s="134">
        <v>15</v>
      </c>
      <c r="D8" s="135">
        <f t="shared" si="4"/>
        <v>39</v>
      </c>
      <c r="E8" s="134">
        <v>1196800</v>
      </c>
      <c r="F8" s="133">
        <v>36</v>
      </c>
      <c r="G8" s="134">
        <v>5</v>
      </c>
      <c r="H8" s="135">
        <f t="shared" si="6"/>
        <v>41</v>
      </c>
      <c r="I8" s="134">
        <v>1903600</v>
      </c>
      <c r="J8" s="133">
        <v>26</v>
      </c>
      <c r="K8" s="134">
        <v>14</v>
      </c>
      <c r="L8" s="135">
        <f t="shared" si="7"/>
        <v>40</v>
      </c>
      <c r="M8" s="134">
        <v>1258900</v>
      </c>
      <c r="N8" s="133">
        <v>27</v>
      </c>
      <c r="O8" s="134">
        <v>10</v>
      </c>
      <c r="P8" s="135">
        <f t="shared" si="8"/>
        <v>37</v>
      </c>
      <c r="Q8" s="134">
        <v>1200050</v>
      </c>
      <c r="R8" s="133">
        <v>29</v>
      </c>
      <c r="S8" s="134">
        <v>13</v>
      </c>
      <c r="T8" s="135">
        <f t="shared" si="9"/>
        <v>42</v>
      </c>
      <c r="U8" s="134">
        <v>2218350</v>
      </c>
      <c r="V8" s="133">
        <v>11</v>
      </c>
      <c r="W8" s="134">
        <v>15</v>
      </c>
      <c r="X8" s="135">
        <f t="shared" si="10"/>
        <v>26</v>
      </c>
      <c r="Y8" s="134">
        <v>684000</v>
      </c>
      <c r="Z8" s="133">
        <v>18</v>
      </c>
      <c r="AA8" s="134">
        <v>11</v>
      </c>
      <c r="AB8" s="135">
        <f t="shared" si="11"/>
        <v>29</v>
      </c>
      <c r="AC8" s="134">
        <v>913300</v>
      </c>
      <c r="AD8" s="133">
        <v>16</v>
      </c>
      <c r="AE8" s="134">
        <v>9</v>
      </c>
      <c r="AF8" s="135">
        <f t="shared" si="12"/>
        <v>25</v>
      </c>
      <c r="AG8" s="134">
        <v>665000</v>
      </c>
      <c r="AH8" s="133">
        <v>18</v>
      </c>
      <c r="AI8" s="134">
        <v>11</v>
      </c>
      <c r="AJ8" s="135">
        <f t="shared" si="13"/>
        <v>29</v>
      </c>
      <c r="AK8" s="134">
        <v>997460</v>
      </c>
      <c r="AL8" s="133">
        <v>16</v>
      </c>
      <c r="AM8" s="134">
        <v>11</v>
      </c>
      <c r="AN8" s="135">
        <f t="shared" si="14"/>
        <v>27</v>
      </c>
      <c r="AO8" s="134">
        <v>1269800</v>
      </c>
      <c r="AP8" s="133">
        <v>24</v>
      </c>
      <c r="AQ8" s="134">
        <v>12</v>
      </c>
      <c r="AR8" s="135">
        <f t="shared" si="15"/>
        <v>36</v>
      </c>
      <c r="AS8" s="134">
        <v>1857635</v>
      </c>
      <c r="AT8" s="133">
        <v>17</v>
      </c>
      <c r="AU8" s="136">
        <v>10</v>
      </c>
      <c r="AV8" s="137">
        <f t="shared" si="16"/>
        <v>27</v>
      </c>
      <c r="AW8" s="136">
        <v>1128270</v>
      </c>
      <c r="AX8" s="137">
        <f t="shared" si="17"/>
        <v>262</v>
      </c>
      <c r="AY8" s="135">
        <f t="shared" si="5"/>
        <v>136</v>
      </c>
      <c r="AZ8" s="135">
        <f t="shared" si="5"/>
        <v>398</v>
      </c>
      <c r="BA8" s="138">
        <f t="shared" si="5"/>
        <v>15293165</v>
      </c>
      <c r="BC8" s="121">
        <f t="shared" si="0"/>
        <v>133</v>
      </c>
      <c r="BD8" s="121">
        <f t="shared" si="1"/>
        <v>66</v>
      </c>
      <c r="BE8" s="121">
        <f t="shared" si="2"/>
        <v>199</v>
      </c>
      <c r="BF8">
        <f t="shared" si="3"/>
        <v>6962951</v>
      </c>
    </row>
    <row r="9" spans="1:58" x14ac:dyDescent="0.3">
      <c r="A9" s="132" t="s">
        <v>128</v>
      </c>
      <c r="B9" s="133">
        <v>29</v>
      </c>
      <c r="C9" s="134">
        <v>22</v>
      </c>
      <c r="D9" s="135">
        <f t="shared" si="4"/>
        <v>51</v>
      </c>
      <c r="E9" s="134">
        <v>1284400</v>
      </c>
      <c r="F9" s="133">
        <v>52</v>
      </c>
      <c r="G9" s="134">
        <v>22</v>
      </c>
      <c r="H9" s="135">
        <f t="shared" si="6"/>
        <v>74</v>
      </c>
      <c r="I9" s="134">
        <v>3032401</v>
      </c>
      <c r="J9" s="133">
        <v>52</v>
      </c>
      <c r="K9" s="134">
        <v>22</v>
      </c>
      <c r="L9" s="135">
        <f t="shared" si="7"/>
        <v>74</v>
      </c>
      <c r="M9" s="134">
        <v>2646150</v>
      </c>
      <c r="N9" s="133">
        <v>44</v>
      </c>
      <c r="O9" s="134">
        <v>18</v>
      </c>
      <c r="P9" s="135">
        <f t="shared" si="8"/>
        <v>62</v>
      </c>
      <c r="Q9" s="134">
        <v>2210390</v>
      </c>
      <c r="R9" s="133">
        <v>37</v>
      </c>
      <c r="S9" s="134">
        <v>18</v>
      </c>
      <c r="T9" s="135">
        <f t="shared" si="9"/>
        <v>55</v>
      </c>
      <c r="U9" s="134">
        <v>1785050</v>
      </c>
      <c r="V9" s="133">
        <v>20</v>
      </c>
      <c r="W9" s="134">
        <v>17</v>
      </c>
      <c r="X9" s="135">
        <f t="shared" si="10"/>
        <v>37</v>
      </c>
      <c r="Y9" s="134">
        <v>1335400</v>
      </c>
      <c r="Z9" s="133">
        <v>21</v>
      </c>
      <c r="AA9" s="134">
        <v>4</v>
      </c>
      <c r="AB9" s="135">
        <f t="shared" si="11"/>
        <v>25</v>
      </c>
      <c r="AC9" s="134">
        <v>1398847</v>
      </c>
      <c r="AD9" s="133">
        <v>29</v>
      </c>
      <c r="AE9" s="134">
        <v>10</v>
      </c>
      <c r="AF9" s="135">
        <f t="shared" si="12"/>
        <v>39</v>
      </c>
      <c r="AG9" s="134">
        <v>1369500</v>
      </c>
      <c r="AH9" s="133">
        <v>23</v>
      </c>
      <c r="AI9" s="134">
        <v>22</v>
      </c>
      <c r="AJ9" s="135">
        <f t="shared" si="13"/>
        <v>45</v>
      </c>
      <c r="AK9" s="134">
        <v>1101100</v>
      </c>
      <c r="AL9" s="133">
        <v>23</v>
      </c>
      <c r="AM9" s="134">
        <v>10</v>
      </c>
      <c r="AN9" s="135">
        <f t="shared" si="14"/>
        <v>33</v>
      </c>
      <c r="AO9" s="134">
        <v>1674240</v>
      </c>
      <c r="AP9" s="133">
        <v>25</v>
      </c>
      <c r="AQ9" s="134">
        <v>10</v>
      </c>
      <c r="AR9" s="135">
        <f t="shared" si="15"/>
        <v>35</v>
      </c>
      <c r="AS9" s="134">
        <v>1734826</v>
      </c>
      <c r="AT9" s="133">
        <v>24</v>
      </c>
      <c r="AU9" s="136">
        <v>18</v>
      </c>
      <c r="AV9" s="137">
        <f t="shared" si="16"/>
        <v>42</v>
      </c>
      <c r="AW9" s="136">
        <v>1390185</v>
      </c>
      <c r="AX9" s="137">
        <f t="shared" si="17"/>
        <v>379</v>
      </c>
      <c r="AY9" s="135">
        <f t="shared" si="5"/>
        <v>193</v>
      </c>
      <c r="AZ9" s="135">
        <f t="shared" si="5"/>
        <v>572</v>
      </c>
      <c r="BA9" s="138">
        <f t="shared" si="5"/>
        <v>20962489</v>
      </c>
      <c r="BC9" s="121">
        <f t="shared" si="0"/>
        <v>77</v>
      </c>
      <c r="BD9" s="121">
        <f t="shared" si="1"/>
        <v>27</v>
      </c>
      <c r="BE9" s="121">
        <f t="shared" si="2"/>
        <v>104</v>
      </c>
      <c r="BF9">
        <f t="shared" si="3"/>
        <v>4108650</v>
      </c>
    </row>
    <row r="10" spans="1:58" x14ac:dyDescent="0.3">
      <c r="A10" s="132" t="s">
        <v>3</v>
      </c>
      <c r="B10" s="133">
        <v>13</v>
      </c>
      <c r="C10" s="134">
        <v>3</v>
      </c>
      <c r="D10" s="135">
        <f t="shared" si="4"/>
        <v>16</v>
      </c>
      <c r="E10" s="134">
        <v>938000</v>
      </c>
      <c r="F10" s="133">
        <v>25</v>
      </c>
      <c r="G10" s="134">
        <v>11</v>
      </c>
      <c r="H10" s="135">
        <f t="shared" si="6"/>
        <v>36</v>
      </c>
      <c r="I10" s="134">
        <v>1318600</v>
      </c>
      <c r="J10" s="133">
        <v>39</v>
      </c>
      <c r="K10" s="134">
        <v>13</v>
      </c>
      <c r="L10" s="135">
        <f t="shared" si="7"/>
        <v>52</v>
      </c>
      <c r="M10" s="134">
        <v>1852050</v>
      </c>
      <c r="N10" s="133">
        <v>41</v>
      </c>
      <c r="O10" s="134">
        <v>7</v>
      </c>
      <c r="P10" s="135">
        <f t="shared" si="8"/>
        <v>48</v>
      </c>
      <c r="Q10" s="134">
        <v>2416480</v>
      </c>
      <c r="R10" s="133">
        <v>27</v>
      </c>
      <c r="S10" s="134">
        <v>9</v>
      </c>
      <c r="T10" s="135">
        <f t="shared" si="9"/>
        <v>36</v>
      </c>
      <c r="U10" s="134">
        <v>1480500</v>
      </c>
      <c r="V10" s="133">
        <v>25</v>
      </c>
      <c r="W10" s="134">
        <v>7</v>
      </c>
      <c r="X10" s="135">
        <f t="shared" si="10"/>
        <v>32</v>
      </c>
      <c r="Y10" s="134">
        <v>1050400</v>
      </c>
      <c r="Z10" s="133">
        <v>32</v>
      </c>
      <c r="AA10" s="134">
        <v>13</v>
      </c>
      <c r="AB10" s="135">
        <f t="shared" si="11"/>
        <v>45</v>
      </c>
      <c r="AC10" s="134">
        <v>1375845</v>
      </c>
      <c r="AD10" s="133">
        <v>22</v>
      </c>
      <c r="AE10" s="134">
        <v>11</v>
      </c>
      <c r="AF10" s="135">
        <f t="shared" si="12"/>
        <v>33</v>
      </c>
      <c r="AG10" s="134">
        <v>863150</v>
      </c>
      <c r="AH10" s="133">
        <v>30</v>
      </c>
      <c r="AI10" s="134">
        <v>17</v>
      </c>
      <c r="AJ10" s="135">
        <f t="shared" si="13"/>
        <v>47</v>
      </c>
      <c r="AK10" s="134">
        <v>1717850</v>
      </c>
      <c r="AL10" s="133">
        <v>31</v>
      </c>
      <c r="AM10" s="134">
        <v>12</v>
      </c>
      <c r="AN10" s="135">
        <f t="shared" si="14"/>
        <v>43</v>
      </c>
      <c r="AO10" s="134">
        <v>1191900</v>
      </c>
      <c r="AP10" s="133">
        <v>22</v>
      </c>
      <c r="AQ10" s="134">
        <v>12</v>
      </c>
      <c r="AR10" s="135">
        <f t="shared" si="15"/>
        <v>34</v>
      </c>
      <c r="AS10" s="134">
        <v>1460300</v>
      </c>
      <c r="AT10" s="133">
        <v>23</v>
      </c>
      <c r="AU10" s="136">
        <v>14</v>
      </c>
      <c r="AV10" s="137">
        <f t="shared" si="16"/>
        <v>37</v>
      </c>
      <c r="AW10" s="136">
        <v>923280</v>
      </c>
      <c r="AX10" s="137">
        <f t="shared" si="17"/>
        <v>330</v>
      </c>
      <c r="AY10" s="135">
        <f t="shared" si="5"/>
        <v>129</v>
      </c>
      <c r="AZ10" s="135">
        <f t="shared" si="5"/>
        <v>459</v>
      </c>
      <c r="BA10" s="138">
        <f t="shared" si="5"/>
        <v>16588355</v>
      </c>
      <c r="BC10" s="121">
        <f t="shared" si="0"/>
        <v>25</v>
      </c>
      <c r="BD10" s="121">
        <f t="shared" si="1"/>
        <v>17</v>
      </c>
      <c r="BE10" s="121">
        <f t="shared" si="2"/>
        <v>42</v>
      </c>
      <c r="BF10">
        <f t="shared" si="3"/>
        <v>1302850</v>
      </c>
    </row>
    <row r="11" spans="1:58" x14ac:dyDescent="0.3">
      <c r="A11" s="132" t="s">
        <v>10</v>
      </c>
      <c r="B11" s="133">
        <v>9</v>
      </c>
      <c r="C11" s="134">
        <v>6</v>
      </c>
      <c r="D11" s="135">
        <f t="shared" si="4"/>
        <v>15</v>
      </c>
      <c r="E11" s="134">
        <v>699500</v>
      </c>
      <c r="F11" s="133">
        <v>8</v>
      </c>
      <c r="G11" s="134">
        <v>6</v>
      </c>
      <c r="H11" s="135">
        <f t="shared" si="6"/>
        <v>14</v>
      </c>
      <c r="I11" s="134">
        <v>263400</v>
      </c>
      <c r="J11" s="133">
        <v>8</v>
      </c>
      <c r="K11" s="134">
        <v>5</v>
      </c>
      <c r="L11" s="135">
        <f t="shared" si="7"/>
        <v>13</v>
      </c>
      <c r="M11" s="134">
        <v>339950</v>
      </c>
      <c r="N11" s="133">
        <v>4</v>
      </c>
      <c r="O11" s="134">
        <v>7</v>
      </c>
      <c r="P11" s="135">
        <f t="shared" si="8"/>
        <v>11</v>
      </c>
      <c r="Q11" s="134">
        <v>158750</v>
      </c>
      <c r="R11" s="133">
        <v>11</v>
      </c>
      <c r="S11" s="134">
        <v>8</v>
      </c>
      <c r="T11" s="135">
        <f t="shared" si="9"/>
        <v>19</v>
      </c>
      <c r="U11" s="134">
        <v>622600</v>
      </c>
      <c r="V11" s="133">
        <v>6</v>
      </c>
      <c r="W11" s="134">
        <v>3</v>
      </c>
      <c r="X11" s="135">
        <f t="shared" si="10"/>
        <v>9</v>
      </c>
      <c r="Y11" s="134">
        <v>260400</v>
      </c>
      <c r="Z11" s="133">
        <v>6</v>
      </c>
      <c r="AA11" s="134">
        <v>13</v>
      </c>
      <c r="AB11" s="135">
        <f t="shared" si="11"/>
        <v>19</v>
      </c>
      <c r="AC11" s="134">
        <v>239910</v>
      </c>
      <c r="AD11" s="133">
        <v>6</v>
      </c>
      <c r="AE11" s="134">
        <v>2</v>
      </c>
      <c r="AF11" s="135">
        <f t="shared" si="12"/>
        <v>8</v>
      </c>
      <c r="AG11" s="134">
        <v>92200</v>
      </c>
      <c r="AH11" s="133">
        <v>9</v>
      </c>
      <c r="AI11" s="134">
        <v>9</v>
      </c>
      <c r="AJ11" s="135">
        <f t="shared" si="13"/>
        <v>18</v>
      </c>
      <c r="AK11" s="134">
        <v>535200</v>
      </c>
      <c r="AL11" s="133">
        <v>16</v>
      </c>
      <c r="AM11" s="134">
        <v>17</v>
      </c>
      <c r="AN11" s="135">
        <f t="shared" si="14"/>
        <v>33</v>
      </c>
      <c r="AO11" s="134">
        <v>753260</v>
      </c>
      <c r="AP11" s="133">
        <v>18</v>
      </c>
      <c r="AQ11" s="134">
        <v>13</v>
      </c>
      <c r="AR11" s="135">
        <f t="shared" si="15"/>
        <v>31</v>
      </c>
      <c r="AS11" s="134">
        <v>544100</v>
      </c>
      <c r="AT11" s="133">
        <v>9</v>
      </c>
      <c r="AU11" s="136">
        <v>17</v>
      </c>
      <c r="AV11" s="137">
        <f t="shared" si="16"/>
        <v>26</v>
      </c>
      <c r="AW11" s="136">
        <v>352600</v>
      </c>
      <c r="AX11" s="137">
        <f t="shared" si="17"/>
        <v>110</v>
      </c>
      <c r="AY11" s="135">
        <f t="shared" si="5"/>
        <v>106</v>
      </c>
      <c r="AZ11" s="135">
        <f t="shared" si="5"/>
        <v>216</v>
      </c>
      <c r="BA11" s="138">
        <f t="shared" si="5"/>
        <v>4861870</v>
      </c>
      <c r="BC11" s="121">
        <f t="shared" si="0"/>
        <v>51</v>
      </c>
      <c r="BD11" s="121">
        <f t="shared" si="1"/>
        <v>18</v>
      </c>
      <c r="BE11" s="121">
        <f t="shared" si="2"/>
        <v>69</v>
      </c>
      <c r="BF11">
        <f t="shared" si="3"/>
        <v>1929900</v>
      </c>
    </row>
    <row r="12" spans="1:58" x14ac:dyDescent="0.3">
      <c r="A12" s="132" t="s">
        <v>11</v>
      </c>
      <c r="B12" s="133">
        <v>9</v>
      </c>
      <c r="C12" s="134">
        <v>5</v>
      </c>
      <c r="D12" s="135">
        <f t="shared" si="4"/>
        <v>14</v>
      </c>
      <c r="E12" s="134">
        <v>240900</v>
      </c>
      <c r="F12" s="133">
        <v>12</v>
      </c>
      <c r="G12" s="134">
        <v>6</v>
      </c>
      <c r="H12" s="135">
        <f t="shared" si="6"/>
        <v>18</v>
      </c>
      <c r="I12" s="134">
        <v>560900</v>
      </c>
      <c r="J12" s="133">
        <v>30</v>
      </c>
      <c r="K12" s="134">
        <v>7</v>
      </c>
      <c r="L12" s="135">
        <f t="shared" si="7"/>
        <v>37</v>
      </c>
      <c r="M12" s="134">
        <v>1128100</v>
      </c>
      <c r="N12" s="133">
        <v>11</v>
      </c>
      <c r="O12" s="134">
        <v>10</v>
      </c>
      <c r="P12" s="135">
        <f t="shared" si="8"/>
        <v>21</v>
      </c>
      <c r="Q12" s="134">
        <v>620100</v>
      </c>
      <c r="R12" s="133">
        <v>23</v>
      </c>
      <c r="S12" s="134">
        <v>7</v>
      </c>
      <c r="T12" s="135">
        <f t="shared" si="9"/>
        <v>30</v>
      </c>
      <c r="U12" s="134">
        <v>1209700</v>
      </c>
      <c r="V12" s="133">
        <v>14</v>
      </c>
      <c r="W12" s="134">
        <v>4</v>
      </c>
      <c r="X12" s="135">
        <f t="shared" si="10"/>
        <v>18</v>
      </c>
      <c r="Y12" s="134">
        <v>513100</v>
      </c>
      <c r="Z12" s="133">
        <v>13</v>
      </c>
      <c r="AA12" s="134">
        <v>7</v>
      </c>
      <c r="AB12" s="135">
        <f t="shared" si="11"/>
        <v>20</v>
      </c>
      <c r="AC12" s="134">
        <v>679800</v>
      </c>
      <c r="AD12" s="133">
        <v>13</v>
      </c>
      <c r="AE12" s="134">
        <v>11</v>
      </c>
      <c r="AF12" s="135">
        <f t="shared" si="12"/>
        <v>24</v>
      </c>
      <c r="AG12" s="134">
        <v>339700</v>
      </c>
      <c r="AH12" s="133">
        <v>9</v>
      </c>
      <c r="AI12" s="134">
        <v>7</v>
      </c>
      <c r="AJ12" s="135">
        <f t="shared" si="13"/>
        <v>16</v>
      </c>
      <c r="AK12" s="134">
        <v>840500</v>
      </c>
      <c r="AL12" s="133">
        <v>23</v>
      </c>
      <c r="AM12" s="134">
        <v>3</v>
      </c>
      <c r="AN12" s="135">
        <f t="shared" si="14"/>
        <v>26</v>
      </c>
      <c r="AO12" s="134">
        <v>1128200</v>
      </c>
      <c r="AP12" s="133">
        <v>23</v>
      </c>
      <c r="AQ12" s="134">
        <v>7</v>
      </c>
      <c r="AR12" s="135">
        <f t="shared" si="15"/>
        <v>30</v>
      </c>
      <c r="AS12" s="134">
        <v>851950</v>
      </c>
      <c r="AT12" s="133">
        <v>24</v>
      </c>
      <c r="AU12" s="136">
        <v>9</v>
      </c>
      <c r="AV12" s="137">
        <f t="shared" si="16"/>
        <v>33</v>
      </c>
      <c r="AW12" s="136">
        <v>1264100</v>
      </c>
      <c r="AX12" s="137">
        <f t="shared" si="17"/>
        <v>204</v>
      </c>
      <c r="AY12" s="135">
        <f t="shared" si="5"/>
        <v>83</v>
      </c>
      <c r="AZ12" s="135">
        <f t="shared" si="5"/>
        <v>287</v>
      </c>
      <c r="BA12" s="138">
        <f t="shared" si="5"/>
        <v>9377050</v>
      </c>
      <c r="BC12" s="121">
        <f t="shared" si="0"/>
        <v>41</v>
      </c>
      <c r="BD12" s="121">
        <f t="shared" si="1"/>
        <v>14</v>
      </c>
      <c r="BE12" s="121">
        <f t="shared" si="2"/>
        <v>55</v>
      </c>
      <c r="BF12">
        <f t="shared" si="3"/>
        <v>3263970</v>
      </c>
    </row>
    <row r="13" spans="1:58" x14ac:dyDescent="0.3">
      <c r="A13" s="132" t="s">
        <v>5</v>
      </c>
      <c r="B13" s="133">
        <v>4</v>
      </c>
      <c r="C13" s="134">
        <v>2</v>
      </c>
      <c r="D13" s="135">
        <f t="shared" si="4"/>
        <v>6</v>
      </c>
      <c r="E13" s="134">
        <v>728950</v>
      </c>
      <c r="F13" s="133">
        <v>21</v>
      </c>
      <c r="G13" s="134">
        <v>8</v>
      </c>
      <c r="H13" s="135">
        <f t="shared" si="6"/>
        <v>29</v>
      </c>
      <c r="I13" s="134">
        <v>1671820</v>
      </c>
      <c r="J13" s="133">
        <v>16</v>
      </c>
      <c r="K13" s="134">
        <v>4</v>
      </c>
      <c r="L13" s="135">
        <f t="shared" si="7"/>
        <v>20</v>
      </c>
      <c r="M13" s="134">
        <v>863200</v>
      </c>
      <c r="N13" s="133">
        <v>18</v>
      </c>
      <c r="O13" s="134">
        <v>2</v>
      </c>
      <c r="P13" s="135">
        <f t="shared" si="8"/>
        <v>20</v>
      </c>
      <c r="Q13" s="134">
        <v>1616050</v>
      </c>
      <c r="R13" s="133">
        <v>14</v>
      </c>
      <c r="S13" s="134">
        <v>2</v>
      </c>
      <c r="T13" s="135">
        <f t="shared" si="9"/>
        <v>16</v>
      </c>
      <c r="U13" s="134">
        <v>1828780</v>
      </c>
      <c r="V13" s="133">
        <v>16</v>
      </c>
      <c r="W13" s="134">
        <v>2</v>
      </c>
      <c r="X13" s="135">
        <f t="shared" si="10"/>
        <v>18</v>
      </c>
      <c r="Y13" s="134">
        <v>888557</v>
      </c>
      <c r="Z13" s="133">
        <v>9</v>
      </c>
      <c r="AA13" s="134">
        <v>5</v>
      </c>
      <c r="AB13" s="135">
        <f t="shared" si="11"/>
        <v>14</v>
      </c>
      <c r="AC13" s="134">
        <v>1158940</v>
      </c>
      <c r="AD13" s="133">
        <v>10</v>
      </c>
      <c r="AE13" s="134">
        <v>11</v>
      </c>
      <c r="AF13" s="135">
        <f t="shared" si="12"/>
        <v>21</v>
      </c>
      <c r="AG13" s="134">
        <v>748300</v>
      </c>
      <c r="AH13" s="133">
        <v>13</v>
      </c>
      <c r="AI13" s="134">
        <v>7</v>
      </c>
      <c r="AJ13" s="135">
        <f t="shared" si="13"/>
        <v>20</v>
      </c>
      <c r="AK13" s="134">
        <v>758100</v>
      </c>
      <c r="AL13" s="133">
        <v>26</v>
      </c>
      <c r="AM13" s="134">
        <v>10</v>
      </c>
      <c r="AN13" s="135">
        <f t="shared" si="14"/>
        <v>36</v>
      </c>
      <c r="AO13" s="134">
        <v>1024230</v>
      </c>
      <c r="AP13" s="133">
        <v>14</v>
      </c>
      <c r="AQ13" s="134">
        <v>6</v>
      </c>
      <c r="AR13" s="135">
        <f t="shared" si="15"/>
        <v>20</v>
      </c>
      <c r="AS13" s="134">
        <v>686590</v>
      </c>
      <c r="AT13" s="133">
        <v>21</v>
      </c>
      <c r="AU13" s="136">
        <v>4</v>
      </c>
      <c r="AV13" s="137">
        <f t="shared" si="16"/>
        <v>25</v>
      </c>
      <c r="AW13" s="136">
        <v>753270</v>
      </c>
      <c r="AX13" s="137">
        <f t="shared" si="17"/>
        <v>182</v>
      </c>
      <c r="AY13" s="135">
        <f t="shared" si="5"/>
        <v>63</v>
      </c>
      <c r="AZ13" s="135">
        <f t="shared" si="5"/>
        <v>245</v>
      </c>
      <c r="BA13" s="138">
        <f t="shared" si="5"/>
        <v>12726787</v>
      </c>
      <c r="BC13" s="121">
        <f t="shared" si="0"/>
        <v>106</v>
      </c>
      <c r="BD13" s="121">
        <f t="shared" si="1"/>
        <v>54</v>
      </c>
      <c r="BE13" s="121">
        <f t="shared" si="2"/>
        <v>160</v>
      </c>
      <c r="BF13">
        <f t="shared" si="3"/>
        <v>4772925</v>
      </c>
    </row>
    <row r="14" spans="1:58" x14ac:dyDescent="0.3">
      <c r="A14" s="132" t="s">
        <v>129</v>
      </c>
      <c r="B14" s="133">
        <v>45</v>
      </c>
      <c r="C14" s="134">
        <v>15</v>
      </c>
      <c r="D14" s="135">
        <f t="shared" si="4"/>
        <v>60</v>
      </c>
      <c r="E14" s="134">
        <v>1711400</v>
      </c>
      <c r="F14" s="133">
        <v>39</v>
      </c>
      <c r="G14" s="134">
        <v>26</v>
      </c>
      <c r="H14" s="135">
        <f t="shared" si="6"/>
        <v>65</v>
      </c>
      <c r="I14" s="134">
        <v>1911400</v>
      </c>
      <c r="J14" s="133">
        <v>22</v>
      </c>
      <c r="K14" s="134">
        <v>13</v>
      </c>
      <c r="L14" s="135">
        <f t="shared" si="7"/>
        <v>35</v>
      </c>
      <c r="M14" s="134">
        <v>1150125</v>
      </c>
      <c r="N14" s="133">
        <v>52</v>
      </c>
      <c r="O14" s="134">
        <v>19</v>
      </c>
      <c r="P14" s="135">
        <f t="shared" si="8"/>
        <v>71</v>
      </c>
      <c r="Q14" s="134">
        <v>2855300</v>
      </c>
      <c r="R14" s="133">
        <v>29</v>
      </c>
      <c r="S14" s="134">
        <v>19</v>
      </c>
      <c r="T14" s="135">
        <f t="shared" si="9"/>
        <v>48</v>
      </c>
      <c r="U14" s="134">
        <v>1488300</v>
      </c>
      <c r="V14" s="133">
        <v>38</v>
      </c>
      <c r="W14" s="134">
        <v>22</v>
      </c>
      <c r="X14" s="135">
        <f t="shared" si="10"/>
        <v>60</v>
      </c>
      <c r="Y14" s="134">
        <v>1807700</v>
      </c>
      <c r="Z14" s="133">
        <v>35</v>
      </c>
      <c r="AA14" s="134">
        <v>19</v>
      </c>
      <c r="AB14" s="135">
        <f t="shared" si="11"/>
        <v>54</v>
      </c>
      <c r="AC14" s="134">
        <v>1279120</v>
      </c>
      <c r="AD14" s="133">
        <v>23</v>
      </c>
      <c r="AE14" s="134">
        <v>17</v>
      </c>
      <c r="AF14" s="135">
        <f t="shared" si="12"/>
        <v>40</v>
      </c>
      <c r="AG14" s="134">
        <v>1748740</v>
      </c>
      <c r="AH14" s="133">
        <v>38</v>
      </c>
      <c r="AI14" s="134">
        <v>29</v>
      </c>
      <c r="AJ14" s="135">
        <f t="shared" si="13"/>
        <v>67</v>
      </c>
      <c r="AK14" s="134">
        <v>2018380</v>
      </c>
      <c r="AL14" s="133">
        <v>38</v>
      </c>
      <c r="AM14" s="134">
        <v>31</v>
      </c>
      <c r="AN14" s="135">
        <f t="shared" si="14"/>
        <v>69</v>
      </c>
      <c r="AO14" s="134">
        <v>1543950</v>
      </c>
      <c r="AP14" s="133">
        <v>44</v>
      </c>
      <c r="AQ14" s="134">
        <v>22</v>
      </c>
      <c r="AR14" s="135">
        <f t="shared" si="15"/>
        <v>66</v>
      </c>
      <c r="AS14" s="134">
        <v>1845525</v>
      </c>
      <c r="AT14" s="133">
        <v>37</v>
      </c>
      <c r="AU14" s="136">
        <v>26</v>
      </c>
      <c r="AV14" s="137">
        <f t="shared" si="16"/>
        <v>63</v>
      </c>
      <c r="AW14" s="136">
        <v>1745870</v>
      </c>
      <c r="AX14" s="137">
        <f t="shared" si="17"/>
        <v>440</v>
      </c>
      <c r="AY14" s="135">
        <f t="shared" si="5"/>
        <v>258</v>
      </c>
      <c r="AZ14" s="135">
        <f t="shared" si="5"/>
        <v>698</v>
      </c>
      <c r="BA14" s="138">
        <f t="shared" si="5"/>
        <v>21105810</v>
      </c>
      <c r="BC14" s="121">
        <f t="shared" si="0"/>
        <v>35</v>
      </c>
      <c r="BD14" s="121">
        <f t="shared" si="1"/>
        <v>14</v>
      </c>
      <c r="BE14" s="121">
        <f t="shared" si="2"/>
        <v>49</v>
      </c>
      <c r="BF14">
        <f t="shared" si="3"/>
        <v>1292650</v>
      </c>
    </row>
    <row r="15" spans="1:58" x14ac:dyDescent="0.3">
      <c r="A15" s="132" t="s">
        <v>9</v>
      </c>
      <c r="B15" s="133">
        <v>11</v>
      </c>
      <c r="C15" s="134">
        <v>4</v>
      </c>
      <c r="D15" s="135">
        <f t="shared" si="4"/>
        <v>15</v>
      </c>
      <c r="E15" s="134">
        <v>231500</v>
      </c>
      <c r="F15" s="133">
        <v>10</v>
      </c>
      <c r="G15" s="134">
        <v>7</v>
      </c>
      <c r="H15" s="135">
        <f t="shared" si="6"/>
        <v>17</v>
      </c>
      <c r="I15" s="134">
        <v>606900</v>
      </c>
      <c r="J15" s="133">
        <v>14</v>
      </c>
      <c r="K15" s="134">
        <v>3</v>
      </c>
      <c r="L15" s="135">
        <f t="shared" si="7"/>
        <v>17</v>
      </c>
      <c r="M15" s="134">
        <v>454250</v>
      </c>
      <c r="N15" s="133">
        <v>19</v>
      </c>
      <c r="O15" s="134">
        <v>7</v>
      </c>
      <c r="P15" s="135">
        <f t="shared" si="8"/>
        <v>26</v>
      </c>
      <c r="Q15" s="134">
        <v>692060</v>
      </c>
      <c r="R15" s="133">
        <v>8</v>
      </c>
      <c r="S15" s="134">
        <v>6</v>
      </c>
      <c r="T15" s="135">
        <f t="shared" si="9"/>
        <v>14</v>
      </c>
      <c r="U15" s="134">
        <v>409040</v>
      </c>
      <c r="V15" s="133">
        <v>10</v>
      </c>
      <c r="W15" s="134">
        <v>4</v>
      </c>
      <c r="X15" s="135">
        <f t="shared" si="10"/>
        <v>14</v>
      </c>
      <c r="Y15" s="134">
        <v>416610</v>
      </c>
      <c r="Z15" s="133">
        <v>5</v>
      </c>
      <c r="AA15" s="134">
        <v>2</v>
      </c>
      <c r="AB15" s="135">
        <f t="shared" si="11"/>
        <v>7</v>
      </c>
      <c r="AC15" s="134">
        <v>242250</v>
      </c>
      <c r="AD15" s="133">
        <v>7</v>
      </c>
      <c r="AE15" s="134">
        <v>2</v>
      </c>
      <c r="AF15" s="135">
        <f t="shared" si="12"/>
        <v>9</v>
      </c>
      <c r="AG15" s="134">
        <v>195700</v>
      </c>
      <c r="AH15" s="133">
        <v>6</v>
      </c>
      <c r="AI15" s="134">
        <v>1</v>
      </c>
      <c r="AJ15" s="135">
        <f t="shared" si="13"/>
        <v>7</v>
      </c>
      <c r="AK15" s="134">
        <v>88600</v>
      </c>
      <c r="AL15" s="133">
        <v>7</v>
      </c>
      <c r="AM15" s="134">
        <v>3</v>
      </c>
      <c r="AN15" s="135">
        <f t="shared" si="14"/>
        <v>10</v>
      </c>
      <c r="AO15" s="134">
        <v>216500</v>
      </c>
      <c r="AP15" s="133">
        <v>17</v>
      </c>
      <c r="AQ15" s="134">
        <v>6</v>
      </c>
      <c r="AR15" s="135">
        <f t="shared" si="15"/>
        <v>23</v>
      </c>
      <c r="AS15" s="134">
        <v>522450</v>
      </c>
      <c r="AT15" s="133">
        <v>16</v>
      </c>
      <c r="AU15" s="136">
        <v>13</v>
      </c>
      <c r="AV15" s="137">
        <f t="shared" si="16"/>
        <v>29</v>
      </c>
      <c r="AW15" s="136">
        <v>387700</v>
      </c>
      <c r="AX15" s="137">
        <f t="shared" si="17"/>
        <v>130</v>
      </c>
      <c r="AY15" s="135">
        <f t="shared" si="5"/>
        <v>58</v>
      </c>
      <c r="AZ15" s="135">
        <f t="shared" si="5"/>
        <v>188</v>
      </c>
      <c r="BA15" s="138">
        <f t="shared" si="5"/>
        <v>4463560</v>
      </c>
      <c r="BC15" s="121">
        <f t="shared" si="0"/>
        <v>24</v>
      </c>
      <c r="BD15" s="121">
        <f t="shared" si="1"/>
        <v>11</v>
      </c>
      <c r="BE15" s="121">
        <f t="shared" si="2"/>
        <v>35</v>
      </c>
      <c r="BF15">
        <f t="shared" si="3"/>
        <v>852600</v>
      </c>
    </row>
    <row r="16" spans="1:58" x14ac:dyDescent="0.3">
      <c r="A16" s="132" t="s">
        <v>12</v>
      </c>
      <c r="B16" s="133">
        <v>4</v>
      </c>
      <c r="C16" s="134">
        <v>1</v>
      </c>
      <c r="D16" s="135">
        <f t="shared" si="4"/>
        <v>5</v>
      </c>
      <c r="E16" s="134">
        <v>197400</v>
      </c>
      <c r="F16" s="133">
        <v>10</v>
      </c>
      <c r="G16" s="134">
        <v>5</v>
      </c>
      <c r="H16" s="135">
        <f t="shared" si="6"/>
        <v>15</v>
      </c>
      <c r="I16" s="134">
        <v>328100</v>
      </c>
      <c r="J16" s="133">
        <v>10</v>
      </c>
      <c r="K16" s="134">
        <v>5</v>
      </c>
      <c r="L16" s="135">
        <f t="shared" si="7"/>
        <v>15</v>
      </c>
      <c r="M16" s="134">
        <v>327100</v>
      </c>
      <c r="N16" s="133">
        <v>7</v>
      </c>
      <c r="O16" s="134">
        <v>2</v>
      </c>
      <c r="P16" s="135">
        <f t="shared" si="8"/>
        <v>9</v>
      </c>
      <c r="Q16" s="134">
        <v>236000</v>
      </c>
      <c r="R16" s="133">
        <v>11</v>
      </c>
      <c r="S16" s="134">
        <v>3</v>
      </c>
      <c r="T16" s="135">
        <f t="shared" si="9"/>
        <v>14</v>
      </c>
      <c r="U16" s="134">
        <v>624000</v>
      </c>
      <c r="V16" s="133">
        <v>7</v>
      </c>
      <c r="W16" s="134">
        <v>1</v>
      </c>
      <c r="X16" s="135">
        <f t="shared" si="10"/>
        <v>8</v>
      </c>
      <c r="Y16" s="134">
        <v>421400</v>
      </c>
      <c r="Z16" s="133">
        <v>10</v>
      </c>
      <c r="AA16" s="134">
        <v>1</v>
      </c>
      <c r="AB16" s="135">
        <f t="shared" si="11"/>
        <v>11</v>
      </c>
      <c r="AC16" s="134">
        <v>417300</v>
      </c>
      <c r="AD16" s="133">
        <v>6</v>
      </c>
      <c r="AE16" s="134">
        <v>1</v>
      </c>
      <c r="AF16" s="135">
        <f t="shared" si="12"/>
        <v>7</v>
      </c>
      <c r="AG16" s="134">
        <v>145600</v>
      </c>
      <c r="AH16" s="133">
        <v>10</v>
      </c>
      <c r="AI16" s="134">
        <v>4</v>
      </c>
      <c r="AJ16" s="135">
        <f t="shared" si="13"/>
        <v>14</v>
      </c>
      <c r="AK16" s="134">
        <v>269300</v>
      </c>
      <c r="AL16" s="133">
        <v>12</v>
      </c>
      <c r="AM16" s="134">
        <v>4</v>
      </c>
      <c r="AN16" s="135">
        <f t="shared" si="14"/>
        <v>16</v>
      </c>
      <c r="AO16" s="134">
        <v>658980</v>
      </c>
      <c r="AP16" s="133">
        <v>18</v>
      </c>
      <c r="AQ16" s="134">
        <v>3</v>
      </c>
      <c r="AR16" s="135">
        <f t="shared" si="15"/>
        <v>21</v>
      </c>
      <c r="AS16" s="134">
        <v>420700</v>
      </c>
      <c r="AT16" s="133">
        <v>14</v>
      </c>
      <c r="AU16" s="136">
        <v>3</v>
      </c>
      <c r="AV16" s="137">
        <f t="shared" si="16"/>
        <v>17</v>
      </c>
      <c r="AW16" s="136">
        <v>468295</v>
      </c>
      <c r="AX16" s="137">
        <f t="shared" si="17"/>
        <v>119</v>
      </c>
      <c r="AY16" s="135">
        <f t="shared" si="5"/>
        <v>33</v>
      </c>
      <c r="AZ16" s="135">
        <f t="shared" si="5"/>
        <v>152</v>
      </c>
      <c r="BA16" s="138">
        <f t="shared" si="5"/>
        <v>4514175</v>
      </c>
      <c r="BC16" s="121">
        <f t="shared" si="0"/>
        <v>0</v>
      </c>
      <c r="BD16" s="121">
        <f t="shared" si="1"/>
        <v>0</v>
      </c>
      <c r="BE16" s="121">
        <f t="shared" si="2"/>
        <v>0</v>
      </c>
      <c r="BF16">
        <f t="shared" si="3"/>
        <v>0</v>
      </c>
    </row>
    <row r="17" spans="1:58" x14ac:dyDescent="0.3">
      <c r="A17" s="132" t="s">
        <v>23</v>
      </c>
      <c r="B17" s="139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34">
        <v>0</v>
      </c>
      <c r="R17" s="133">
        <v>9</v>
      </c>
      <c r="S17" s="134">
        <v>8</v>
      </c>
      <c r="T17" s="135">
        <f t="shared" si="9"/>
        <v>17</v>
      </c>
      <c r="U17" s="134">
        <v>398400</v>
      </c>
      <c r="V17" s="133">
        <v>13</v>
      </c>
      <c r="W17" s="134">
        <v>6</v>
      </c>
      <c r="X17" s="135">
        <f t="shared" si="10"/>
        <v>19</v>
      </c>
      <c r="Y17" s="134">
        <v>263100</v>
      </c>
      <c r="Z17" s="133">
        <v>16</v>
      </c>
      <c r="AA17" s="134">
        <v>8</v>
      </c>
      <c r="AB17" s="135">
        <f t="shared" si="11"/>
        <v>24</v>
      </c>
      <c r="AC17" s="134">
        <v>664600</v>
      </c>
      <c r="AD17" s="133">
        <v>11</v>
      </c>
      <c r="AE17" s="134">
        <v>3</v>
      </c>
      <c r="AF17" s="135">
        <f t="shared" si="12"/>
        <v>14</v>
      </c>
      <c r="AG17" s="134">
        <v>453900</v>
      </c>
      <c r="AH17" s="133">
        <v>18</v>
      </c>
      <c r="AI17" s="134">
        <v>11</v>
      </c>
      <c r="AJ17" s="135">
        <f t="shared" si="13"/>
        <v>29</v>
      </c>
      <c r="AK17" s="134">
        <v>687080</v>
      </c>
      <c r="AL17" s="133">
        <v>17</v>
      </c>
      <c r="AM17" s="134">
        <v>15</v>
      </c>
      <c r="AN17" s="135">
        <f t="shared" si="14"/>
        <v>32</v>
      </c>
      <c r="AO17" s="134">
        <v>808120</v>
      </c>
      <c r="AP17" s="133">
        <v>33</v>
      </c>
      <c r="AQ17" s="134">
        <v>10</v>
      </c>
      <c r="AR17" s="135">
        <f t="shared" si="15"/>
        <v>43</v>
      </c>
      <c r="AS17" s="134">
        <v>1072150</v>
      </c>
      <c r="AT17" s="133">
        <v>16</v>
      </c>
      <c r="AU17" s="136">
        <v>16</v>
      </c>
      <c r="AV17" s="137">
        <f t="shared" si="16"/>
        <v>32</v>
      </c>
      <c r="AW17" s="136">
        <v>767395</v>
      </c>
      <c r="AX17" s="137">
        <f t="shared" si="17"/>
        <v>133</v>
      </c>
      <c r="AY17" s="135">
        <f t="shared" si="5"/>
        <v>77</v>
      </c>
      <c r="AZ17" s="135">
        <f t="shared" si="5"/>
        <v>210</v>
      </c>
      <c r="BA17" s="138">
        <f t="shared" si="5"/>
        <v>5114745</v>
      </c>
      <c r="BC17" s="121">
        <f t="shared" si="0"/>
        <v>166</v>
      </c>
      <c r="BD17" s="121">
        <f t="shared" si="1"/>
        <v>187</v>
      </c>
      <c r="BE17" s="121">
        <f t="shared" si="2"/>
        <v>353</v>
      </c>
      <c r="BF17">
        <f t="shared" si="3"/>
        <v>1907150</v>
      </c>
    </row>
    <row r="18" spans="1:58" s="7" customFormat="1" x14ac:dyDescent="0.3">
      <c r="A18" s="132" t="s">
        <v>103</v>
      </c>
      <c r="B18" s="133">
        <v>53</v>
      </c>
      <c r="C18" s="134">
        <v>53</v>
      </c>
      <c r="D18" s="135">
        <f>SUM(B18:C18)</f>
        <v>106</v>
      </c>
      <c r="E18" s="134">
        <v>387200</v>
      </c>
      <c r="F18" s="133">
        <v>57</v>
      </c>
      <c r="G18" s="134">
        <v>67</v>
      </c>
      <c r="H18" s="135">
        <f t="shared" si="6"/>
        <v>124</v>
      </c>
      <c r="I18" s="134">
        <v>789000</v>
      </c>
      <c r="J18" s="133">
        <v>56</v>
      </c>
      <c r="K18" s="134">
        <v>67</v>
      </c>
      <c r="L18" s="135">
        <f t="shared" si="7"/>
        <v>123</v>
      </c>
      <c r="M18" s="134">
        <v>730950</v>
      </c>
      <c r="N18" s="133">
        <v>58</v>
      </c>
      <c r="O18" s="134">
        <v>49</v>
      </c>
      <c r="P18" s="135">
        <f t="shared" si="8"/>
        <v>107</v>
      </c>
      <c r="Q18" s="134">
        <v>592650</v>
      </c>
      <c r="R18" s="133">
        <v>46</v>
      </c>
      <c r="S18" s="134">
        <v>69</v>
      </c>
      <c r="T18" s="135">
        <f t="shared" si="9"/>
        <v>115</v>
      </c>
      <c r="U18" s="134">
        <v>311900</v>
      </c>
      <c r="V18" s="133">
        <v>29</v>
      </c>
      <c r="W18" s="134">
        <v>24</v>
      </c>
      <c r="X18" s="135">
        <f t="shared" si="10"/>
        <v>53</v>
      </c>
      <c r="Y18" s="134">
        <v>418040</v>
      </c>
      <c r="Z18" s="133">
        <v>26</v>
      </c>
      <c r="AA18" s="134">
        <v>33</v>
      </c>
      <c r="AB18" s="135">
        <f t="shared" si="11"/>
        <v>59</v>
      </c>
      <c r="AC18" s="141">
        <v>162421</v>
      </c>
      <c r="AD18" s="133">
        <v>21</v>
      </c>
      <c r="AE18" s="134">
        <v>36</v>
      </c>
      <c r="AF18" s="135">
        <f t="shared" si="12"/>
        <v>57</v>
      </c>
      <c r="AG18" s="134">
        <v>91800</v>
      </c>
      <c r="AH18" s="133">
        <v>44</v>
      </c>
      <c r="AI18" s="134">
        <v>41</v>
      </c>
      <c r="AJ18" s="135">
        <f t="shared" si="13"/>
        <v>85</v>
      </c>
      <c r="AK18" s="134">
        <v>122700</v>
      </c>
      <c r="AL18" s="133">
        <v>38</v>
      </c>
      <c r="AM18" s="134">
        <v>74</v>
      </c>
      <c r="AN18" s="135">
        <f t="shared" si="14"/>
        <v>112</v>
      </c>
      <c r="AO18" s="134">
        <v>148400</v>
      </c>
      <c r="AP18" s="133">
        <v>28</v>
      </c>
      <c r="AQ18" s="134">
        <v>71</v>
      </c>
      <c r="AR18" s="135">
        <f t="shared" si="15"/>
        <v>99</v>
      </c>
      <c r="AS18" s="134">
        <v>120100</v>
      </c>
      <c r="AT18" s="133">
        <v>18</v>
      </c>
      <c r="AU18" s="136">
        <v>36</v>
      </c>
      <c r="AV18" s="137">
        <f t="shared" si="16"/>
        <v>54</v>
      </c>
      <c r="AW18" s="136">
        <v>75600</v>
      </c>
      <c r="AX18" s="137">
        <f t="shared" si="17"/>
        <v>474</v>
      </c>
      <c r="AY18" s="135">
        <f t="shared" si="5"/>
        <v>620</v>
      </c>
      <c r="AZ18" s="135">
        <f t="shared" si="5"/>
        <v>1094</v>
      </c>
      <c r="BA18" s="138">
        <f t="shared" si="5"/>
        <v>3950761</v>
      </c>
      <c r="BC18" s="121">
        <f t="shared" si="0"/>
        <v>974</v>
      </c>
      <c r="BD18" s="121">
        <f t="shared" si="1"/>
        <v>555</v>
      </c>
      <c r="BE18" s="121">
        <f t="shared" si="2"/>
        <v>1529</v>
      </c>
      <c r="BF18">
        <f t="shared" si="3"/>
        <v>40822936</v>
      </c>
    </row>
    <row r="19" spans="1:58" ht="15" thickBot="1" x14ac:dyDescent="0.35">
      <c r="A19" s="142" t="s">
        <v>14</v>
      </c>
      <c r="B19" s="143">
        <v>276</v>
      </c>
      <c r="C19" s="144">
        <v>167</v>
      </c>
      <c r="D19" s="144">
        <f>SUM(D4:D18)</f>
        <v>443</v>
      </c>
      <c r="E19" s="144">
        <f>SUM(E4:E18)</f>
        <v>11207640</v>
      </c>
      <c r="F19" s="143">
        <v>342</v>
      </c>
      <c r="G19" s="144">
        <v>197</v>
      </c>
      <c r="H19" s="144">
        <f>SUM(H4:H18)</f>
        <v>539</v>
      </c>
      <c r="I19" s="144">
        <f>SUM(I4:I18)</f>
        <v>15061871</v>
      </c>
      <c r="J19" s="143">
        <v>356</v>
      </c>
      <c r="K19" s="144">
        <v>191</v>
      </c>
      <c r="L19" s="144">
        <f>SUM(L4:L18)</f>
        <v>547</v>
      </c>
      <c r="M19" s="144">
        <f>SUM(M4:M18)</f>
        <v>14553425</v>
      </c>
      <c r="N19" s="143">
        <v>362</v>
      </c>
      <c r="O19" s="144">
        <v>165</v>
      </c>
      <c r="P19" s="144">
        <f>SUM(P4:P18)</f>
        <v>527</v>
      </c>
      <c r="Q19" s="144">
        <f>SUM(Q4:Q18)</f>
        <v>16587720</v>
      </c>
      <c r="R19" s="143">
        <f t="shared" ref="R19:BA19" si="18">SUM(R4:R18)</f>
        <v>312</v>
      </c>
      <c r="S19" s="144">
        <f>SUM(S4:S18)</f>
        <v>193</v>
      </c>
      <c r="T19" s="144">
        <f>SUM(T4:T18)</f>
        <v>505</v>
      </c>
      <c r="U19" s="144">
        <f>SUM(U4:U18)</f>
        <v>16493560</v>
      </c>
      <c r="V19" s="143">
        <f t="shared" si="18"/>
        <v>253</v>
      </c>
      <c r="W19" s="144">
        <f>SUM(W4:W18)</f>
        <v>129</v>
      </c>
      <c r="X19" s="144">
        <f>SUM(X4:X18)</f>
        <v>382</v>
      </c>
      <c r="Y19" s="144">
        <f>SUM(Y4:Y18)</f>
        <v>11036617</v>
      </c>
      <c r="Z19" s="143">
        <f t="shared" si="18"/>
        <v>246</v>
      </c>
      <c r="AA19" s="144">
        <f>SUM(AA4:AA18)</f>
        <v>143</v>
      </c>
      <c r="AB19" s="144">
        <f>SUM(AB4:AB18)</f>
        <v>389</v>
      </c>
      <c r="AC19" s="145">
        <f>SUM(AC4:AC18)</f>
        <v>10872208</v>
      </c>
      <c r="AD19" s="143">
        <f t="shared" si="18"/>
        <v>203</v>
      </c>
      <c r="AE19" s="144">
        <f>SUM(AE4:AE18)</f>
        <v>150</v>
      </c>
      <c r="AF19" s="144">
        <f>SUM(AF4:AF18)</f>
        <v>353</v>
      </c>
      <c r="AG19" s="144">
        <f>SUM(AG4:AG18)</f>
        <v>8596830</v>
      </c>
      <c r="AH19" s="143">
        <f t="shared" si="18"/>
        <v>297</v>
      </c>
      <c r="AI19" s="144">
        <f>SUM(AI4:AI18)</f>
        <v>203</v>
      </c>
      <c r="AJ19" s="144">
        <f>SUM(AJ4:AJ18)</f>
        <v>500</v>
      </c>
      <c r="AK19" s="144">
        <f>SUM(AK4:AK18)</f>
        <v>12626200</v>
      </c>
      <c r="AL19" s="143">
        <f t="shared" si="18"/>
        <v>336</v>
      </c>
      <c r="AM19" s="144">
        <f t="shared" si="18"/>
        <v>231</v>
      </c>
      <c r="AN19" s="144">
        <f t="shared" si="18"/>
        <v>567</v>
      </c>
      <c r="AO19" s="144">
        <f t="shared" si="18"/>
        <v>16104000</v>
      </c>
      <c r="AP19" s="143">
        <f t="shared" si="18"/>
        <v>346</v>
      </c>
      <c r="AQ19" s="144">
        <f t="shared" si="18"/>
        <v>214</v>
      </c>
      <c r="AR19" s="144">
        <f t="shared" si="18"/>
        <v>560</v>
      </c>
      <c r="AS19" s="144">
        <f t="shared" si="18"/>
        <v>15419951</v>
      </c>
      <c r="AT19" s="143">
        <f>SUM(AT4:AT18)</f>
        <v>283</v>
      </c>
      <c r="AU19" s="144">
        <f>SUM(AU4:AU18)</f>
        <v>212</v>
      </c>
      <c r="AV19" s="144">
        <f>SUM(AV4:AV18)</f>
        <v>495</v>
      </c>
      <c r="AW19" s="144">
        <f>SUM(AW4:AW18)</f>
        <v>12737180</v>
      </c>
      <c r="AX19" s="143">
        <f t="shared" si="18"/>
        <v>3612</v>
      </c>
      <c r="AY19" s="144">
        <f t="shared" si="18"/>
        <v>2195</v>
      </c>
      <c r="AZ19" s="144">
        <f t="shared" si="18"/>
        <v>5807</v>
      </c>
      <c r="BA19" s="146">
        <f t="shared" si="18"/>
        <v>161297202</v>
      </c>
      <c r="BC19" s="121">
        <f t="shared" si="0"/>
        <v>0</v>
      </c>
      <c r="BD19" s="121">
        <f t="shared" si="1"/>
        <v>0</v>
      </c>
      <c r="BE19" s="121">
        <f t="shared" si="2"/>
        <v>0</v>
      </c>
      <c r="BF19">
        <f t="shared" si="3"/>
        <v>0</v>
      </c>
    </row>
    <row r="20" spans="1:58" ht="16.2" thickBot="1" x14ac:dyDescent="0.35">
      <c r="A20" s="147" t="s">
        <v>68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7" t="s">
        <v>51</v>
      </c>
      <c r="AY20" s="148"/>
      <c r="AZ20" s="148"/>
      <c r="BA20" s="149"/>
      <c r="BC20" s="121">
        <f t="shared" si="0"/>
        <v>135142</v>
      </c>
      <c r="BD20" s="121">
        <f t="shared" si="1"/>
        <v>0</v>
      </c>
      <c r="BE20" s="121">
        <f t="shared" si="2"/>
        <v>0</v>
      </c>
      <c r="BF20">
        <f t="shared" si="3"/>
        <v>0</v>
      </c>
    </row>
    <row r="21" spans="1:58" ht="15.6" x14ac:dyDescent="0.3">
      <c r="A21" s="150"/>
      <c r="B21" s="166">
        <v>45017</v>
      </c>
      <c r="C21" s="124"/>
      <c r="D21" s="124"/>
      <c r="E21" s="124"/>
      <c r="F21" s="166">
        <v>45047</v>
      </c>
      <c r="G21" s="124"/>
      <c r="H21" s="124"/>
      <c r="I21" s="124"/>
      <c r="J21" s="166">
        <v>45078</v>
      </c>
      <c r="K21" s="124"/>
      <c r="L21" s="124"/>
      <c r="M21" s="124"/>
      <c r="N21" s="166">
        <v>45108</v>
      </c>
      <c r="O21" s="124"/>
      <c r="P21" s="124"/>
      <c r="Q21" s="124"/>
      <c r="R21" s="166">
        <v>45139</v>
      </c>
      <c r="S21" s="124"/>
      <c r="T21" s="124"/>
      <c r="U21" s="124"/>
      <c r="V21" s="166">
        <v>45170</v>
      </c>
      <c r="W21" s="124"/>
      <c r="X21" s="124"/>
      <c r="Y21" s="124"/>
      <c r="Z21" s="166">
        <v>45200</v>
      </c>
      <c r="AA21" s="124"/>
      <c r="AB21" s="124"/>
      <c r="AC21" s="124"/>
      <c r="AD21" s="166">
        <v>45231</v>
      </c>
      <c r="AE21" s="124"/>
      <c r="AF21" s="124"/>
      <c r="AG21" s="124"/>
      <c r="AH21" s="166">
        <v>45261</v>
      </c>
      <c r="AI21" s="124"/>
      <c r="AJ21" s="124"/>
      <c r="AK21" s="124"/>
      <c r="AL21" s="166">
        <v>45292</v>
      </c>
      <c r="AM21" s="124"/>
      <c r="AN21" s="124"/>
      <c r="AO21" s="124"/>
      <c r="AP21" s="166">
        <v>45323</v>
      </c>
      <c r="AQ21" s="124"/>
      <c r="AR21" s="124"/>
      <c r="AS21" s="124"/>
      <c r="AT21" s="166">
        <v>45352</v>
      </c>
      <c r="AU21" s="124"/>
      <c r="AV21" s="124"/>
      <c r="AW21" s="124"/>
      <c r="AX21" s="151" t="s">
        <v>18</v>
      </c>
      <c r="AY21" s="152"/>
      <c r="AZ21" s="152"/>
      <c r="BA21" s="153"/>
      <c r="BC21" s="121" t="e">
        <f t="shared" si="0"/>
        <v>#VALUE!</v>
      </c>
      <c r="BD21" s="121" t="e">
        <f t="shared" si="1"/>
        <v>#VALUE!</v>
      </c>
      <c r="BE21" s="121" t="e">
        <f t="shared" si="2"/>
        <v>#VALUE!</v>
      </c>
      <c r="BF21" t="e">
        <f t="shared" si="3"/>
        <v>#VALUE!</v>
      </c>
    </row>
    <row r="22" spans="1:58" ht="15.6" x14ac:dyDescent="0.3">
      <c r="A22" s="154" t="s">
        <v>27</v>
      </c>
      <c r="B22" s="129" t="s">
        <v>15</v>
      </c>
      <c r="C22" s="130" t="s">
        <v>16</v>
      </c>
      <c r="D22" s="130" t="s">
        <v>14</v>
      </c>
      <c r="E22" s="130" t="s">
        <v>22</v>
      </c>
      <c r="F22" s="129" t="s">
        <v>15</v>
      </c>
      <c r="G22" s="130" t="s">
        <v>16</v>
      </c>
      <c r="H22" s="130" t="s">
        <v>14</v>
      </c>
      <c r="I22" s="130" t="s">
        <v>22</v>
      </c>
      <c r="J22" s="129" t="s">
        <v>15</v>
      </c>
      <c r="K22" s="130" t="s">
        <v>16</v>
      </c>
      <c r="L22" s="130" t="s">
        <v>14</v>
      </c>
      <c r="M22" s="130" t="s">
        <v>22</v>
      </c>
      <c r="N22" s="129" t="s">
        <v>15</v>
      </c>
      <c r="O22" s="130" t="s">
        <v>16</v>
      </c>
      <c r="P22" s="130" t="s">
        <v>14</v>
      </c>
      <c r="Q22" s="130" t="s">
        <v>22</v>
      </c>
      <c r="R22" s="129" t="s">
        <v>15</v>
      </c>
      <c r="S22" s="130" t="s">
        <v>16</v>
      </c>
      <c r="T22" s="130" t="s">
        <v>14</v>
      </c>
      <c r="U22" s="130" t="s">
        <v>22</v>
      </c>
      <c r="V22" s="129" t="s">
        <v>15</v>
      </c>
      <c r="W22" s="130" t="s">
        <v>16</v>
      </c>
      <c r="X22" s="130" t="s">
        <v>14</v>
      </c>
      <c r="Y22" s="130" t="s">
        <v>22</v>
      </c>
      <c r="Z22" s="129" t="s">
        <v>15</v>
      </c>
      <c r="AA22" s="130" t="s">
        <v>16</v>
      </c>
      <c r="AB22" s="130" t="s">
        <v>14</v>
      </c>
      <c r="AC22" s="130" t="s">
        <v>22</v>
      </c>
      <c r="AD22" s="129" t="s">
        <v>15</v>
      </c>
      <c r="AE22" s="130" t="s">
        <v>16</v>
      </c>
      <c r="AF22" s="130" t="s">
        <v>14</v>
      </c>
      <c r="AG22" s="130" t="s">
        <v>22</v>
      </c>
      <c r="AH22" s="129" t="s">
        <v>15</v>
      </c>
      <c r="AI22" s="130" t="s">
        <v>16</v>
      </c>
      <c r="AJ22" s="130" t="s">
        <v>14</v>
      </c>
      <c r="AK22" s="130" t="s">
        <v>22</v>
      </c>
      <c r="AL22" s="129" t="s">
        <v>15</v>
      </c>
      <c r="AM22" s="130" t="s">
        <v>16</v>
      </c>
      <c r="AN22" s="130" t="s">
        <v>14</v>
      </c>
      <c r="AO22" s="130" t="s">
        <v>22</v>
      </c>
      <c r="AP22" s="129" t="s">
        <v>15</v>
      </c>
      <c r="AQ22" s="130" t="s">
        <v>16</v>
      </c>
      <c r="AR22" s="130" t="s">
        <v>14</v>
      </c>
      <c r="AS22" s="130" t="s">
        <v>22</v>
      </c>
      <c r="AT22" s="129" t="s">
        <v>15</v>
      </c>
      <c r="AU22" s="130" t="s">
        <v>16</v>
      </c>
      <c r="AV22" s="130" t="s">
        <v>14</v>
      </c>
      <c r="AW22" s="130" t="s">
        <v>22</v>
      </c>
      <c r="AX22" s="129" t="s">
        <v>15</v>
      </c>
      <c r="AY22" s="130" t="s">
        <v>16</v>
      </c>
      <c r="AZ22" s="130" t="s">
        <v>67</v>
      </c>
      <c r="BA22" s="131" t="s">
        <v>22</v>
      </c>
      <c r="BC22" s="121">
        <f t="shared" si="0"/>
        <v>173</v>
      </c>
      <c r="BD22" s="121">
        <f t="shared" si="1"/>
        <v>3</v>
      </c>
      <c r="BE22" s="121">
        <f t="shared" si="2"/>
        <v>176</v>
      </c>
      <c r="BF22">
        <f t="shared" si="3"/>
        <v>12278240</v>
      </c>
    </row>
    <row r="23" spans="1:58" x14ac:dyDescent="0.3">
      <c r="A23" s="132" t="s">
        <v>4</v>
      </c>
      <c r="B23" s="133">
        <v>43</v>
      </c>
      <c r="C23" s="134">
        <v>0</v>
      </c>
      <c r="D23" s="135">
        <f t="shared" ref="D23:D35" si="19">SUM(B23:C23)</f>
        <v>43</v>
      </c>
      <c r="E23" s="134">
        <v>3094800</v>
      </c>
      <c r="F23" s="133">
        <v>59</v>
      </c>
      <c r="G23" s="134">
        <v>1</v>
      </c>
      <c r="H23" s="135">
        <f t="shared" ref="H23:H37" si="20">F23+G23</f>
        <v>60</v>
      </c>
      <c r="I23" s="134">
        <f>4369390-43600</f>
        <v>4325790</v>
      </c>
      <c r="J23" s="133">
        <v>71</v>
      </c>
      <c r="K23" s="134">
        <v>2</v>
      </c>
      <c r="L23" s="135">
        <f t="shared" ref="L23:L37" si="21">J23+K23</f>
        <v>73</v>
      </c>
      <c r="M23" s="134">
        <v>4857650</v>
      </c>
      <c r="N23" s="133">
        <v>84</v>
      </c>
      <c r="O23" s="134">
        <v>2</v>
      </c>
      <c r="P23" s="135">
        <f t="shared" ref="P23:P37" si="22">N23+O23</f>
        <v>86</v>
      </c>
      <c r="Q23" s="134">
        <v>6109285</v>
      </c>
      <c r="R23" s="133">
        <v>76</v>
      </c>
      <c r="S23" s="134">
        <v>3</v>
      </c>
      <c r="T23" s="135">
        <f t="shared" ref="T23:T37" si="23">R23+S23</f>
        <v>79</v>
      </c>
      <c r="U23" s="134">
        <v>5144240</v>
      </c>
      <c r="V23" s="133">
        <v>79</v>
      </c>
      <c r="W23" s="134">
        <v>5</v>
      </c>
      <c r="X23" s="135">
        <f t="shared" ref="X23:X37" si="24">V23+W23</f>
        <v>84</v>
      </c>
      <c r="Y23" s="134">
        <v>5387880</v>
      </c>
      <c r="Z23" s="133">
        <v>75</v>
      </c>
      <c r="AA23" s="134">
        <v>1</v>
      </c>
      <c r="AB23" s="135">
        <f t="shared" ref="AB23:AB37" si="25">Z23+AA23</f>
        <v>76</v>
      </c>
      <c r="AC23" s="141">
        <v>5812391</v>
      </c>
      <c r="AD23" s="133">
        <v>67</v>
      </c>
      <c r="AE23" s="134">
        <v>5</v>
      </c>
      <c r="AF23" s="135">
        <f t="shared" ref="AF23:AF37" si="26">AD23+AE23</f>
        <v>72</v>
      </c>
      <c r="AG23" s="134">
        <v>5192251</v>
      </c>
      <c r="AH23" s="133">
        <v>80</v>
      </c>
      <c r="AI23" s="134">
        <v>0</v>
      </c>
      <c r="AJ23" s="135">
        <f t="shared" ref="AJ23:AJ37" si="27">AH23+AI23</f>
        <v>80</v>
      </c>
      <c r="AK23" s="134">
        <v>5767860</v>
      </c>
      <c r="AL23" s="133">
        <v>87</v>
      </c>
      <c r="AM23" s="134">
        <v>5</v>
      </c>
      <c r="AN23" s="135">
        <f t="shared" ref="AN23:AN37" si="28">AL23+AM23</f>
        <v>92</v>
      </c>
      <c r="AO23" s="134">
        <v>7349795</v>
      </c>
      <c r="AP23" s="133">
        <v>90</v>
      </c>
      <c r="AQ23" s="134">
        <v>4</v>
      </c>
      <c r="AR23" s="135">
        <f t="shared" ref="AR23:AR37" si="29">AP23+AQ23</f>
        <v>94</v>
      </c>
      <c r="AS23" s="134">
        <v>7798410</v>
      </c>
      <c r="AT23" s="133">
        <v>92</v>
      </c>
      <c r="AU23" s="136">
        <v>4</v>
      </c>
      <c r="AV23" s="137">
        <f>AT23+AU23</f>
        <v>96</v>
      </c>
      <c r="AW23" s="136">
        <v>6208995</v>
      </c>
      <c r="AX23" s="137">
        <f t="shared" ref="AX23" si="30">B23+F23+J23+N23+R23+V23+Z23+AD23+AH23+AL23+AP23+AT23</f>
        <v>903</v>
      </c>
      <c r="AY23" s="135">
        <f t="shared" ref="AY23" si="31">C23+G23+K23+O23+S23+W23+AA23+AE23+AI23+AM23+AQ23+AU23</f>
        <v>32</v>
      </c>
      <c r="AZ23" s="135">
        <f t="shared" ref="AZ23" si="32">D23+H23+L23+P23+T23+X23+AB23+AF23+AJ23+AN23+AR23+AV23</f>
        <v>935</v>
      </c>
      <c r="BA23" s="138">
        <f t="shared" ref="BA23" si="33">E23+I23+M23+Q23+U23+Y23+AC23+AG23+AK23+AO23+AS23+AW23</f>
        <v>67049347</v>
      </c>
      <c r="BC23" s="121">
        <f t="shared" si="0"/>
        <v>84</v>
      </c>
      <c r="BD23" s="121">
        <f t="shared" si="1"/>
        <v>0</v>
      </c>
      <c r="BE23" s="121">
        <f t="shared" si="2"/>
        <v>84</v>
      </c>
      <c r="BF23">
        <f t="shared" si="3"/>
        <v>4162900</v>
      </c>
    </row>
    <row r="24" spans="1:58" x14ac:dyDescent="0.3">
      <c r="A24" s="132" t="s">
        <v>8</v>
      </c>
      <c r="B24" s="133">
        <v>26</v>
      </c>
      <c r="C24" s="134">
        <v>0</v>
      </c>
      <c r="D24" s="135">
        <f t="shared" si="19"/>
        <v>26</v>
      </c>
      <c r="E24" s="134">
        <v>1362900</v>
      </c>
      <c r="F24" s="133">
        <v>30</v>
      </c>
      <c r="G24" s="134">
        <v>0</v>
      </c>
      <c r="H24" s="135">
        <f t="shared" si="20"/>
        <v>30</v>
      </c>
      <c r="I24" s="134">
        <v>1513200</v>
      </c>
      <c r="J24" s="133">
        <v>28</v>
      </c>
      <c r="K24" s="134">
        <v>0</v>
      </c>
      <c r="L24" s="135">
        <f t="shared" si="21"/>
        <v>28</v>
      </c>
      <c r="M24" s="134">
        <v>1286800</v>
      </c>
      <c r="N24" s="133">
        <v>33</v>
      </c>
      <c r="O24" s="134">
        <v>0</v>
      </c>
      <c r="P24" s="135">
        <f t="shared" si="22"/>
        <v>33</v>
      </c>
      <c r="Q24" s="134">
        <v>1874000</v>
      </c>
      <c r="R24" s="133">
        <v>35</v>
      </c>
      <c r="S24" s="134">
        <v>0</v>
      </c>
      <c r="T24" s="135">
        <f t="shared" si="23"/>
        <v>35</v>
      </c>
      <c r="U24" s="134">
        <v>1965250</v>
      </c>
      <c r="V24" s="133">
        <v>37</v>
      </c>
      <c r="W24" s="134">
        <v>0</v>
      </c>
      <c r="X24" s="135">
        <f t="shared" si="24"/>
        <v>37</v>
      </c>
      <c r="Y24" s="134">
        <v>1748800</v>
      </c>
      <c r="Z24" s="133">
        <v>37</v>
      </c>
      <c r="AA24" s="134">
        <v>0</v>
      </c>
      <c r="AB24" s="135">
        <f t="shared" si="25"/>
        <v>37</v>
      </c>
      <c r="AC24" s="141">
        <v>1400400</v>
      </c>
      <c r="AD24" s="133">
        <v>32</v>
      </c>
      <c r="AE24" s="134">
        <v>0</v>
      </c>
      <c r="AF24" s="135">
        <f t="shared" si="26"/>
        <v>32</v>
      </c>
      <c r="AG24" s="134">
        <v>1457500</v>
      </c>
      <c r="AH24" s="133">
        <v>29</v>
      </c>
      <c r="AI24" s="134">
        <v>0</v>
      </c>
      <c r="AJ24" s="135">
        <f t="shared" si="27"/>
        <v>29</v>
      </c>
      <c r="AK24" s="134">
        <v>1869490</v>
      </c>
      <c r="AL24" s="133">
        <v>27</v>
      </c>
      <c r="AM24" s="134">
        <v>4</v>
      </c>
      <c r="AN24" s="135">
        <f t="shared" si="28"/>
        <v>31</v>
      </c>
      <c r="AO24" s="134">
        <v>1726620</v>
      </c>
      <c r="AP24" s="133">
        <v>29</v>
      </c>
      <c r="AQ24" s="134">
        <v>2</v>
      </c>
      <c r="AR24" s="135">
        <f t="shared" si="29"/>
        <v>31</v>
      </c>
      <c r="AS24" s="134">
        <v>1773458</v>
      </c>
      <c r="AT24" s="133">
        <v>21</v>
      </c>
      <c r="AU24" s="136">
        <v>0</v>
      </c>
      <c r="AV24" s="137">
        <f t="shared" ref="AV24:AV37" si="34">AT24+AU24</f>
        <v>21</v>
      </c>
      <c r="AW24" s="136">
        <v>1956735</v>
      </c>
      <c r="AX24" s="137">
        <f t="shared" ref="AX24:AX37" si="35">B24+F24+J24+N24+R24+V24+Z24+AD24+AH24+AL24+AP24+AT24</f>
        <v>364</v>
      </c>
      <c r="AY24" s="135">
        <f t="shared" ref="AY24:AY37" si="36">C24+G24+K24+O24+S24+W24+AA24+AE24+AI24+AM24+AQ24+AU24</f>
        <v>6</v>
      </c>
      <c r="AZ24" s="135">
        <f t="shared" ref="AZ24:AZ37" si="37">D24+H24+L24+P24+T24+X24+AB24+AF24+AJ24+AN24+AR24+AV24</f>
        <v>370</v>
      </c>
      <c r="BA24" s="138">
        <f t="shared" ref="BA24:BA37" si="38">E24+I24+M24+Q24+U24+Y24+AC24+AG24+AK24+AO24+AS24+AW24</f>
        <v>19935153</v>
      </c>
      <c r="BC24" s="121">
        <f t="shared" si="0"/>
        <v>63</v>
      </c>
      <c r="BD24" s="121">
        <f t="shared" si="1"/>
        <v>1</v>
      </c>
      <c r="BE24" s="121">
        <f t="shared" si="2"/>
        <v>64</v>
      </c>
      <c r="BF24">
        <f t="shared" si="3"/>
        <v>3163980</v>
      </c>
    </row>
    <row r="25" spans="1:58" x14ac:dyDescent="0.3">
      <c r="A25" s="132" t="s">
        <v>7</v>
      </c>
      <c r="B25" s="133">
        <v>22</v>
      </c>
      <c r="C25" s="134">
        <v>0</v>
      </c>
      <c r="D25" s="135">
        <f t="shared" si="19"/>
        <v>22</v>
      </c>
      <c r="E25" s="134">
        <v>1164800</v>
      </c>
      <c r="F25" s="133">
        <v>17</v>
      </c>
      <c r="G25" s="134">
        <v>0</v>
      </c>
      <c r="H25" s="135">
        <f t="shared" si="20"/>
        <v>17</v>
      </c>
      <c r="I25" s="134">
        <v>883270</v>
      </c>
      <c r="J25" s="133">
        <v>24</v>
      </c>
      <c r="K25" s="134">
        <v>1</v>
      </c>
      <c r="L25" s="135">
        <f t="shared" si="21"/>
        <v>25</v>
      </c>
      <c r="M25" s="134">
        <v>1115910</v>
      </c>
      <c r="N25" s="133">
        <v>27</v>
      </c>
      <c r="O25" s="134">
        <v>0</v>
      </c>
      <c r="P25" s="135">
        <f t="shared" si="22"/>
        <v>27</v>
      </c>
      <c r="Q25" s="134">
        <v>1358960</v>
      </c>
      <c r="R25" s="133">
        <v>33</v>
      </c>
      <c r="S25" s="134">
        <v>0</v>
      </c>
      <c r="T25" s="135">
        <f t="shared" si="23"/>
        <v>33</v>
      </c>
      <c r="U25" s="134">
        <v>2387900</v>
      </c>
      <c r="V25" s="133">
        <v>38</v>
      </c>
      <c r="W25" s="134">
        <v>0</v>
      </c>
      <c r="X25" s="135">
        <f t="shared" si="24"/>
        <v>38</v>
      </c>
      <c r="Y25" s="134">
        <v>2930500</v>
      </c>
      <c r="Z25" s="133">
        <v>34</v>
      </c>
      <c r="AA25" s="134">
        <v>0</v>
      </c>
      <c r="AB25" s="135">
        <f t="shared" si="25"/>
        <v>34</v>
      </c>
      <c r="AC25" s="141">
        <v>2525100</v>
      </c>
      <c r="AD25" s="133">
        <v>28</v>
      </c>
      <c r="AE25" s="134">
        <v>0</v>
      </c>
      <c r="AF25" s="135">
        <f t="shared" si="26"/>
        <v>28</v>
      </c>
      <c r="AG25" s="134">
        <v>2152950</v>
      </c>
      <c r="AH25" s="133">
        <v>25</v>
      </c>
      <c r="AI25" s="134">
        <v>0</v>
      </c>
      <c r="AJ25" s="135">
        <f t="shared" si="27"/>
        <v>25</v>
      </c>
      <c r="AK25" s="134">
        <v>2307480</v>
      </c>
      <c r="AL25" s="133">
        <v>28</v>
      </c>
      <c r="AM25" s="134">
        <v>1</v>
      </c>
      <c r="AN25" s="135">
        <f t="shared" si="28"/>
        <v>29</v>
      </c>
      <c r="AO25" s="134">
        <v>3208010</v>
      </c>
      <c r="AP25" s="133">
        <v>31</v>
      </c>
      <c r="AQ25" s="134">
        <v>2</v>
      </c>
      <c r="AR25" s="135">
        <f t="shared" si="29"/>
        <v>33</v>
      </c>
      <c r="AS25" s="134">
        <v>2045600</v>
      </c>
      <c r="AT25" s="133">
        <v>31</v>
      </c>
      <c r="AU25" s="136">
        <v>0</v>
      </c>
      <c r="AV25" s="137">
        <f t="shared" si="34"/>
        <v>31</v>
      </c>
      <c r="AW25" s="136">
        <v>2579050</v>
      </c>
      <c r="AX25" s="137">
        <f t="shared" si="35"/>
        <v>338</v>
      </c>
      <c r="AY25" s="135">
        <f t="shared" si="36"/>
        <v>4</v>
      </c>
      <c r="AZ25" s="135">
        <f t="shared" si="37"/>
        <v>342</v>
      </c>
      <c r="BA25" s="138">
        <f t="shared" si="38"/>
        <v>24659530</v>
      </c>
      <c r="BC25" s="121">
        <f t="shared" si="0"/>
        <v>39</v>
      </c>
      <c r="BD25" s="121">
        <f t="shared" si="1"/>
        <v>0</v>
      </c>
      <c r="BE25" s="121">
        <f t="shared" si="2"/>
        <v>39</v>
      </c>
      <c r="BF25">
        <f t="shared" si="3"/>
        <v>2790775</v>
      </c>
    </row>
    <row r="26" spans="1:58" x14ac:dyDescent="0.3">
      <c r="A26" s="132" t="s">
        <v>13</v>
      </c>
      <c r="B26" s="133">
        <v>17</v>
      </c>
      <c r="C26" s="134">
        <v>0</v>
      </c>
      <c r="D26" s="135">
        <f t="shared" si="19"/>
        <v>17</v>
      </c>
      <c r="E26" s="134">
        <v>1129788</v>
      </c>
      <c r="F26" s="133">
        <v>11</v>
      </c>
      <c r="G26" s="134">
        <v>0</v>
      </c>
      <c r="H26" s="135">
        <f t="shared" si="20"/>
        <v>11</v>
      </c>
      <c r="I26" s="134">
        <v>835187</v>
      </c>
      <c r="J26" s="133">
        <v>11</v>
      </c>
      <c r="K26" s="134">
        <v>0</v>
      </c>
      <c r="L26" s="135">
        <f t="shared" si="21"/>
        <v>11</v>
      </c>
      <c r="M26" s="134">
        <v>825800</v>
      </c>
      <c r="N26" s="133">
        <v>13</v>
      </c>
      <c r="O26" s="134">
        <v>0</v>
      </c>
      <c r="P26" s="135">
        <f t="shared" si="22"/>
        <v>13</v>
      </c>
      <c r="Q26" s="134">
        <v>740250</v>
      </c>
      <c r="R26" s="133">
        <v>10</v>
      </c>
      <c r="S26" s="134">
        <v>0</v>
      </c>
      <c r="T26" s="135">
        <f t="shared" si="23"/>
        <v>10</v>
      </c>
      <c r="U26" s="134">
        <v>523800</v>
      </c>
      <c r="V26" s="133">
        <v>8</v>
      </c>
      <c r="W26" s="134">
        <v>0</v>
      </c>
      <c r="X26" s="135">
        <f t="shared" si="24"/>
        <v>8</v>
      </c>
      <c r="Y26" s="134">
        <v>615890</v>
      </c>
      <c r="Z26" s="133">
        <v>7</v>
      </c>
      <c r="AA26" s="134">
        <v>0</v>
      </c>
      <c r="AB26" s="135">
        <f t="shared" si="25"/>
        <v>7</v>
      </c>
      <c r="AC26" s="141">
        <v>493500</v>
      </c>
      <c r="AD26" s="133">
        <v>10</v>
      </c>
      <c r="AE26" s="134">
        <v>0</v>
      </c>
      <c r="AF26" s="135">
        <f t="shared" si="26"/>
        <v>10</v>
      </c>
      <c r="AG26" s="134">
        <v>745250</v>
      </c>
      <c r="AH26" s="133">
        <v>12</v>
      </c>
      <c r="AI26" s="134">
        <v>0</v>
      </c>
      <c r="AJ26" s="135">
        <f t="shared" si="27"/>
        <v>12</v>
      </c>
      <c r="AK26" s="134">
        <v>840780</v>
      </c>
      <c r="AL26" s="133">
        <v>10</v>
      </c>
      <c r="AM26" s="134">
        <v>5</v>
      </c>
      <c r="AN26" s="135">
        <f t="shared" si="28"/>
        <v>15</v>
      </c>
      <c r="AO26" s="134">
        <v>290000</v>
      </c>
      <c r="AP26" s="133">
        <v>16</v>
      </c>
      <c r="AQ26" s="134">
        <v>5</v>
      </c>
      <c r="AR26" s="135">
        <f t="shared" si="29"/>
        <v>21</v>
      </c>
      <c r="AS26" s="134">
        <v>807420</v>
      </c>
      <c r="AT26" s="133">
        <v>17</v>
      </c>
      <c r="AU26" s="136">
        <v>1</v>
      </c>
      <c r="AV26" s="137">
        <f t="shared" si="34"/>
        <v>18</v>
      </c>
      <c r="AW26" s="136">
        <v>1126140</v>
      </c>
      <c r="AX26" s="137">
        <f t="shared" si="35"/>
        <v>142</v>
      </c>
      <c r="AY26" s="135">
        <f t="shared" si="36"/>
        <v>11</v>
      </c>
      <c r="AZ26" s="135">
        <f t="shared" si="37"/>
        <v>153</v>
      </c>
      <c r="BA26" s="138">
        <f t="shared" si="38"/>
        <v>8973805</v>
      </c>
      <c r="BC26" s="121">
        <f t="shared" si="0"/>
        <v>121</v>
      </c>
      <c r="BD26" s="121">
        <f t="shared" si="1"/>
        <v>2</v>
      </c>
      <c r="BE26" s="121">
        <f t="shared" si="2"/>
        <v>123</v>
      </c>
      <c r="BF26">
        <f t="shared" si="3"/>
        <v>6815470</v>
      </c>
    </row>
    <row r="27" spans="1:58" x14ac:dyDescent="0.3">
      <c r="A27" s="132" t="s">
        <v>127</v>
      </c>
      <c r="B27" s="133">
        <v>33</v>
      </c>
      <c r="C27" s="134">
        <v>2</v>
      </c>
      <c r="D27" s="135">
        <f t="shared" si="19"/>
        <v>35</v>
      </c>
      <c r="E27" s="134">
        <v>1898900</v>
      </c>
      <c r="F27" s="133">
        <v>42</v>
      </c>
      <c r="G27" s="134">
        <v>0</v>
      </c>
      <c r="H27" s="135">
        <f t="shared" si="20"/>
        <v>42</v>
      </c>
      <c r="I27" s="134">
        <v>2468710</v>
      </c>
      <c r="J27" s="133">
        <v>46</v>
      </c>
      <c r="K27" s="134">
        <v>0</v>
      </c>
      <c r="L27" s="135">
        <f t="shared" si="21"/>
        <v>46</v>
      </c>
      <c r="M27" s="134">
        <v>2447860</v>
      </c>
      <c r="N27" s="133">
        <v>67</v>
      </c>
      <c r="O27" s="134">
        <v>1</v>
      </c>
      <c r="P27" s="135">
        <f t="shared" si="22"/>
        <v>68</v>
      </c>
      <c r="Q27" s="134">
        <v>3923620</v>
      </c>
      <c r="R27" s="133">
        <v>60</v>
      </c>
      <c r="S27" s="134">
        <v>1</v>
      </c>
      <c r="T27" s="135">
        <f t="shared" si="23"/>
        <v>61</v>
      </c>
      <c r="U27" s="134">
        <v>3630190</v>
      </c>
      <c r="V27" s="133">
        <v>65</v>
      </c>
      <c r="W27" s="134">
        <v>0</v>
      </c>
      <c r="X27" s="135">
        <f t="shared" si="24"/>
        <v>65</v>
      </c>
      <c r="Y27" s="134">
        <v>4862200</v>
      </c>
      <c r="Z27" s="133">
        <v>52</v>
      </c>
      <c r="AA27" s="134">
        <v>1</v>
      </c>
      <c r="AB27" s="135">
        <f t="shared" si="25"/>
        <v>53</v>
      </c>
      <c r="AC27" s="141">
        <v>4099870</v>
      </c>
      <c r="AD27" s="133">
        <v>78</v>
      </c>
      <c r="AE27" s="134">
        <v>1</v>
      </c>
      <c r="AF27" s="135">
        <f t="shared" si="26"/>
        <v>79</v>
      </c>
      <c r="AG27" s="134">
        <v>5158990</v>
      </c>
      <c r="AH27" s="133">
        <v>56</v>
      </c>
      <c r="AI27" s="134">
        <v>1</v>
      </c>
      <c r="AJ27" s="135">
        <f t="shared" si="27"/>
        <v>57</v>
      </c>
      <c r="AK27" s="134">
        <v>4602560</v>
      </c>
      <c r="AL27" s="133">
        <v>57</v>
      </c>
      <c r="AM27" s="134">
        <v>11</v>
      </c>
      <c r="AN27" s="135">
        <f t="shared" si="28"/>
        <v>68</v>
      </c>
      <c r="AO27" s="134">
        <v>4965790</v>
      </c>
      <c r="AP27" s="133">
        <v>50</v>
      </c>
      <c r="AQ27" s="134">
        <v>9</v>
      </c>
      <c r="AR27" s="135">
        <f t="shared" si="29"/>
        <v>59</v>
      </c>
      <c r="AS27" s="134">
        <v>4159205</v>
      </c>
      <c r="AT27" s="133">
        <v>44</v>
      </c>
      <c r="AU27" s="136">
        <v>6</v>
      </c>
      <c r="AV27" s="137">
        <f t="shared" si="34"/>
        <v>50</v>
      </c>
      <c r="AW27" s="136">
        <v>2134315</v>
      </c>
      <c r="AX27" s="137">
        <f t="shared" si="35"/>
        <v>650</v>
      </c>
      <c r="AY27" s="135">
        <f t="shared" si="36"/>
        <v>33</v>
      </c>
      <c r="AZ27" s="135">
        <f t="shared" si="37"/>
        <v>683</v>
      </c>
      <c r="BA27" s="138">
        <f t="shared" si="38"/>
        <v>44352210</v>
      </c>
      <c r="BC27" s="121">
        <f t="shared" si="0"/>
        <v>180</v>
      </c>
      <c r="BD27" s="121">
        <f t="shared" si="1"/>
        <v>6</v>
      </c>
      <c r="BE27" s="121">
        <f t="shared" si="2"/>
        <v>186</v>
      </c>
      <c r="BF27">
        <f t="shared" si="3"/>
        <v>13960300</v>
      </c>
    </row>
    <row r="28" spans="1:58" x14ac:dyDescent="0.3">
      <c r="A28" s="132" t="s">
        <v>128</v>
      </c>
      <c r="B28" s="133">
        <v>57</v>
      </c>
      <c r="C28" s="134">
        <v>2</v>
      </c>
      <c r="D28" s="135">
        <f t="shared" si="19"/>
        <v>59</v>
      </c>
      <c r="E28" s="134">
        <v>4328220</v>
      </c>
      <c r="F28" s="133">
        <v>53</v>
      </c>
      <c r="G28" s="134">
        <v>2</v>
      </c>
      <c r="H28" s="135">
        <f t="shared" si="20"/>
        <v>55</v>
      </c>
      <c r="I28" s="134">
        <v>4381405</v>
      </c>
      <c r="J28" s="133">
        <v>70</v>
      </c>
      <c r="K28" s="134">
        <v>2</v>
      </c>
      <c r="L28" s="135">
        <f t="shared" si="21"/>
        <v>72</v>
      </c>
      <c r="M28" s="134">
        <v>5250675</v>
      </c>
      <c r="N28" s="133">
        <v>85</v>
      </c>
      <c r="O28" s="134">
        <v>3</v>
      </c>
      <c r="P28" s="135">
        <f t="shared" si="22"/>
        <v>88</v>
      </c>
      <c r="Q28" s="134">
        <v>6116770</v>
      </c>
      <c r="R28" s="133">
        <v>88</v>
      </c>
      <c r="S28" s="134">
        <v>6</v>
      </c>
      <c r="T28" s="135">
        <f t="shared" si="23"/>
        <v>94</v>
      </c>
      <c r="U28" s="134">
        <v>7226269</v>
      </c>
      <c r="V28" s="133">
        <v>87</v>
      </c>
      <c r="W28" s="134">
        <v>1</v>
      </c>
      <c r="X28" s="135">
        <f t="shared" si="24"/>
        <v>88</v>
      </c>
      <c r="Y28" s="134">
        <v>6063880</v>
      </c>
      <c r="Z28" s="133">
        <v>80</v>
      </c>
      <c r="AA28" s="134">
        <v>3</v>
      </c>
      <c r="AB28" s="135">
        <f t="shared" si="25"/>
        <v>83</v>
      </c>
      <c r="AC28" s="141">
        <v>6253570</v>
      </c>
      <c r="AD28" s="133">
        <v>111</v>
      </c>
      <c r="AE28" s="134">
        <v>7</v>
      </c>
      <c r="AF28" s="135">
        <f t="shared" si="26"/>
        <v>118</v>
      </c>
      <c r="AG28" s="134">
        <v>6326130</v>
      </c>
      <c r="AH28" s="133">
        <v>72</v>
      </c>
      <c r="AI28" s="134">
        <v>4</v>
      </c>
      <c r="AJ28" s="135">
        <f t="shared" si="27"/>
        <v>76</v>
      </c>
      <c r="AK28" s="134">
        <v>5643833</v>
      </c>
      <c r="AL28" s="133">
        <v>72</v>
      </c>
      <c r="AM28" s="134">
        <v>0</v>
      </c>
      <c r="AN28" s="135">
        <f t="shared" si="28"/>
        <v>72</v>
      </c>
      <c r="AO28" s="134">
        <v>6533595</v>
      </c>
      <c r="AP28" s="133">
        <v>70</v>
      </c>
      <c r="AQ28" s="134">
        <v>6</v>
      </c>
      <c r="AR28" s="135">
        <f t="shared" si="29"/>
        <v>76</v>
      </c>
      <c r="AS28" s="134">
        <v>5473785</v>
      </c>
      <c r="AT28" s="133">
        <v>71</v>
      </c>
      <c r="AU28" s="136">
        <v>2</v>
      </c>
      <c r="AV28" s="137">
        <f t="shared" si="34"/>
        <v>73</v>
      </c>
      <c r="AW28" s="136">
        <v>7173623</v>
      </c>
      <c r="AX28" s="137">
        <f t="shared" si="35"/>
        <v>916</v>
      </c>
      <c r="AY28" s="135">
        <f t="shared" si="36"/>
        <v>38</v>
      </c>
      <c r="AZ28" s="135">
        <f t="shared" si="37"/>
        <v>954</v>
      </c>
      <c r="BA28" s="138">
        <f t="shared" si="38"/>
        <v>70771755</v>
      </c>
      <c r="BC28" s="121">
        <f t="shared" si="0"/>
        <v>132</v>
      </c>
      <c r="BD28" s="121">
        <f t="shared" si="1"/>
        <v>4</v>
      </c>
      <c r="BE28" s="121">
        <f t="shared" si="2"/>
        <v>136</v>
      </c>
      <c r="BF28">
        <f t="shared" si="3"/>
        <v>8196043</v>
      </c>
    </row>
    <row r="29" spans="1:58" x14ac:dyDescent="0.3">
      <c r="A29" s="132" t="s">
        <v>3</v>
      </c>
      <c r="B29" s="133">
        <v>39</v>
      </c>
      <c r="C29" s="134">
        <v>3</v>
      </c>
      <c r="D29" s="135">
        <f t="shared" si="19"/>
        <v>42</v>
      </c>
      <c r="E29" s="134">
        <v>2535828</v>
      </c>
      <c r="F29" s="133">
        <v>41</v>
      </c>
      <c r="G29" s="134">
        <v>0</v>
      </c>
      <c r="H29" s="135">
        <f t="shared" si="20"/>
        <v>41</v>
      </c>
      <c r="I29" s="134">
        <v>2388865</v>
      </c>
      <c r="J29" s="133">
        <v>52</v>
      </c>
      <c r="K29" s="134">
        <v>1</v>
      </c>
      <c r="L29" s="135">
        <f t="shared" si="21"/>
        <v>53</v>
      </c>
      <c r="M29" s="134">
        <v>3271350</v>
      </c>
      <c r="N29" s="133">
        <v>70</v>
      </c>
      <c r="O29" s="134">
        <v>1</v>
      </c>
      <c r="P29" s="135">
        <f t="shared" si="22"/>
        <v>71</v>
      </c>
      <c r="Q29" s="134">
        <v>4602515</v>
      </c>
      <c r="R29" s="133">
        <v>75</v>
      </c>
      <c r="S29" s="134">
        <v>0</v>
      </c>
      <c r="T29" s="135">
        <f t="shared" si="23"/>
        <v>75</v>
      </c>
      <c r="U29" s="134">
        <v>4677270</v>
      </c>
      <c r="V29" s="133">
        <v>64</v>
      </c>
      <c r="W29" s="134">
        <v>2</v>
      </c>
      <c r="X29" s="135">
        <f t="shared" si="24"/>
        <v>66</v>
      </c>
      <c r="Y29" s="134">
        <v>4806790</v>
      </c>
      <c r="Z29" s="133">
        <v>68</v>
      </c>
      <c r="AA29" s="134">
        <v>2</v>
      </c>
      <c r="AB29" s="135">
        <f t="shared" si="25"/>
        <v>70</v>
      </c>
      <c r="AC29" s="141">
        <v>5457720</v>
      </c>
      <c r="AD29" s="133">
        <v>101</v>
      </c>
      <c r="AE29" s="134">
        <v>1</v>
      </c>
      <c r="AF29" s="135">
        <f t="shared" si="26"/>
        <v>102</v>
      </c>
      <c r="AG29" s="134">
        <v>5146510</v>
      </c>
      <c r="AH29" s="133">
        <v>83</v>
      </c>
      <c r="AI29" s="134">
        <v>2</v>
      </c>
      <c r="AJ29" s="135">
        <f t="shared" si="27"/>
        <v>85</v>
      </c>
      <c r="AK29" s="134">
        <v>5356730</v>
      </c>
      <c r="AL29" s="133">
        <v>84</v>
      </c>
      <c r="AM29" s="134">
        <v>0</v>
      </c>
      <c r="AN29" s="135">
        <f t="shared" si="28"/>
        <v>84</v>
      </c>
      <c r="AO29" s="134">
        <v>6366025</v>
      </c>
      <c r="AP29" s="133">
        <v>81</v>
      </c>
      <c r="AQ29" s="134">
        <v>0</v>
      </c>
      <c r="AR29" s="135">
        <f t="shared" si="29"/>
        <v>81</v>
      </c>
      <c r="AS29" s="134">
        <v>6270630</v>
      </c>
      <c r="AT29" s="133">
        <v>70</v>
      </c>
      <c r="AU29" s="136">
        <v>0</v>
      </c>
      <c r="AV29" s="137">
        <f t="shared" si="34"/>
        <v>70</v>
      </c>
      <c r="AW29" s="136">
        <v>4902135</v>
      </c>
      <c r="AX29" s="137">
        <f t="shared" si="35"/>
        <v>828</v>
      </c>
      <c r="AY29" s="135">
        <f t="shared" si="36"/>
        <v>12</v>
      </c>
      <c r="AZ29" s="135">
        <f t="shared" si="37"/>
        <v>840</v>
      </c>
      <c r="BA29" s="138">
        <f t="shared" si="38"/>
        <v>55782368</v>
      </c>
      <c r="BC29" s="121">
        <f t="shared" si="0"/>
        <v>58</v>
      </c>
      <c r="BD29" s="121">
        <f t="shared" si="1"/>
        <v>0</v>
      </c>
      <c r="BE29" s="121">
        <f t="shared" si="2"/>
        <v>58</v>
      </c>
      <c r="BF29">
        <f t="shared" si="3"/>
        <v>4240360</v>
      </c>
    </row>
    <row r="30" spans="1:58" x14ac:dyDescent="0.3">
      <c r="A30" s="132" t="s">
        <v>10</v>
      </c>
      <c r="B30" s="133">
        <v>17</v>
      </c>
      <c r="C30" s="134">
        <v>0</v>
      </c>
      <c r="D30" s="135">
        <f t="shared" si="19"/>
        <v>17</v>
      </c>
      <c r="E30" s="134">
        <v>1242850</v>
      </c>
      <c r="F30" s="133">
        <v>20</v>
      </c>
      <c r="G30" s="134">
        <v>0</v>
      </c>
      <c r="H30" s="135">
        <f t="shared" si="20"/>
        <v>20</v>
      </c>
      <c r="I30" s="134">
        <v>1423000</v>
      </c>
      <c r="J30" s="133">
        <v>21</v>
      </c>
      <c r="K30" s="134">
        <v>0</v>
      </c>
      <c r="L30" s="135">
        <f t="shared" si="21"/>
        <v>21</v>
      </c>
      <c r="M30" s="134">
        <v>1574510</v>
      </c>
      <c r="N30" s="133">
        <v>22</v>
      </c>
      <c r="O30" s="134">
        <v>0</v>
      </c>
      <c r="P30" s="135">
        <f t="shared" si="22"/>
        <v>22</v>
      </c>
      <c r="Q30" s="134">
        <v>1195680</v>
      </c>
      <c r="R30" s="133">
        <v>25</v>
      </c>
      <c r="S30" s="134">
        <v>0</v>
      </c>
      <c r="T30" s="135">
        <f t="shared" si="23"/>
        <v>25</v>
      </c>
      <c r="U30" s="134">
        <v>1894000</v>
      </c>
      <c r="V30" s="133">
        <v>22</v>
      </c>
      <c r="W30" s="134">
        <v>0</v>
      </c>
      <c r="X30" s="135">
        <f t="shared" si="24"/>
        <v>22</v>
      </c>
      <c r="Y30" s="134">
        <v>1007620</v>
      </c>
      <c r="Z30" s="133">
        <v>18</v>
      </c>
      <c r="AA30" s="134">
        <v>0</v>
      </c>
      <c r="AB30" s="135">
        <f t="shared" si="25"/>
        <v>18</v>
      </c>
      <c r="AC30" s="141">
        <v>922700</v>
      </c>
      <c r="AD30" s="133">
        <v>15</v>
      </c>
      <c r="AE30" s="134">
        <v>0</v>
      </c>
      <c r="AF30" s="135">
        <f t="shared" si="26"/>
        <v>15</v>
      </c>
      <c r="AG30" s="134">
        <v>633490</v>
      </c>
      <c r="AH30" s="133">
        <v>14</v>
      </c>
      <c r="AI30" s="134">
        <v>1</v>
      </c>
      <c r="AJ30" s="135">
        <f t="shared" si="27"/>
        <v>15</v>
      </c>
      <c r="AK30" s="134">
        <v>708760</v>
      </c>
      <c r="AL30" s="133">
        <v>12</v>
      </c>
      <c r="AM30" s="134">
        <v>1</v>
      </c>
      <c r="AN30" s="135">
        <f t="shared" si="28"/>
        <v>13</v>
      </c>
      <c r="AO30" s="134">
        <v>832620</v>
      </c>
      <c r="AP30" s="133">
        <v>22</v>
      </c>
      <c r="AQ30" s="134">
        <v>2</v>
      </c>
      <c r="AR30" s="135">
        <f t="shared" si="29"/>
        <v>24</v>
      </c>
      <c r="AS30" s="134">
        <v>916000</v>
      </c>
      <c r="AT30" s="133">
        <v>19</v>
      </c>
      <c r="AU30" s="136">
        <v>2</v>
      </c>
      <c r="AV30" s="137">
        <f t="shared" si="34"/>
        <v>21</v>
      </c>
      <c r="AW30" s="136">
        <v>1014920</v>
      </c>
      <c r="AX30" s="137">
        <f t="shared" si="35"/>
        <v>227</v>
      </c>
      <c r="AY30" s="135">
        <f t="shared" si="36"/>
        <v>6</v>
      </c>
      <c r="AZ30" s="135">
        <f t="shared" si="37"/>
        <v>233</v>
      </c>
      <c r="BA30" s="138">
        <f t="shared" si="38"/>
        <v>13366150</v>
      </c>
      <c r="BC30" s="121">
        <f t="shared" si="0"/>
        <v>99</v>
      </c>
      <c r="BD30" s="121">
        <f t="shared" si="1"/>
        <v>2</v>
      </c>
      <c r="BE30" s="121">
        <f t="shared" si="2"/>
        <v>101</v>
      </c>
      <c r="BF30">
        <f t="shared" si="3"/>
        <v>3885048</v>
      </c>
    </row>
    <row r="31" spans="1:58" x14ac:dyDescent="0.3">
      <c r="A31" s="132" t="s">
        <v>11</v>
      </c>
      <c r="B31" s="133">
        <v>25</v>
      </c>
      <c r="C31" s="134">
        <v>1</v>
      </c>
      <c r="D31" s="135">
        <f t="shared" si="19"/>
        <v>26</v>
      </c>
      <c r="E31" s="134">
        <v>1436050</v>
      </c>
      <c r="F31" s="133">
        <v>36</v>
      </c>
      <c r="G31" s="134">
        <v>0</v>
      </c>
      <c r="H31" s="135">
        <f t="shared" si="20"/>
        <v>36</v>
      </c>
      <c r="I31" s="134">
        <v>1283299</v>
      </c>
      <c r="J31" s="133">
        <v>38</v>
      </c>
      <c r="K31" s="134">
        <v>1</v>
      </c>
      <c r="L31" s="135">
        <f t="shared" si="21"/>
        <v>39</v>
      </c>
      <c r="M31" s="134">
        <v>1165699</v>
      </c>
      <c r="N31" s="133">
        <v>44</v>
      </c>
      <c r="O31" s="134">
        <v>0</v>
      </c>
      <c r="P31" s="135">
        <f t="shared" si="22"/>
        <v>44</v>
      </c>
      <c r="Q31" s="134">
        <v>1974050</v>
      </c>
      <c r="R31" s="133">
        <v>49</v>
      </c>
      <c r="S31" s="134">
        <v>0</v>
      </c>
      <c r="T31" s="135">
        <f t="shared" si="23"/>
        <v>49</v>
      </c>
      <c r="U31" s="134">
        <v>2025450</v>
      </c>
      <c r="V31" s="133">
        <v>43</v>
      </c>
      <c r="W31" s="134">
        <v>0</v>
      </c>
      <c r="X31" s="135">
        <f t="shared" si="24"/>
        <v>43</v>
      </c>
      <c r="Y31" s="134">
        <v>2573650</v>
      </c>
      <c r="Z31" s="133">
        <v>47</v>
      </c>
      <c r="AA31" s="134">
        <v>1</v>
      </c>
      <c r="AB31" s="135">
        <f t="shared" si="25"/>
        <v>48</v>
      </c>
      <c r="AC31" s="141">
        <v>2560450</v>
      </c>
      <c r="AD31" s="133">
        <v>53</v>
      </c>
      <c r="AE31" s="134">
        <v>0</v>
      </c>
      <c r="AF31" s="135">
        <f t="shared" si="26"/>
        <v>53</v>
      </c>
      <c r="AG31" s="134">
        <v>3244350</v>
      </c>
      <c r="AH31" s="133">
        <v>52</v>
      </c>
      <c r="AI31" s="134">
        <v>0</v>
      </c>
      <c r="AJ31" s="135">
        <f t="shared" si="27"/>
        <v>52</v>
      </c>
      <c r="AK31" s="134">
        <v>3538050</v>
      </c>
      <c r="AL31" s="133">
        <v>45</v>
      </c>
      <c r="AM31" s="134">
        <v>3</v>
      </c>
      <c r="AN31" s="135">
        <f t="shared" si="28"/>
        <v>48</v>
      </c>
      <c r="AO31" s="134">
        <v>2873120</v>
      </c>
      <c r="AP31" s="133">
        <v>55</v>
      </c>
      <c r="AQ31" s="134">
        <v>2</v>
      </c>
      <c r="AR31" s="135">
        <f t="shared" si="29"/>
        <v>57</v>
      </c>
      <c r="AS31" s="134">
        <v>3165545</v>
      </c>
      <c r="AT31" s="133">
        <v>43</v>
      </c>
      <c r="AU31" s="136">
        <v>0</v>
      </c>
      <c r="AV31" s="137">
        <f t="shared" si="34"/>
        <v>43</v>
      </c>
      <c r="AW31" s="136">
        <v>3089240</v>
      </c>
      <c r="AX31" s="137">
        <f t="shared" si="35"/>
        <v>530</v>
      </c>
      <c r="AY31" s="135">
        <f t="shared" si="36"/>
        <v>8</v>
      </c>
      <c r="AZ31" s="135">
        <f t="shared" si="37"/>
        <v>538</v>
      </c>
      <c r="BA31" s="138">
        <f t="shared" si="38"/>
        <v>28928953</v>
      </c>
      <c r="BC31" s="121">
        <f t="shared" si="0"/>
        <v>87</v>
      </c>
      <c r="BD31" s="121">
        <f t="shared" si="1"/>
        <v>0</v>
      </c>
      <c r="BE31" s="121">
        <f t="shared" si="2"/>
        <v>87</v>
      </c>
      <c r="BF31">
        <f t="shared" si="3"/>
        <v>4615560</v>
      </c>
    </row>
    <row r="32" spans="1:58" x14ac:dyDescent="0.3">
      <c r="A32" s="132" t="s">
        <v>5</v>
      </c>
      <c r="B32" s="133">
        <v>30</v>
      </c>
      <c r="C32" s="134">
        <v>0</v>
      </c>
      <c r="D32" s="135">
        <f t="shared" si="19"/>
        <v>30</v>
      </c>
      <c r="E32" s="134">
        <v>1603600</v>
      </c>
      <c r="F32" s="133">
        <v>26</v>
      </c>
      <c r="G32" s="134">
        <v>0</v>
      </c>
      <c r="H32" s="135">
        <f t="shared" si="20"/>
        <v>26</v>
      </c>
      <c r="I32" s="134">
        <v>1397320</v>
      </c>
      <c r="J32" s="133">
        <v>31</v>
      </c>
      <c r="K32" s="134">
        <v>0</v>
      </c>
      <c r="L32" s="135">
        <f t="shared" si="21"/>
        <v>31</v>
      </c>
      <c r="M32" s="134">
        <v>1614640</v>
      </c>
      <c r="N32" s="133">
        <v>41</v>
      </c>
      <c r="O32" s="134">
        <v>1</v>
      </c>
      <c r="P32" s="135">
        <f t="shared" si="22"/>
        <v>42</v>
      </c>
      <c r="Q32" s="134">
        <v>2193445</v>
      </c>
      <c r="R32" s="133">
        <v>35</v>
      </c>
      <c r="S32" s="134">
        <v>1</v>
      </c>
      <c r="T32" s="135">
        <f t="shared" si="23"/>
        <v>36</v>
      </c>
      <c r="U32" s="134">
        <v>1844099</v>
      </c>
      <c r="V32" s="133">
        <v>46</v>
      </c>
      <c r="W32" s="134">
        <v>1</v>
      </c>
      <c r="X32" s="135">
        <f t="shared" si="24"/>
        <v>47</v>
      </c>
      <c r="Y32" s="134">
        <v>2423120</v>
      </c>
      <c r="Z32" s="133">
        <v>39</v>
      </c>
      <c r="AA32" s="134">
        <v>1</v>
      </c>
      <c r="AB32" s="135">
        <f t="shared" si="25"/>
        <v>40</v>
      </c>
      <c r="AC32" s="141">
        <v>1848290</v>
      </c>
      <c r="AD32" s="133">
        <v>34</v>
      </c>
      <c r="AE32" s="134">
        <v>1</v>
      </c>
      <c r="AF32" s="135">
        <f t="shared" si="26"/>
        <v>35</v>
      </c>
      <c r="AG32" s="134">
        <v>2148860</v>
      </c>
      <c r="AH32" s="133">
        <v>39</v>
      </c>
      <c r="AI32" s="134">
        <v>1</v>
      </c>
      <c r="AJ32" s="135">
        <f t="shared" si="27"/>
        <v>40</v>
      </c>
      <c r="AK32" s="134">
        <v>2140038</v>
      </c>
      <c r="AL32" s="133">
        <v>61</v>
      </c>
      <c r="AM32" s="134">
        <v>24</v>
      </c>
      <c r="AN32" s="135">
        <f t="shared" si="28"/>
        <v>85</v>
      </c>
      <c r="AO32" s="134">
        <v>2985130</v>
      </c>
      <c r="AP32" s="133">
        <v>61</v>
      </c>
      <c r="AQ32" s="134">
        <v>24</v>
      </c>
      <c r="AR32" s="135">
        <f t="shared" si="29"/>
        <v>85</v>
      </c>
      <c r="AS32" s="134">
        <v>2774595</v>
      </c>
      <c r="AT32" s="133">
        <v>62</v>
      </c>
      <c r="AU32" s="136">
        <v>11</v>
      </c>
      <c r="AV32" s="137">
        <f t="shared" si="34"/>
        <v>73</v>
      </c>
      <c r="AW32" s="136">
        <v>2675545</v>
      </c>
      <c r="AX32" s="137">
        <f t="shared" si="35"/>
        <v>505</v>
      </c>
      <c r="AY32" s="135">
        <f t="shared" si="36"/>
        <v>65</v>
      </c>
      <c r="AZ32" s="135">
        <f t="shared" si="37"/>
        <v>570</v>
      </c>
      <c r="BA32" s="138">
        <f t="shared" si="38"/>
        <v>25648682</v>
      </c>
      <c r="BC32" s="121">
        <f t="shared" si="0"/>
        <v>201</v>
      </c>
      <c r="BD32" s="121">
        <f t="shared" si="1"/>
        <v>0</v>
      </c>
      <c r="BE32" s="121">
        <f t="shared" si="2"/>
        <v>201</v>
      </c>
      <c r="BF32">
        <f t="shared" si="3"/>
        <v>10119841</v>
      </c>
    </row>
    <row r="33" spans="1:58" x14ac:dyDescent="0.3">
      <c r="A33" s="132" t="s">
        <v>129</v>
      </c>
      <c r="B33" s="133">
        <v>54</v>
      </c>
      <c r="C33" s="134">
        <v>0</v>
      </c>
      <c r="D33" s="135">
        <f t="shared" si="19"/>
        <v>54</v>
      </c>
      <c r="E33" s="134">
        <v>2890160</v>
      </c>
      <c r="F33" s="133">
        <v>67</v>
      </c>
      <c r="G33" s="134">
        <v>0</v>
      </c>
      <c r="H33" s="135">
        <f t="shared" si="20"/>
        <v>67</v>
      </c>
      <c r="I33" s="134">
        <f>3207600-13800</f>
        <v>3193800</v>
      </c>
      <c r="J33" s="133">
        <v>80</v>
      </c>
      <c r="K33" s="134">
        <v>0</v>
      </c>
      <c r="L33" s="135">
        <f t="shared" si="21"/>
        <v>80</v>
      </c>
      <c r="M33" s="134">
        <v>4035881</v>
      </c>
      <c r="N33" s="133">
        <v>79</v>
      </c>
      <c r="O33" s="134">
        <v>1</v>
      </c>
      <c r="P33" s="135">
        <f t="shared" si="22"/>
        <v>80</v>
      </c>
      <c r="Q33" s="134">
        <v>4646325</v>
      </c>
      <c r="R33" s="133">
        <v>95</v>
      </c>
      <c r="S33" s="134">
        <v>0</v>
      </c>
      <c r="T33" s="135">
        <f t="shared" si="23"/>
        <v>95</v>
      </c>
      <c r="U33" s="134">
        <v>5369050</v>
      </c>
      <c r="V33" s="133">
        <v>94</v>
      </c>
      <c r="W33" s="134">
        <v>0</v>
      </c>
      <c r="X33" s="135">
        <f t="shared" si="24"/>
        <v>94</v>
      </c>
      <c r="Y33" s="134">
        <v>5093810</v>
      </c>
      <c r="Z33" s="133">
        <v>90</v>
      </c>
      <c r="AA33" s="134">
        <v>1</v>
      </c>
      <c r="AB33" s="135">
        <f t="shared" si="25"/>
        <v>91</v>
      </c>
      <c r="AC33" s="141">
        <v>5260205</v>
      </c>
      <c r="AD33" s="133">
        <v>97</v>
      </c>
      <c r="AE33" s="134">
        <v>0</v>
      </c>
      <c r="AF33" s="135">
        <f t="shared" si="26"/>
        <v>97</v>
      </c>
      <c r="AG33" s="134">
        <v>6282609</v>
      </c>
      <c r="AH33" s="133">
        <v>79</v>
      </c>
      <c r="AI33" s="134">
        <v>1</v>
      </c>
      <c r="AJ33" s="135">
        <f t="shared" si="27"/>
        <v>80</v>
      </c>
      <c r="AK33" s="134">
        <v>5821870</v>
      </c>
      <c r="AL33" s="133">
        <v>71</v>
      </c>
      <c r="AM33" s="134">
        <v>18</v>
      </c>
      <c r="AN33" s="135">
        <f t="shared" si="28"/>
        <v>89</v>
      </c>
      <c r="AO33" s="134">
        <v>5869010</v>
      </c>
      <c r="AP33" s="133">
        <v>93</v>
      </c>
      <c r="AQ33" s="134">
        <v>6</v>
      </c>
      <c r="AR33" s="135">
        <f t="shared" si="29"/>
        <v>99</v>
      </c>
      <c r="AS33" s="134">
        <v>5437835</v>
      </c>
      <c r="AT33" s="133">
        <v>92</v>
      </c>
      <c r="AU33" s="136">
        <v>4</v>
      </c>
      <c r="AV33" s="137">
        <f t="shared" si="34"/>
        <v>96</v>
      </c>
      <c r="AW33" s="136">
        <v>4671495</v>
      </c>
      <c r="AX33" s="137">
        <f t="shared" si="35"/>
        <v>991</v>
      </c>
      <c r="AY33" s="135">
        <f t="shared" si="36"/>
        <v>31</v>
      </c>
      <c r="AZ33" s="135">
        <f t="shared" si="37"/>
        <v>1022</v>
      </c>
      <c r="BA33" s="138">
        <f t="shared" si="38"/>
        <v>58572050</v>
      </c>
      <c r="BC33" s="121">
        <f t="shared" si="0"/>
        <v>66</v>
      </c>
      <c r="BD33" s="121">
        <f t="shared" si="1"/>
        <v>0</v>
      </c>
      <c r="BE33" s="121">
        <f t="shared" si="2"/>
        <v>66</v>
      </c>
      <c r="BF33">
        <f t="shared" si="3"/>
        <v>2944150</v>
      </c>
    </row>
    <row r="34" spans="1:58" x14ac:dyDescent="0.3">
      <c r="A34" s="132" t="s">
        <v>9</v>
      </c>
      <c r="B34" s="133">
        <v>22</v>
      </c>
      <c r="C34" s="134">
        <v>0</v>
      </c>
      <c r="D34" s="135">
        <f t="shared" si="19"/>
        <v>22</v>
      </c>
      <c r="E34" s="134">
        <v>1063150</v>
      </c>
      <c r="F34" s="133">
        <v>23</v>
      </c>
      <c r="G34" s="134">
        <v>0</v>
      </c>
      <c r="H34" s="135">
        <f t="shared" si="20"/>
        <v>23</v>
      </c>
      <c r="I34" s="134">
        <v>1043200</v>
      </c>
      <c r="J34" s="133">
        <v>21</v>
      </c>
      <c r="K34" s="134">
        <v>0</v>
      </c>
      <c r="L34" s="135">
        <f t="shared" si="21"/>
        <v>21</v>
      </c>
      <c r="M34" s="134">
        <v>837800</v>
      </c>
      <c r="N34" s="133">
        <v>21</v>
      </c>
      <c r="O34" s="134">
        <v>1</v>
      </c>
      <c r="P34" s="135">
        <f t="shared" si="22"/>
        <v>22</v>
      </c>
      <c r="Q34" s="134">
        <v>1033700</v>
      </c>
      <c r="R34" s="133">
        <v>27</v>
      </c>
      <c r="S34" s="134">
        <v>0</v>
      </c>
      <c r="T34" s="135">
        <f t="shared" si="23"/>
        <v>27</v>
      </c>
      <c r="U34" s="134">
        <v>1368700</v>
      </c>
      <c r="V34" s="133">
        <v>25</v>
      </c>
      <c r="W34" s="134">
        <v>0</v>
      </c>
      <c r="X34" s="135">
        <f t="shared" si="24"/>
        <v>25</v>
      </c>
      <c r="Y34" s="134">
        <v>1139500</v>
      </c>
      <c r="Z34" s="133">
        <v>19</v>
      </c>
      <c r="AA34" s="134">
        <v>0</v>
      </c>
      <c r="AB34" s="135">
        <f t="shared" si="25"/>
        <v>19</v>
      </c>
      <c r="AC34" s="141">
        <v>786200</v>
      </c>
      <c r="AD34" s="133">
        <v>15</v>
      </c>
      <c r="AE34" s="134">
        <v>0</v>
      </c>
      <c r="AF34" s="135">
        <f t="shared" si="26"/>
        <v>15</v>
      </c>
      <c r="AG34" s="134">
        <v>859800</v>
      </c>
      <c r="AH34" s="133">
        <v>16</v>
      </c>
      <c r="AI34" s="134">
        <v>0</v>
      </c>
      <c r="AJ34" s="135">
        <f t="shared" si="27"/>
        <v>16</v>
      </c>
      <c r="AK34" s="134">
        <v>1003870</v>
      </c>
      <c r="AL34" s="133">
        <v>14</v>
      </c>
      <c r="AM34" s="134">
        <v>0</v>
      </c>
      <c r="AN34" s="135">
        <f t="shared" si="28"/>
        <v>14</v>
      </c>
      <c r="AO34" s="134">
        <v>547900</v>
      </c>
      <c r="AP34" s="133">
        <v>17</v>
      </c>
      <c r="AQ34" s="134">
        <v>1</v>
      </c>
      <c r="AR34" s="135">
        <f t="shared" si="29"/>
        <v>18</v>
      </c>
      <c r="AS34" s="134">
        <v>646615</v>
      </c>
      <c r="AT34" s="133">
        <v>24</v>
      </c>
      <c r="AU34" s="136">
        <v>0</v>
      </c>
      <c r="AV34" s="137">
        <f t="shared" si="34"/>
        <v>24</v>
      </c>
      <c r="AW34" s="136">
        <v>833480</v>
      </c>
      <c r="AX34" s="137">
        <f t="shared" si="35"/>
        <v>244</v>
      </c>
      <c r="AY34" s="135">
        <f t="shared" si="36"/>
        <v>2</v>
      </c>
      <c r="AZ34" s="135">
        <f t="shared" si="37"/>
        <v>246</v>
      </c>
      <c r="BA34" s="138">
        <f t="shared" si="38"/>
        <v>11163915</v>
      </c>
      <c r="BC34" s="121">
        <f t="shared" si="0"/>
        <v>31</v>
      </c>
      <c r="BD34" s="121">
        <f t="shared" si="1"/>
        <v>0</v>
      </c>
      <c r="BE34" s="121">
        <f t="shared" si="2"/>
        <v>31</v>
      </c>
      <c r="BF34">
        <f t="shared" si="3"/>
        <v>1800300</v>
      </c>
    </row>
    <row r="35" spans="1:58" x14ac:dyDescent="0.3">
      <c r="A35" s="132" t="s">
        <v>12</v>
      </c>
      <c r="B35" s="133">
        <v>10</v>
      </c>
      <c r="C35" s="134">
        <v>0</v>
      </c>
      <c r="D35" s="135">
        <f t="shared" si="19"/>
        <v>10</v>
      </c>
      <c r="E35" s="134">
        <v>721100</v>
      </c>
      <c r="F35" s="133">
        <v>11</v>
      </c>
      <c r="G35" s="134">
        <v>0</v>
      </c>
      <c r="H35" s="135">
        <f t="shared" si="20"/>
        <v>11</v>
      </c>
      <c r="I35" s="134">
        <v>644100</v>
      </c>
      <c r="J35" s="133">
        <v>10</v>
      </c>
      <c r="K35" s="134">
        <v>0</v>
      </c>
      <c r="L35" s="135">
        <f t="shared" si="21"/>
        <v>10</v>
      </c>
      <c r="M35" s="134">
        <v>435100</v>
      </c>
      <c r="N35" s="133">
        <v>14</v>
      </c>
      <c r="O35" s="134">
        <v>1</v>
      </c>
      <c r="P35" s="135">
        <f t="shared" si="22"/>
        <v>15</v>
      </c>
      <c r="Q35" s="134">
        <v>616700</v>
      </c>
      <c r="R35" s="133">
        <v>18</v>
      </c>
      <c r="S35" s="134">
        <v>0</v>
      </c>
      <c r="T35" s="135">
        <f t="shared" si="23"/>
        <v>18</v>
      </c>
      <c r="U35" s="134">
        <v>752300</v>
      </c>
      <c r="V35" s="133">
        <v>17</v>
      </c>
      <c r="W35" s="134">
        <v>0</v>
      </c>
      <c r="X35" s="135">
        <f t="shared" si="24"/>
        <v>17</v>
      </c>
      <c r="Y35" s="134">
        <v>1115050</v>
      </c>
      <c r="Z35" s="133">
        <v>17</v>
      </c>
      <c r="AA35" s="134">
        <v>0</v>
      </c>
      <c r="AB35" s="135">
        <f t="shared" si="25"/>
        <v>17</v>
      </c>
      <c r="AC35" s="141">
        <v>1014800</v>
      </c>
      <c r="AD35" s="133">
        <v>14</v>
      </c>
      <c r="AE35" s="134">
        <v>0</v>
      </c>
      <c r="AF35" s="135">
        <f t="shared" si="26"/>
        <v>14</v>
      </c>
      <c r="AG35" s="134">
        <v>805100</v>
      </c>
      <c r="AH35" s="133">
        <v>14</v>
      </c>
      <c r="AI35" s="134">
        <v>0</v>
      </c>
      <c r="AJ35" s="135">
        <f t="shared" si="27"/>
        <v>14</v>
      </c>
      <c r="AK35" s="134">
        <v>1046300</v>
      </c>
      <c r="AL35" s="133">
        <v>12</v>
      </c>
      <c r="AM35" s="134">
        <v>0</v>
      </c>
      <c r="AN35" s="135">
        <f t="shared" si="28"/>
        <v>12</v>
      </c>
      <c r="AO35" s="134">
        <v>544900</v>
      </c>
      <c r="AP35" s="133">
        <v>16</v>
      </c>
      <c r="AQ35" s="134">
        <v>0</v>
      </c>
      <c r="AR35" s="135">
        <f t="shared" si="29"/>
        <v>16</v>
      </c>
      <c r="AS35" s="134">
        <v>1025200</v>
      </c>
      <c r="AT35" s="133">
        <v>25</v>
      </c>
      <c r="AU35" s="136">
        <v>0</v>
      </c>
      <c r="AV35" s="137">
        <f t="shared" si="34"/>
        <v>25</v>
      </c>
      <c r="AW35" s="136">
        <v>906340</v>
      </c>
      <c r="AX35" s="137">
        <f t="shared" si="35"/>
        <v>178</v>
      </c>
      <c r="AY35" s="135">
        <f t="shared" si="36"/>
        <v>1</v>
      </c>
      <c r="AZ35" s="135">
        <f t="shared" si="37"/>
        <v>179</v>
      </c>
      <c r="BA35" s="138">
        <f t="shared" si="38"/>
        <v>9626990</v>
      </c>
      <c r="BC35" s="121">
        <f t="shared" si="0"/>
        <v>0</v>
      </c>
      <c r="BD35" s="121">
        <f t="shared" si="1"/>
        <v>0</v>
      </c>
      <c r="BE35" s="121">
        <f t="shared" si="2"/>
        <v>0</v>
      </c>
      <c r="BF35">
        <f t="shared" si="3"/>
        <v>0</v>
      </c>
    </row>
    <row r="36" spans="1:58" x14ac:dyDescent="0.3">
      <c r="A36" s="132" t="s">
        <v>23</v>
      </c>
      <c r="B36" s="139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34">
        <v>0</v>
      </c>
      <c r="R36" s="133">
        <v>9</v>
      </c>
      <c r="S36" s="134">
        <v>1</v>
      </c>
      <c r="T36" s="135">
        <f t="shared" si="23"/>
        <v>10</v>
      </c>
      <c r="U36" s="134">
        <v>883200</v>
      </c>
      <c r="V36" s="133">
        <v>19</v>
      </c>
      <c r="W36" s="134">
        <v>0</v>
      </c>
      <c r="X36" s="135">
        <f t="shared" si="24"/>
        <v>19</v>
      </c>
      <c r="Y36" s="134">
        <v>1040500</v>
      </c>
      <c r="Z36" s="133">
        <v>18</v>
      </c>
      <c r="AA36" s="134">
        <v>0</v>
      </c>
      <c r="AB36" s="135">
        <f t="shared" si="25"/>
        <v>18</v>
      </c>
      <c r="AC36" s="141">
        <v>964600</v>
      </c>
      <c r="AD36" s="133">
        <v>26</v>
      </c>
      <c r="AE36" s="134">
        <v>0</v>
      </c>
      <c r="AF36" s="135">
        <f t="shared" si="26"/>
        <v>26</v>
      </c>
      <c r="AG36" s="134">
        <v>1135800</v>
      </c>
      <c r="AH36" s="133">
        <v>21</v>
      </c>
      <c r="AI36" s="134">
        <v>0</v>
      </c>
      <c r="AJ36" s="135">
        <f t="shared" si="27"/>
        <v>21</v>
      </c>
      <c r="AK36" s="134">
        <v>1225360</v>
      </c>
      <c r="AL36" s="133">
        <v>26</v>
      </c>
      <c r="AM36" s="134">
        <v>1</v>
      </c>
      <c r="AN36" s="135">
        <f t="shared" si="28"/>
        <v>27</v>
      </c>
      <c r="AO36" s="134">
        <v>1404260</v>
      </c>
      <c r="AP36" s="133">
        <v>33</v>
      </c>
      <c r="AQ36" s="134">
        <v>2</v>
      </c>
      <c r="AR36" s="135">
        <f t="shared" si="29"/>
        <v>35</v>
      </c>
      <c r="AS36" s="134">
        <v>1915217</v>
      </c>
      <c r="AT36" s="133">
        <v>44</v>
      </c>
      <c r="AU36" s="136">
        <v>1</v>
      </c>
      <c r="AV36" s="137">
        <f t="shared" si="34"/>
        <v>45</v>
      </c>
      <c r="AW36" s="136">
        <v>2450230</v>
      </c>
      <c r="AX36" s="137">
        <f t="shared" si="35"/>
        <v>196</v>
      </c>
      <c r="AY36" s="135">
        <f t="shared" si="36"/>
        <v>5</v>
      </c>
      <c r="AZ36" s="135">
        <f t="shared" si="37"/>
        <v>201</v>
      </c>
      <c r="BA36" s="138">
        <f t="shared" si="38"/>
        <v>11019167</v>
      </c>
      <c r="BC36" s="121">
        <f t="shared" si="0"/>
        <v>87</v>
      </c>
      <c r="BD36" s="121">
        <f t="shared" si="1"/>
        <v>2</v>
      </c>
      <c r="BE36" s="121">
        <f t="shared" si="2"/>
        <v>89</v>
      </c>
      <c r="BF36">
        <f t="shared" si="3"/>
        <v>3863520</v>
      </c>
    </row>
    <row r="37" spans="1:58" s="7" customFormat="1" x14ac:dyDescent="0.3">
      <c r="A37" s="132" t="s">
        <v>103</v>
      </c>
      <c r="B37" s="133">
        <v>30</v>
      </c>
      <c r="C37" s="134">
        <v>1</v>
      </c>
      <c r="D37" s="135">
        <f>SUM(B37:C37)</f>
        <v>31</v>
      </c>
      <c r="E37" s="134">
        <v>1546250</v>
      </c>
      <c r="F37" s="133">
        <v>25</v>
      </c>
      <c r="G37" s="134">
        <v>0</v>
      </c>
      <c r="H37" s="135">
        <f t="shared" si="20"/>
        <v>25</v>
      </c>
      <c r="I37" s="134">
        <v>903550</v>
      </c>
      <c r="J37" s="133">
        <v>32</v>
      </c>
      <c r="K37" s="134">
        <v>1</v>
      </c>
      <c r="L37" s="135">
        <f t="shared" si="21"/>
        <v>33</v>
      </c>
      <c r="M37" s="134">
        <v>1413720</v>
      </c>
      <c r="N37" s="133">
        <v>33</v>
      </c>
      <c r="O37" s="134">
        <v>4</v>
      </c>
      <c r="P37" s="135">
        <f t="shared" si="22"/>
        <v>37</v>
      </c>
      <c r="Q37" s="134">
        <v>1218480</v>
      </c>
      <c r="R37" s="133">
        <v>19</v>
      </c>
      <c r="S37" s="134">
        <v>1</v>
      </c>
      <c r="T37" s="135">
        <f t="shared" si="23"/>
        <v>20</v>
      </c>
      <c r="U37" s="134">
        <v>990650</v>
      </c>
      <c r="V37" s="133">
        <v>30</v>
      </c>
      <c r="W37" s="134">
        <v>2</v>
      </c>
      <c r="X37" s="135">
        <f t="shared" si="24"/>
        <v>32</v>
      </c>
      <c r="Y37" s="134">
        <v>822850</v>
      </c>
      <c r="Z37" s="133">
        <v>20</v>
      </c>
      <c r="AA37" s="134">
        <v>0</v>
      </c>
      <c r="AB37" s="135">
        <f t="shared" si="25"/>
        <v>20</v>
      </c>
      <c r="AC37" s="141">
        <v>599800</v>
      </c>
      <c r="AD37" s="133">
        <v>8</v>
      </c>
      <c r="AE37" s="134">
        <v>2</v>
      </c>
      <c r="AF37" s="135">
        <f t="shared" si="26"/>
        <v>10</v>
      </c>
      <c r="AG37" s="134">
        <v>170800</v>
      </c>
      <c r="AH37" s="133">
        <v>1</v>
      </c>
      <c r="AI37" s="134">
        <v>2</v>
      </c>
      <c r="AJ37" s="135">
        <f t="shared" si="27"/>
        <v>3</v>
      </c>
      <c r="AK37" s="134">
        <v>20000</v>
      </c>
      <c r="AL37" s="133">
        <v>16</v>
      </c>
      <c r="AM37" s="134">
        <v>2</v>
      </c>
      <c r="AN37" s="135">
        <f t="shared" si="28"/>
        <v>18</v>
      </c>
      <c r="AO37" s="134">
        <v>45000</v>
      </c>
      <c r="AP37" s="133">
        <v>0</v>
      </c>
      <c r="AQ37" s="134">
        <v>3</v>
      </c>
      <c r="AR37" s="135">
        <f t="shared" si="29"/>
        <v>3</v>
      </c>
      <c r="AS37" s="134">
        <v>6200</v>
      </c>
      <c r="AT37" s="133">
        <v>0</v>
      </c>
      <c r="AU37" s="136">
        <v>1</v>
      </c>
      <c r="AV37" s="137">
        <f t="shared" si="34"/>
        <v>1</v>
      </c>
      <c r="AW37" s="136">
        <v>2700</v>
      </c>
      <c r="AX37" s="137">
        <f t="shared" si="35"/>
        <v>214</v>
      </c>
      <c r="AY37" s="135">
        <f t="shared" si="36"/>
        <v>19</v>
      </c>
      <c r="AZ37" s="135">
        <f t="shared" si="37"/>
        <v>233</v>
      </c>
      <c r="BA37" s="138">
        <f t="shared" si="38"/>
        <v>7740000</v>
      </c>
      <c r="BC37" s="121">
        <f t="shared" si="0"/>
        <v>1421</v>
      </c>
      <c r="BD37" s="121">
        <f t="shared" si="1"/>
        <v>20</v>
      </c>
      <c r="BE37" s="121">
        <f t="shared" si="2"/>
        <v>1441</v>
      </c>
      <c r="BF37">
        <f t="shared" si="3"/>
        <v>82836487</v>
      </c>
    </row>
    <row r="38" spans="1:58" s="63" customFormat="1" ht="15" thickBot="1" x14ac:dyDescent="0.35">
      <c r="A38" s="142" t="s">
        <v>14</v>
      </c>
      <c r="B38" s="143">
        <v>425</v>
      </c>
      <c r="C38" s="144">
        <v>9</v>
      </c>
      <c r="D38" s="144">
        <f>SUM(D23:D37)</f>
        <v>434</v>
      </c>
      <c r="E38" s="144">
        <f>SUM(E23:E37)</f>
        <v>26018396</v>
      </c>
      <c r="F38" s="143">
        <v>461</v>
      </c>
      <c r="G38" s="144">
        <v>3</v>
      </c>
      <c r="H38" s="144">
        <f>SUM(H23:H37)</f>
        <v>464</v>
      </c>
      <c r="I38" s="144">
        <f>SUM(I23:I37)</f>
        <v>26684696</v>
      </c>
      <c r="J38" s="143">
        <v>535</v>
      </c>
      <c r="K38" s="144">
        <v>8</v>
      </c>
      <c r="L38" s="144">
        <f>SUM(L23:L37)</f>
        <v>543</v>
      </c>
      <c r="M38" s="144">
        <f>SUM(M23:M37)</f>
        <v>30133395</v>
      </c>
      <c r="N38" s="143">
        <v>633</v>
      </c>
      <c r="O38" s="144">
        <v>15</v>
      </c>
      <c r="P38" s="144">
        <f>SUM(P23:P37)</f>
        <v>648</v>
      </c>
      <c r="Q38" s="144">
        <f>SUM(Q23:Q37)</f>
        <v>37603780</v>
      </c>
      <c r="R38" s="143">
        <f t="shared" ref="R38:BA38" si="39">SUM(R23:R37)</f>
        <v>654</v>
      </c>
      <c r="S38" s="144">
        <f>SUM(S23:S37)</f>
        <v>13</v>
      </c>
      <c r="T38" s="144">
        <f>SUM(T23:T37)</f>
        <v>667</v>
      </c>
      <c r="U38" s="144">
        <f>SUM(U23:U37)</f>
        <v>40682368</v>
      </c>
      <c r="V38" s="143">
        <f t="shared" si="39"/>
        <v>674</v>
      </c>
      <c r="W38" s="144">
        <f>SUM(W23:W37)</f>
        <v>11</v>
      </c>
      <c r="X38" s="144">
        <f>SUM(X23:X37)</f>
        <v>685</v>
      </c>
      <c r="Y38" s="144">
        <f>SUM(Y23:Y37)</f>
        <v>41632040</v>
      </c>
      <c r="Z38" s="143">
        <f t="shared" si="39"/>
        <v>621</v>
      </c>
      <c r="AA38" s="144">
        <f>SUM(AA23:AA37)</f>
        <v>10</v>
      </c>
      <c r="AB38" s="144">
        <f>SUM(AB23:AB37)</f>
        <v>631</v>
      </c>
      <c r="AC38" s="145">
        <f>SUM(AC23:AC37)</f>
        <v>39999596</v>
      </c>
      <c r="AD38" s="143">
        <f t="shared" si="39"/>
        <v>689</v>
      </c>
      <c r="AE38" s="144">
        <f>SUM(AE23:AE37)</f>
        <v>17</v>
      </c>
      <c r="AF38" s="144">
        <f>SUM(AF23:AF37)</f>
        <v>706</v>
      </c>
      <c r="AG38" s="144">
        <f>SUM(AG23:AG37)</f>
        <v>41460390</v>
      </c>
      <c r="AH38" s="143">
        <f t="shared" si="39"/>
        <v>593</v>
      </c>
      <c r="AI38" s="144">
        <f>SUM(AI23:AI37)</f>
        <v>12</v>
      </c>
      <c r="AJ38" s="144">
        <f>SUM(AJ23:AJ37)</f>
        <v>605</v>
      </c>
      <c r="AK38" s="144">
        <f>SUM(AK23:AK37)</f>
        <v>41892981</v>
      </c>
      <c r="AL38" s="143">
        <f t="shared" si="39"/>
        <v>622</v>
      </c>
      <c r="AM38" s="144">
        <f t="shared" si="39"/>
        <v>75</v>
      </c>
      <c r="AN38" s="144">
        <f t="shared" si="39"/>
        <v>697</v>
      </c>
      <c r="AO38" s="144">
        <f t="shared" si="39"/>
        <v>45541775</v>
      </c>
      <c r="AP38" s="143">
        <f t="shared" si="39"/>
        <v>664</v>
      </c>
      <c r="AQ38" s="144">
        <f t="shared" si="39"/>
        <v>68</v>
      </c>
      <c r="AR38" s="144">
        <f t="shared" si="39"/>
        <v>732</v>
      </c>
      <c r="AS38" s="144">
        <f t="shared" si="39"/>
        <v>44215715</v>
      </c>
      <c r="AT38" s="143">
        <f>SUM(AT23:AT37)</f>
        <v>655</v>
      </c>
      <c r="AU38" s="144">
        <f>SUM(AU23:AU37)</f>
        <v>32</v>
      </c>
      <c r="AV38" s="144">
        <f>SUM(AV23:AV37)</f>
        <v>687</v>
      </c>
      <c r="AW38" s="144">
        <f>SUM(AW23:AW37)</f>
        <v>41724943</v>
      </c>
      <c r="AX38" s="143">
        <f t="shared" si="39"/>
        <v>7226</v>
      </c>
      <c r="AY38" s="144">
        <f t="shared" si="39"/>
        <v>273</v>
      </c>
      <c r="AZ38" s="144">
        <f t="shared" si="39"/>
        <v>7499</v>
      </c>
      <c r="BA38" s="146">
        <f t="shared" si="39"/>
        <v>457590075</v>
      </c>
      <c r="BC38" s="121">
        <f t="shared" si="0"/>
        <v>2395</v>
      </c>
      <c r="BD38" s="121">
        <f t="shared" si="1"/>
        <v>575</v>
      </c>
      <c r="BE38" s="121">
        <f t="shared" si="2"/>
        <v>2970</v>
      </c>
      <c r="BF38">
        <f t="shared" si="3"/>
        <v>123659423</v>
      </c>
    </row>
    <row r="39" spans="1:58" ht="15" thickBot="1" x14ac:dyDescent="0.35">
      <c r="A39" s="155" t="s">
        <v>51</v>
      </c>
      <c r="B39" s="156">
        <f t="shared" ref="B39:BA39" si="40">B38+B19</f>
        <v>701</v>
      </c>
      <c r="C39" s="157">
        <f t="shared" si="40"/>
        <v>176</v>
      </c>
      <c r="D39" s="157">
        <f t="shared" si="40"/>
        <v>877</v>
      </c>
      <c r="E39" s="157">
        <f t="shared" si="40"/>
        <v>37226036</v>
      </c>
      <c r="F39" s="156">
        <f t="shared" si="40"/>
        <v>803</v>
      </c>
      <c r="G39" s="157">
        <f t="shared" si="40"/>
        <v>200</v>
      </c>
      <c r="H39" s="157">
        <f t="shared" si="40"/>
        <v>1003</v>
      </c>
      <c r="I39" s="157">
        <f t="shared" si="40"/>
        <v>41746567</v>
      </c>
      <c r="J39" s="156">
        <f t="shared" si="40"/>
        <v>891</v>
      </c>
      <c r="K39" s="157">
        <f t="shared" si="40"/>
        <v>199</v>
      </c>
      <c r="L39" s="157">
        <f t="shared" si="40"/>
        <v>1090</v>
      </c>
      <c r="M39" s="157">
        <f t="shared" si="40"/>
        <v>44686820</v>
      </c>
      <c r="N39" s="156">
        <f t="shared" si="40"/>
        <v>995</v>
      </c>
      <c r="O39" s="157">
        <f t="shared" si="40"/>
        <v>180</v>
      </c>
      <c r="P39" s="157">
        <f t="shared" si="40"/>
        <v>1175</v>
      </c>
      <c r="Q39" s="157">
        <f t="shared" si="40"/>
        <v>54191500</v>
      </c>
      <c r="R39" s="156">
        <f t="shared" si="40"/>
        <v>966</v>
      </c>
      <c r="S39" s="157">
        <f t="shared" si="40"/>
        <v>206</v>
      </c>
      <c r="T39" s="157">
        <f t="shared" si="40"/>
        <v>1172</v>
      </c>
      <c r="U39" s="157">
        <f t="shared" si="40"/>
        <v>57175928</v>
      </c>
      <c r="V39" s="156">
        <f t="shared" si="40"/>
        <v>927</v>
      </c>
      <c r="W39" s="157">
        <f t="shared" si="40"/>
        <v>140</v>
      </c>
      <c r="X39" s="157">
        <f t="shared" si="40"/>
        <v>1067</v>
      </c>
      <c r="Y39" s="157">
        <f t="shared" si="40"/>
        <v>52668657</v>
      </c>
      <c r="Z39" s="156">
        <f t="shared" si="40"/>
        <v>867</v>
      </c>
      <c r="AA39" s="157">
        <f t="shared" si="40"/>
        <v>153</v>
      </c>
      <c r="AB39" s="157">
        <f t="shared" si="40"/>
        <v>1020</v>
      </c>
      <c r="AC39" s="157">
        <f t="shared" si="40"/>
        <v>50871804</v>
      </c>
      <c r="AD39" s="156">
        <f t="shared" si="40"/>
        <v>892</v>
      </c>
      <c r="AE39" s="157">
        <f t="shared" si="40"/>
        <v>167</v>
      </c>
      <c r="AF39" s="157">
        <f t="shared" si="40"/>
        <v>1059</v>
      </c>
      <c r="AG39" s="157">
        <f t="shared" si="40"/>
        <v>50057220</v>
      </c>
      <c r="AH39" s="156">
        <f t="shared" si="40"/>
        <v>890</v>
      </c>
      <c r="AI39" s="157">
        <f t="shared" si="40"/>
        <v>215</v>
      </c>
      <c r="AJ39" s="157">
        <f t="shared" si="40"/>
        <v>1105</v>
      </c>
      <c r="AK39" s="157">
        <f t="shared" si="40"/>
        <v>54519181</v>
      </c>
      <c r="AL39" s="156">
        <f t="shared" si="40"/>
        <v>958</v>
      </c>
      <c r="AM39" s="157">
        <f t="shared" si="40"/>
        <v>306</v>
      </c>
      <c r="AN39" s="157">
        <f t="shared" si="40"/>
        <v>1264</v>
      </c>
      <c r="AO39" s="157">
        <f t="shared" si="40"/>
        <v>61645775</v>
      </c>
      <c r="AP39" s="156">
        <f t="shared" si="40"/>
        <v>1010</v>
      </c>
      <c r="AQ39" s="157">
        <f t="shared" si="40"/>
        <v>282</v>
      </c>
      <c r="AR39" s="157">
        <f t="shared" si="40"/>
        <v>1292</v>
      </c>
      <c r="AS39" s="157">
        <f t="shared" si="40"/>
        <v>59635666</v>
      </c>
      <c r="AT39" s="157">
        <f t="shared" si="40"/>
        <v>938</v>
      </c>
      <c r="AU39" s="157">
        <f t="shared" si="40"/>
        <v>244</v>
      </c>
      <c r="AV39" s="157">
        <f t="shared" si="40"/>
        <v>1182</v>
      </c>
      <c r="AW39" s="157">
        <f t="shared" si="40"/>
        <v>54462123</v>
      </c>
      <c r="AX39" s="157">
        <f t="shared" si="40"/>
        <v>10838</v>
      </c>
      <c r="AY39" s="156">
        <f t="shared" si="40"/>
        <v>2468</v>
      </c>
      <c r="AZ39" s="156">
        <f t="shared" si="40"/>
        <v>13306</v>
      </c>
      <c r="BA39" s="158">
        <f t="shared" si="40"/>
        <v>618887277</v>
      </c>
    </row>
    <row r="40" spans="1:58" x14ac:dyDescent="0.3">
      <c r="M40" s="52"/>
    </row>
  </sheetData>
  <mergeCells count="2">
    <mergeCell ref="A1:AW1"/>
    <mergeCell ref="AX1:BA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DB1D-2166-431A-87B6-C822814045A0}">
  <dimension ref="A1:AC42"/>
  <sheetViews>
    <sheetView workbookViewId="0">
      <selection activeCell="C3" sqref="C3"/>
    </sheetView>
  </sheetViews>
  <sheetFormatPr defaultRowHeight="14.4" x14ac:dyDescent="0.3"/>
  <cols>
    <col min="1" max="1" width="18.6640625" style="78" bestFit="1" customWidth="1"/>
    <col min="2" max="13" width="10.77734375" style="78" bestFit="1" customWidth="1"/>
    <col min="14" max="14" width="12" style="78" bestFit="1" customWidth="1"/>
    <col min="15" max="15" width="8.88671875" style="78"/>
    <col min="16" max="16" width="16.5546875" style="78" bestFit="1" customWidth="1"/>
    <col min="17" max="28" width="8" style="78" bestFit="1" customWidth="1"/>
    <col min="29" max="29" width="10.77734375" style="78" bestFit="1" customWidth="1"/>
    <col min="30" max="16384" width="8.88671875" style="78"/>
  </cols>
  <sheetData>
    <row r="1" spans="1:14" x14ac:dyDescent="0.3">
      <c r="A1" s="390" t="s">
        <v>99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14" ht="15.6" x14ac:dyDescent="0.3">
      <c r="A2" s="79" t="s">
        <v>46</v>
      </c>
      <c r="B2" s="80">
        <v>45017</v>
      </c>
      <c r="C2" s="80">
        <v>45047</v>
      </c>
      <c r="D2" s="80">
        <v>45078</v>
      </c>
      <c r="E2" s="80">
        <v>45108</v>
      </c>
      <c r="F2" s="80">
        <v>45139</v>
      </c>
      <c r="G2" s="80">
        <v>45170</v>
      </c>
      <c r="H2" s="80">
        <v>45200</v>
      </c>
      <c r="I2" s="80">
        <v>45231</v>
      </c>
      <c r="J2" s="80">
        <v>45261</v>
      </c>
      <c r="K2" s="80">
        <v>45292</v>
      </c>
      <c r="L2" s="80">
        <v>45323</v>
      </c>
      <c r="M2" s="80">
        <v>45352</v>
      </c>
      <c r="N2" s="80" t="s">
        <v>32</v>
      </c>
    </row>
    <row r="3" spans="1:14" ht="16.95" customHeight="1" x14ac:dyDescent="0.3">
      <c r="A3" s="81" t="s">
        <v>4</v>
      </c>
      <c r="B3" s="83">
        <v>5446190</v>
      </c>
      <c r="C3" s="84">
        <v>6036990</v>
      </c>
      <c r="D3" s="84">
        <v>7164000</v>
      </c>
      <c r="E3" s="84">
        <v>8154175</v>
      </c>
      <c r="F3" s="85">
        <v>6949630</v>
      </c>
      <c r="G3" s="84">
        <v>7347890</v>
      </c>
      <c r="H3" s="84">
        <v>7231156</v>
      </c>
      <c r="I3" s="84">
        <v>5934791</v>
      </c>
      <c r="J3" s="84">
        <v>7761730</v>
      </c>
      <c r="K3" s="84">
        <v>11629595</v>
      </c>
      <c r="L3" s="84">
        <v>10452250</v>
      </c>
      <c r="M3" s="84">
        <v>8167935</v>
      </c>
      <c r="N3" s="86">
        <f>SUM(B3:M3)</f>
        <v>92276332</v>
      </c>
    </row>
    <row r="4" spans="1:14" ht="16.95" customHeight="1" x14ac:dyDescent="0.3">
      <c r="A4" s="81" t="s">
        <v>8</v>
      </c>
      <c r="B4" s="83">
        <v>2061000</v>
      </c>
      <c r="C4" s="84">
        <v>1723900</v>
      </c>
      <c r="D4" s="84">
        <v>1791650</v>
      </c>
      <c r="E4" s="84">
        <v>2449000</v>
      </c>
      <c r="F4" s="85">
        <v>2689350</v>
      </c>
      <c r="G4" s="84">
        <v>2222200</v>
      </c>
      <c r="H4" s="84">
        <v>1784500</v>
      </c>
      <c r="I4" s="84">
        <v>2114600</v>
      </c>
      <c r="J4" s="84">
        <v>2833050</v>
      </c>
      <c r="K4" s="84">
        <v>2168720</v>
      </c>
      <c r="L4" s="84">
        <v>2418158</v>
      </c>
      <c r="M4" s="84">
        <v>2590910</v>
      </c>
      <c r="N4" s="86">
        <f t="shared" ref="N4:N17" si="0">SUM(B4:M4)</f>
        <v>26847038</v>
      </c>
    </row>
    <row r="5" spans="1:14" ht="16.95" customHeight="1" x14ac:dyDescent="0.3">
      <c r="A5" s="81" t="s">
        <v>7</v>
      </c>
      <c r="B5" s="83">
        <v>1546100</v>
      </c>
      <c r="C5" s="84">
        <v>1584420</v>
      </c>
      <c r="D5" s="84">
        <v>2028660</v>
      </c>
      <c r="E5" s="84">
        <v>2564160</v>
      </c>
      <c r="F5" s="85">
        <v>3785950</v>
      </c>
      <c r="G5" s="84">
        <v>3359800</v>
      </c>
      <c r="H5" s="84">
        <v>2851000</v>
      </c>
      <c r="I5" s="84">
        <v>2439150</v>
      </c>
      <c r="J5" s="84">
        <v>2679580</v>
      </c>
      <c r="K5" s="84">
        <v>3811230</v>
      </c>
      <c r="L5" s="84">
        <v>2787985</v>
      </c>
      <c r="M5" s="84">
        <v>3269350</v>
      </c>
      <c r="N5" s="86">
        <f t="shared" si="0"/>
        <v>32707385</v>
      </c>
    </row>
    <row r="6" spans="1:14" ht="16.95" customHeight="1" x14ac:dyDescent="0.3">
      <c r="A6" s="81" t="s">
        <v>13</v>
      </c>
      <c r="B6" s="83">
        <v>1142988</v>
      </c>
      <c r="C6" s="84">
        <v>887887</v>
      </c>
      <c r="D6" s="84">
        <v>904500</v>
      </c>
      <c r="E6" s="84">
        <v>905050</v>
      </c>
      <c r="F6" s="85">
        <v>713200</v>
      </c>
      <c r="G6" s="84">
        <v>730090</v>
      </c>
      <c r="H6" s="84">
        <v>704610</v>
      </c>
      <c r="I6" s="84">
        <v>942650</v>
      </c>
      <c r="J6" s="84">
        <v>1001180</v>
      </c>
      <c r="K6" s="84">
        <v>651300</v>
      </c>
      <c r="L6" s="84">
        <v>1070120</v>
      </c>
      <c r="M6" s="84">
        <v>1323340</v>
      </c>
      <c r="N6" s="86">
        <f t="shared" si="0"/>
        <v>10976915</v>
      </c>
    </row>
    <row r="7" spans="1:14" ht="16.95" customHeight="1" x14ac:dyDescent="0.3">
      <c r="A7" s="81" t="s">
        <v>127</v>
      </c>
      <c r="B7" s="83">
        <v>3095700</v>
      </c>
      <c r="C7" s="84">
        <v>4372310</v>
      </c>
      <c r="D7" s="84">
        <v>3706760</v>
      </c>
      <c r="E7" s="84">
        <v>5123670</v>
      </c>
      <c r="F7" s="85">
        <v>5848540</v>
      </c>
      <c r="G7" s="84">
        <v>5546200</v>
      </c>
      <c r="H7" s="84">
        <v>5013170</v>
      </c>
      <c r="I7" s="84">
        <v>5823990</v>
      </c>
      <c r="J7" s="84">
        <v>5644480</v>
      </c>
      <c r="K7" s="84">
        <v>6235590</v>
      </c>
      <c r="L7" s="84">
        <v>6016840</v>
      </c>
      <c r="M7" s="84">
        <v>3262585</v>
      </c>
      <c r="N7" s="86">
        <f t="shared" si="0"/>
        <v>59689835</v>
      </c>
    </row>
    <row r="8" spans="1:14" ht="16.95" customHeight="1" x14ac:dyDescent="0.3">
      <c r="A8" s="81" t="s">
        <v>128</v>
      </c>
      <c r="B8" s="83">
        <v>5612620</v>
      </c>
      <c r="C8" s="84">
        <v>7413806</v>
      </c>
      <c r="D8" s="84">
        <v>7896825</v>
      </c>
      <c r="E8" s="84">
        <v>8327160</v>
      </c>
      <c r="F8" s="85">
        <v>7944119</v>
      </c>
      <c r="G8" s="84">
        <v>7399280</v>
      </c>
      <c r="H8" s="84">
        <v>7652417</v>
      </c>
      <c r="I8" s="84">
        <v>7695630</v>
      </c>
      <c r="J8" s="84">
        <v>6700473</v>
      </c>
      <c r="K8" s="84">
        <v>8207835</v>
      </c>
      <c r="L8" s="84">
        <v>7208611</v>
      </c>
      <c r="M8" s="84">
        <v>8563808</v>
      </c>
      <c r="N8" s="86">
        <f t="shared" si="0"/>
        <v>90622584</v>
      </c>
    </row>
    <row r="9" spans="1:14" ht="16.95" customHeight="1" x14ac:dyDescent="0.3">
      <c r="A9" s="81" t="s">
        <v>3</v>
      </c>
      <c r="B9" s="83">
        <v>3473828</v>
      </c>
      <c r="C9" s="84">
        <v>3707465</v>
      </c>
      <c r="D9" s="84">
        <v>5123400</v>
      </c>
      <c r="E9" s="84">
        <v>7041895</v>
      </c>
      <c r="F9" s="85">
        <v>6958480</v>
      </c>
      <c r="G9" s="84">
        <v>5857190</v>
      </c>
      <c r="H9" s="84">
        <v>6833565</v>
      </c>
      <c r="I9" s="84">
        <v>6009660</v>
      </c>
      <c r="J9" s="84">
        <v>7074580</v>
      </c>
      <c r="K9" s="84">
        <v>7557925</v>
      </c>
      <c r="L9" s="84">
        <v>7730930</v>
      </c>
      <c r="M9" s="84">
        <v>5825415</v>
      </c>
      <c r="N9" s="86">
        <f t="shared" si="0"/>
        <v>73194333</v>
      </c>
    </row>
    <row r="10" spans="1:14" ht="16.95" customHeight="1" x14ac:dyDescent="0.3">
      <c r="A10" s="81" t="s">
        <v>10</v>
      </c>
      <c r="B10" s="83">
        <v>1942350</v>
      </c>
      <c r="C10" s="84">
        <v>1686400</v>
      </c>
      <c r="D10" s="84">
        <v>1914460</v>
      </c>
      <c r="E10" s="84">
        <v>1265530</v>
      </c>
      <c r="F10" s="85">
        <v>2382600</v>
      </c>
      <c r="G10" s="84">
        <v>1261120</v>
      </c>
      <c r="H10" s="84">
        <v>1162610</v>
      </c>
      <c r="I10" s="84">
        <v>725690</v>
      </c>
      <c r="J10" s="84">
        <v>1243960</v>
      </c>
      <c r="K10" s="84">
        <v>1585880</v>
      </c>
      <c r="L10" s="84">
        <v>1460100</v>
      </c>
      <c r="M10" s="84">
        <v>1367520</v>
      </c>
      <c r="N10" s="86">
        <f t="shared" si="0"/>
        <v>17998220</v>
      </c>
    </row>
    <row r="11" spans="1:14" ht="16.95" customHeight="1" x14ac:dyDescent="0.3">
      <c r="A11" s="81" t="s">
        <v>11</v>
      </c>
      <c r="B11" s="83">
        <v>1676950</v>
      </c>
      <c r="C11" s="84">
        <v>1844199</v>
      </c>
      <c r="D11" s="84">
        <v>2293799</v>
      </c>
      <c r="E11" s="84">
        <v>2665650</v>
      </c>
      <c r="F11" s="85">
        <v>3223050</v>
      </c>
      <c r="G11" s="84">
        <v>3086750</v>
      </c>
      <c r="H11" s="84">
        <v>3240250</v>
      </c>
      <c r="I11" s="84">
        <v>3584050</v>
      </c>
      <c r="J11" s="84">
        <v>4378550</v>
      </c>
      <c r="K11" s="84">
        <v>4001320</v>
      </c>
      <c r="L11" s="84">
        <v>4017495</v>
      </c>
      <c r="M11" s="84">
        <v>4353340</v>
      </c>
      <c r="N11" s="86">
        <f t="shared" si="0"/>
        <v>38365403</v>
      </c>
    </row>
    <row r="12" spans="1:14" ht="16.95" customHeight="1" x14ac:dyDescent="0.3">
      <c r="A12" s="81" t="s">
        <v>5</v>
      </c>
      <c r="B12" s="83">
        <v>2332550</v>
      </c>
      <c r="C12" s="84">
        <v>3069140</v>
      </c>
      <c r="D12" s="84">
        <v>2477840</v>
      </c>
      <c r="E12" s="84">
        <v>3809495</v>
      </c>
      <c r="F12" s="85">
        <v>3683779</v>
      </c>
      <c r="G12" s="84">
        <v>3311677</v>
      </c>
      <c r="H12" s="84">
        <v>3007230</v>
      </c>
      <c r="I12" s="84">
        <v>2897160</v>
      </c>
      <c r="J12" s="84">
        <v>2898138</v>
      </c>
      <c r="K12" s="84">
        <v>4009360</v>
      </c>
      <c r="L12" s="84">
        <v>3461185</v>
      </c>
      <c r="M12" s="84">
        <v>3428815</v>
      </c>
      <c r="N12" s="86">
        <f t="shared" si="0"/>
        <v>38386369</v>
      </c>
    </row>
    <row r="13" spans="1:14" ht="16.95" customHeight="1" x14ac:dyDescent="0.3">
      <c r="A13" s="81" t="s">
        <v>23</v>
      </c>
      <c r="B13" s="83">
        <v>0</v>
      </c>
      <c r="C13" s="83">
        <v>0</v>
      </c>
      <c r="D13" s="83">
        <v>0</v>
      </c>
      <c r="E13" s="83">
        <v>0</v>
      </c>
      <c r="F13" s="85">
        <v>1281600</v>
      </c>
      <c r="G13" s="84">
        <v>1303600</v>
      </c>
      <c r="H13" s="84">
        <v>1629200</v>
      </c>
      <c r="I13" s="84">
        <v>1589700</v>
      </c>
      <c r="J13" s="84">
        <v>1912440</v>
      </c>
      <c r="K13" s="84">
        <v>2212380</v>
      </c>
      <c r="L13" s="84">
        <v>2987367</v>
      </c>
      <c r="M13" s="84">
        <v>3217625</v>
      </c>
      <c r="N13" s="86">
        <f t="shared" si="0"/>
        <v>16133912</v>
      </c>
    </row>
    <row r="14" spans="1:14" ht="16.95" customHeight="1" x14ac:dyDescent="0.3">
      <c r="A14" s="81" t="s">
        <v>129</v>
      </c>
      <c r="B14" s="83">
        <v>4601560</v>
      </c>
      <c r="C14" s="84">
        <v>5105200</v>
      </c>
      <c r="D14" s="84">
        <v>5158406</v>
      </c>
      <c r="E14" s="84">
        <v>7501625</v>
      </c>
      <c r="F14" s="85">
        <v>7010250</v>
      </c>
      <c r="G14" s="84">
        <v>6887510</v>
      </c>
      <c r="H14" s="84">
        <v>6539325</v>
      </c>
      <c r="I14" s="84">
        <v>8031349</v>
      </c>
      <c r="J14" s="84">
        <v>7840250</v>
      </c>
      <c r="K14" s="84">
        <v>7412960</v>
      </c>
      <c r="L14" s="84">
        <v>7283360</v>
      </c>
      <c r="M14" s="84">
        <v>6417365</v>
      </c>
      <c r="N14" s="86">
        <f t="shared" si="0"/>
        <v>79789160</v>
      </c>
    </row>
    <row r="15" spans="1:14" ht="16.95" customHeight="1" x14ac:dyDescent="0.3">
      <c r="A15" s="81" t="s">
        <v>9</v>
      </c>
      <c r="B15" s="83">
        <v>1294650</v>
      </c>
      <c r="C15" s="84">
        <v>1650100</v>
      </c>
      <c r="D15" s="84">
        <v>1278250</v>
      </c>
      <c r="E15" s="84">
        <v>1725760</v>
      </c>
      <c r="F15" s="85">
        <v>1758840</v>
      </c>
      <c r="G15" s="84">
        <v>1556110</v>
      </c>
      <c r="H15" s="84">
        <v>1028450</v>
      </c>
      <c r="I15" s="84">
        <v>1055500</v>
      </c>
      <c r="J15" s="84">
        <v>1092470</v>
      </c>
      <c r="K15" s="84">
        <v>764400</v>
      </c>
      <c r="L15" s="84">
        <v>1169065</v>
      </c>
      <c r="M15" s="84">
        <v>1221180</v>
      </c>
      <c r="N15" s="86">
        <f t="shared" si="0"/>
        <v>15594775</v>
      </c>
    </row>
    <row r="16" spans="1:14" ht="16.95" customHeight="1" x14ac:dyDescent="0.3">
      <c r="A16" s="81" t="s">
        <v>12</v>
      </c>
      <c r="B16" s="83">
        <v>918500</v>
      </c>
      <c r="C16" s="84">
        <v>972200</v>
      </c>
      <c r="D16" s="84">
        <v>762200</v>
      </c>
      <c r="E16" s="84">
        <v>852700</v>
      </c>
      <c r="F16" s="85">
        <v>1376300</v>
      </c>
      <c r="G16" s="84">
        <v>1536450</v>
      </c>
      <c r="H16" s="84">
        <v>1432100</v>
      </c>
      <c r="I16" s="84">
        <v>950700</v>
      </c>
      <c r="J16" s="84">
        <v>1315600</v>
      </c>
      <c r="K16" s="84">
        <v>1203880</v>
      </c>
      <c r="L16" s="84">
        <v>1445900</v>
      </c>
      <c r="M16" s="84">
        <v>1374635</v>
      </c>
      <c r="N16" s="86">
        <f t="shared" si="0"/>
        <v>14141165</v>
      </c>
    </row>
    <row r="17" spans="1:29" ht="16.95" customHeight="1" x14ac:dyDescent="0.3">
      <c r="A17" s="81" t="s">
        <v>103</v>
      </c>
      <c r="B17" s="83">
        <v>2081050</v>
      </c>
      <c r="C17" s="84">
        <v>1692550</v>
      </c>
      <c r="D17" s="84">
        <v>2144670</v>
      </c>
      <c r="E17" s="84">
        <v>1805630</v>
      </c>
      <c r="F17" s="85">
        <v>1581140</v>
      </c>
      <c r="G17" s="84">
        <v>1240890</v>
      </c>
      <c r="H17" s="84">
        <v>762221</v>
      </c>
      <c r="I17" s="84">
        <v>262600</v>
      </c>
      <c r="J17" s="84">
        <v>142700</v>
      </c>
      <c r="K17" s="84">
        <v>193400</v>
      </c>
      <c r="L17" s="84">
        <v>126300</v>
      </c>
      <c r="M17" s="84">
        <v>78300</v>
      </c>
      <c r="N17" s="86">
        <f t="shared" si="0"/>
        <v>12111451</v>
      </c>
    </row>
    <row r="18" spans="1:29" ht="15.6" x14ac:dyDescent="0.3">
      <c r="A18" s="79" t="s">
        <v>14</v>
      </c>
      <c r="B18" s="87">
        <f>SUM(B3:B17)</f>
        <v>37226036</v>
      </c>
      <c r="C18" s="87">
        <f t="shared" ref="C18:J18" si="1">SUM(C3:C17)</f>
        <v>41746567</v>
      </c>
      <c r="D18" s="87">
        <f t="shared" si="1"/>
        <v>44645420</v>
      </c>
      <c r="E18" s="87">
        <f t="shared" si="1"/>
        <v>54191500</v>
      </c>
      <c r="F18" s="87">
        <f>SUM(F3:F17)</f>
        <v>57186828</v>
      </c>
      <c r="G18" s="87">
        <f t="shared" si="1"/>
        <v>52646757</v>
      </c>
      <c r="H18" s="87">
        <f t="shared" si="1"/>
        <v>50871804</v>
      </c>
      <c r="I18" s="87">
        <f t="shared" si="1"/>
        <v>50057220</v>
      </c>
      <c r="J18" s="87">
        <f t="shared" si="1"/>
        <v>54519181</v>
      </c>
      <c r="K18" s="87">
        <f>SUM(K3:K17)</f>
        <v>61645775</v>
      </c>
      <c r="L18" s="87">
        <f>SUM(L3:L17)</f>
        <v>59635666</v>
      </c>
      <c r="M18" s="87">
        <f>SUM(M3:M17)</f>
        <v>54462123</v>
      </c>
      <c r="N18" s="87">
        <f>SUM(N3:N17)</f>
        <v>618834877</v>
      </c>
    </row>
    <row r="19" spans="1:29" x14ac:dyDescent="0.3">
      <c r="M19" s="88"/>
      <c r="N19" s="82"/>
    </row>
    <row r="20" spans="1:29" x14ac:dyDescent="0.3">
      <c r="B20" s="88"/>
      <c r="C20" s="88"/>
      <c r="D20" s="88"/>
      <c r="E20" s="88"/>
      <c r="F20" s="88"/>
      <c r="G20" s="88"/>
      <c r="H20" s="88"/>
      <c r="M20" s="88"/>
      <c r="N20" s="89"/>
    </row>
    <row r="21" spans="1:29" x14ac:dyDescent="0.3">
      <c r="A21" s="90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2"/>
      <c r="M21" s="92"/>
    </row>
    <row r="22" spans="1:29" x14ac:dyDescent="0.3">
      <c r="A22" s="390" t="s">
        <v>100</v>
      </c>
      <c r="B22" s="390"/>
      <c r="C22" s="390"/>
      <c r="D22" s="390"/>
      <c r="E22" s="390"/>
      <c r="F22" s="390"/>
      <c r="G22" s="390"/>
      <c r="H22" s="390"/>
      <c r="I22" s="390"/>
      <c r="J22" s="390"/>
      <c r="K22" s="390"/>
      <c r="L22" s="390"/>
      <c r="M22" s="390"/>
      <c r="N22" s="390"/>
      <c r="P22" s="390" t="s">
        <v>101</v>
      </c>
      <c r="Q22" s="390"/>
      <c r="R22" s="390"/>
      <c r="S22" s="390"/>
      <c r="T22" s="390"/>
      <c r="U22" s="390"/>
      <c r="V22" s="390"/>
      <c r="W22" s="390"/>
      <c r="X22" s="390"/>
      <c r="Y22" s="390"/>
      <c r="Z22" s="390"/>
      <c r="AA22" s="390"/>
      <c r="AB22" s="390"/>
      <c r="AC22" s="390"/>
    </row>
    <row r="23" spans="1:29" ht="15.6" x14ac:dyDescent="0.3">
      <c r="A23" s="79" t="s">
        <v>46</v>
      </c>
      <c r="B23" s="93">
        <v>45017</v>
      </c>
      <c r="C23" s="93">
        <v>45047</v>
      </c>
      <c r="D23" s="93">
        <v>45078</v>
      </c>
      <c r="E23" s="93">
        <v>45108</v>
      </c>
      <c r="F23" s="93">
        <v>45139</v>
      </c>
      <c r="G23" s="93">
        <v>45170</v>
      </c>
      <c r="H23" s="93">
        <v>45200</v>
      </c>
      <c r="I23" s="93">
        <v>45231</v>
      </c>
      <c r="J23" s="93">
        <v>45261</v>
      </c>
      <c r="K23" s="93">
        <v>45292</v>
      </c>
      <c r="L23" s="93">
        <v>45323</v>
      </c>
      <c r="M23" s="93">
        <v>45352</v>
      </c>
      <c r="N23" s="93" t="s">
        <v>32</v>
      </c>
      <c r="P23" s="168" t="s">
        <v>89</v>
      </c>
      <c r="Q23" s="170">
        <v>45383</v>
      </c>
      <c r="R23" s="170">
        <v>45413</v>
      </c>
      <c r="S23" s="170">
        <v>45444</v>
      </c>
      <c r="T23" s="170">
        <v>45474</v>
      </c>
      <c r="U23" s="170">
        <v>45505</v>
      </c>
      <c r="V23" s="170">
        <v>45536</v>
      </c>
      <c r="W23" s="170">
        <v>45566</v>
      </c>
      <c r="X23" s="170">
        <v>45597</v>
      </c>
      <c r="Y23" s="170">
        <v>45627</v>
      </c>
      <c r="Z23" s="170">
        <v>45658</v>
      </c>
      <c r="AA23" s="170">
        <v>45689</v>
      </c>
      <c r="AB23" s="170">
        <v>45717</v>
      </c>
      <c r="AC23" s="169" t="s">
        <v>32</v>
      </c>
    </row>
    <row r="24" spans="1:29" x14ac:dyDescent="0.3">
      <c r="A24" s="94" t="s">
        <v>4</v>
      </c>
      <c r="B24" s="95">
        <v>227921</v>
      </c>
      <c r="C24" s="95">
        <v>289399</v>
      </c>
      <c r="D24" s="95">
        <v>310010</v>
      </c>
      <c r="E24" s="95">
        <v>367958</v>
      </c>
      <c r="F24" s="95">
        <v>351415.01</v>
      </c>
      <c r="G24" s="95">
        <v>336864</v>
      </c>
      <c r="H24" s="95">
        <v>345054</v>
      </c>
      <c r="I24" s="95">
        <v>266213</v>
      </c>
      <c r="J24" s="96">
        <v>352100</v>
      </c>
      <c r="K24" s="95">
        <v>368376</v>
      </c>
      <c r="L24" s="95">
        <v>191097</v>
      </c>
      <c r="M24" s="95">
        <v>207187</v>
      </c>
      <c r="N24" s="167">
        <f>SUM(B24:M24)</f>
        <v>3613594.01</v>
      </c>
      <c r="O24" s="88"/>
      <c r="P24" s="123" t="s">
        <v>4</v>
      </c>
      <c r="Q24" s="110">
        <v>188390</v>
      </c>
      <c r="R24" s="110">
        <v>185097</v>
      </c>
      <c r="S24" s="110">
        <v>234563</v>
      </c>
      <c r="T24" s="110">
        <v>158597</v>
      </c>
      <c r="U24" s="110">
        <v>154473</v>
      </c>
      <c r="V24" s="110">
        <v>207866</v>
      </c>
      <c r="W24" s="110">
        <v>108419</v>
      </c>
      <c r="X24" s="110">
        <v>140101</v>
      </c>
      <c r="Y24" s="110">
        <v>264837</v>
      </c>
      <c r="Z24" s="110">
        <v>524464</v>
      </c>
      <c r="AA24" s="110">
        <v>409079</v>
      </c>
      <c r="AB24" s="110">
        <v>258314</v>
      </c>
      <c r="AC24" s="48">
        <v>2834200</v>
      </c>
    </row>
    <row r="25" spans="1:29" x14ac:dyDescent="0.3">
      <c r="A25" s="94" t="s">
        <v>8</v>
      </c>
      <c r="B25" s="95">
        <v>33753</v>
      </c>
      <c r="C25" s="95">
        <v>49691</v>
      </c>
      <c r="D25" s="95">
        <v>25317</v>
      </c>
      <c r="E25" s="95">
        <v>64478</v>
      </c>
      <c r="F25" s="95">
        <v>47845</v>
      </c>
      <c r="G25" s="95">
        <v>56540</v>
      </c>
      <c r="H25" s="95">
        <v>44760</v>
      </c>
      <c r="I25" s="95">
        <v>88384</v>
      </c>
      <c r="J25" s="96">
        <v>69813</v>
      </c>
      <c r="K25" s="95">
        <v>61458</v>
      </c>
      <c r="L25" s="95">
        <v>45913</v>
      </c>
      <c r="M25" s="95">
        <v>42730</v>
      </c>
      <c r="N25" s="167">
        <f t="shared" ref="N25:N37" si="2">SUM(B25:M25)</f>
        <v>630682</v>
      </c>
      <c r="O25" s="88"/>
      <c r="P25" s="123" t="s">
        <v>8</v>
      </c>
      <c r="Q25" s="110">
        <v>16488</v>
      </c>
      <c r="R25" s="110">
        <v>34495</v>
      </c>
      <c r="S25" s="110">
        <v>38163</v>
      </c>
      <c r="T25" s="110">
        <v>53195</v>
      </c>
      <c r="U25" s="110">
        <v>126670</v>
      </c>
      <c r="V25" s="110">
        <v>133665</v>
      </c>
      <c r="W25" s="110">
        <v>82579</v>
      </c>
      <c r="X25" s="110">
        <v>59988</v>
      </c>
      <c r="Y25" s="110">
        <v>77340</v>
      </c>
      <c r="Z25" s="110">
        <v>138300</v>
      </c>
      <c r="AA25" s="110">
        <v>118185</v>
      </c>
      <c r="AB25" s="110">
        <v>111750</v>
      </c>
      <c r="AC25" s="48">
        <v>990818</v>
      </c>
    </row>
    <row r="26" spans="1:29" x14ac:dyDescent="0.3">
      <c r="A26" s="94" t="s">
        <v>7</v>
      </c>
      <c r="B26" s="95">
        <v>58139</v>
      </c>
      <c r="C26" s="95">
        <v>114728</v>
      </c>
      <c r="D26" s="95">
        <v>125149</v>
      </c>
      <c r="E26" s="95">
        <v>175642</v>
      </c>
      <c r="F26" s="95">
        <v>200697</v>
      </c>
      <c r="G26" s="95">
        <v>164083</v>
      </c>
      <c r="H26" s="95">
        <v>127050</v>
      </c>
      <c r="I26" s="95">
        <v>111629</v>
      </c>
      <c r="J26" s="96">
        <v>130978</v>
      </c>
      <c r="K26" s="95">
        <v>163247</v>
      </c>
      <c r="L26" s="95">
        <v>127310</v>
      </c>
      <c r="M26" s="95">
        <v>122540</v>
      </c>
      <c r="N26" s="167">
        <f t="shared" si="2"/>
        <v>1621192</v>
      </c>
      <c r="O26" s="88"/>
      <c r="P26" s="123" t="s">
        <v>7</v>
      </c>
      <c r="Q26" s="110">
        <v>73475</v>
      </c>
      <c r="R26" s="110">
        <v>75480</v>
      </c>
      <c r="S26" s="110">
        <v>117575</v>
      </c>
      <c r="T26" s="110">
        <v>62731</v>
      </c>
      <c r="U26" s="110">
        <v>90080</v>
      </c>
      <c r="V26" s="110">
        <v>58565</v>
      </c>
      <c r="W26" s="110">
        <v>74598</v>
      </c>
      <c r="X26" s="110">
        <v>58770</v>
      </c>
      <c r="Y26" s="110">
        <v>133255</v>
      </c>
      <c r="Z26" s="110">
        <v>161094</v>
      </c>
      <c r="AA26" s="110">
        <v>141614</v>
      </c>
      <c r="AB26" s="110">
        <v>183950</v>
      </c>
      <c r="AC26" s="48">
        <v>1231187</v>
      </c>
    </row>
    <row r="27" spans="1:29" x14ac:dyDescent="0.3">
      <c r="A27" s="94" t="s">
        <v>13</v>
      </c>
      <c r="B27" s="95">
        <v>21610</v>
      </c>
      <c r="C27" s="95">
        <v>23184</v>
      </c>
      <c r="D27" s="95">
        <v>25824</v>
      </c>
      <c r="E27" s="95">
        <v>15739</v>
      </c>
      <c r="F27" s="95">
        <v>25300</v>
      </c>
      <c r="G27" s="95">
        <v>13350</v>
      </c>
      <c r="H27" s="95">
        <v>13219</v>
      </c>
      <c r="I27" s="95">
        <v>20159</v>
      </c>
      <c r="J27" s="96">
        <v>21476</v>
      </c>
      <c r="K27" s="95">
        <v>34520</v>
      </c>
      <c r="L27" s="95">
        <v>28797</v>
      </c>
      <c r="M27" s="95">
        <v>22190</v>
      </c>
      <c r="N27" s="167">
        <f t="shared" si="2"/>
        <v>265368</v>
      </c>
      <c r="O27" s="88"/>
      <c r="P27" s="123" t="s">
        <v>13</v>
      </c>
      <c r="Q27" s="110">
        <v>18847</v>
      </c>
      <c r="R27" s="110">
        <v>42334</v>
      </c>
      <c r="S27" s="110">
        <v>25876</v>
      </c>
      <c r="T27" s="110">
        <v>36895</v>
      </c>
      <c r="U27" s="110">
        <v>39747</v>
      </c>
      <c r="V27" s="110">
        <v>69675</v>
      </c>
      <c r="W27" s="110">
        <v>39509</v>
      </c>
      <c r="X27" s="110">
        <v>71590</v>
      </c>
      <c r="Y27" s="110">
        <v>18535</v>
      </c>
      <c r="Z27" s="110">
        <v>82210</v>
      </c>
      <c r="AA27" s="110">
        <v>97815</v>
      </c>
      <c r="AB27" s="110">
        <v>130065</v>
      </c>
      <c r="AC27" s="48">
        <v>673098</v>
      </c>
    </row>
    <row r="28" spans="1:29" x14ac:dyDescent="0.3">
      <c r="A28" s="94" t="s">
        <v>127</v>
      </c>
      <c r="B28" s="95">
        <v>219396</v>
      </c>
      <c r="C28" s="95">
        <v>416521</v>
      </c>
      <c r="D28" s="95">
        <v>364295</v>
      </c>
      <c r="E28" s="95">
        <v>403680</v>
      </c>
      <c r="F28" s="95">
        <v>309278</v>
      </c>
      <c r="G28" s="95">
        <v>265659</v>
      </c>
      <c r="H28" s="95">
        <v>204147</v>
      </c>
      <c r="I28" s="95">
        <v>204782</v>
      </c>
      <c r="J28" s="96">
        <v>94980</v>
      </c>
      <c r="K28" s="95">
        <v>93666</v>
      </c>
      <c r="L28" s="95">
        <v>140578</v>
      </c>
      <c r="M28" s="95">
        <v>126389</v>
      </c>
      <c r="N28" s="167">
        <f t="shared" si="2"/>
        <v>2843371</v>
      </c>
      <c r="O28" s="88"/>
      <c r="P28" s="123" t="s">
        <v>95</v>
      </c>
      <c r="Q28" s="110">
        <v>0</v>
      </c>
      <c r="R28" s="110">
        <v>0</v>
      </c>
      <c r="S28" s="110">
        <v>0</v>
      </c>
      <c r="T28" s="110">
        <v>0</v>
      </c>
      <c r="U28" s="110">
        <v>49070</v>
      </c>
      <c r="V28" s="110">
        <v>48259</v>
      </c>
      <c r="W28" s="110">
        <v>15840</v>
      </c>
      <c r="X28" s="110">
        <v>47010</v>
      </c>
      <c r="Y28" s="110">
        <v>44159</v>
      </c>
      <c r="Z28" s="110">
        <v>69040</v>
      </c>
      <c r="AA28" s="110">
        <v>71887</v>
      </c>
      <c r="AB28" s="110">
        <v>85630</v>
      </c>
      <c r="AC28" s="48">
        <v>430895</v>
      </c>
    </row>
    <row r="29" spans="1:29" x14ac:dyDescent="0.3">
      <c r="A29" s="94" t="s">
        <v>128</v>
      </c>
      <c r="B29" s="95">
        <v>248573</v>
      </c>
      <c r="C29" s="95">
        <v>317019</v>
      </c>
      <c r="D29" s="95">
        <v>370048</v>
      </c>
      <c r="E29" s="95">
        <v>401449</v>
      </c>
      <c r="F29" s="95">
        <v>399233</v>
      </c>
      <c r="G29" s="95">
        <v>265625</v>
      </c>
      <c r="H29" s="95">
        <v>254966</v>
      </c>
      <c r="I29" s="95">
        <v>183986</v>
      </c>
      <c r="J29" s="96">
        <v>291584</v>
      </c>
      <c r="K29" s="95">
        <v>203877</v>
      </c>
      <c r="L29" s="95">
        <v>170060</v>
      </c>
      <c r="M29" s="95">
        <v>172060</v>
      </c>
      <c r="N29" s="167">
        <f t="shared" si="2"/>
        <v>3278480</v>
      </c>
      <c r="O29" s="88"/>
      <c r="P29" s="123" t="s">
        <v>127</v>
      </c>
      <c r="Q29" s="110">
        <v>132928</v>
      </c>
      <c r="R29" s="110">
        <v>127484</v>
      </c>
      <c r="S29" s="110">
        <v>83803</v>
      </c>
      <c r="T29" s="110">
        <v>171785</v>
      </c>
      <c r="U29" s="110">
        <v>264679</v>
      </c>
      <c r="V29" s="110">
        <v>182429</v>
      </c>
      <c r="W29" s="110">
        <v>245908</v>
      </c>
      <c r="X29" s="110">
        <v>86078</v>
      </c>
      <c r="Y29" s="110">
        <v>214429</v>
      </c>
      <c r="Z29" s="110">
        <v>250885</v>
      </c>
      <c r="AA29" s="110">
        <v>321510</v>
      </c>
      <c r="AB29" s="110">
        <v>293639</v>
      </c>
      <c r="AC29" s="48">
        <v>2375557</v>
      </c>
    </row>
    <row r="30" spans="1:29" x14ac:dyDescent="0.3">
      <c r="A30" s="94" t="s">
        <v>3</v>
      </c>
      <c r="B30" s="95">
        <v>91956</v>
      </c>
      <c r="C30" s="95">
        <v>136858</v>
      </c>
      <c r="D30" s="95">
        <v>221720</v>
      </c>
      <c r="E30" s="95">
        <v>295760</v>
      </c>
      <c r="F30" s="95">
        <v>162295.91999999998</v>
      </c>
      <c r="G30" s="95">
        <v>217145</v>
      </c>
      <c r="H30" s="95">
        <v>189802</v>
      </c>
      <c r="I30" s="95">
        <v>220273</v>
      </c>
      <c r="J30" s="96">
        <v>208490</v>
      </c>
      <c r="K30" s="95">
        <v>251180</v>
      </c>
      <c r="L30" s="95">
        <v>155881</v>
      </c>
      <c r="M30" s="95">
        <v>182164</v>
      </c>
      <c r="N30" s="167">
        <f t="shared" si="2"/>
        <v>2333524.92</v>
      </c>
      <c r="O30" s="88"/>
      <c r="P30" s="123" t="s">
        <v>128</v>
      </c>
      <c r="Q30" s="110">
        <v>192239</v>
      </c>
      <c r="R30" s="110">
        <v>174888</v>
      </c>
      <c r="S30" s="110">
        <v>142091</v>
      </c>
      <c r="T30" s="110">
        <v>222928</v>
      </c>
      <c r="U30" s="110">
        <v>316751</v>
      </c>
      <c r="V30" s="110">
        <v>263476</v>
      </c>
      <c r="W30" s="110">
        <v>285261</v>
      </c>
      <c r="X30" s="110">
        <v>177125</v>
      </c>
      <c r="Y30" s="110">
        <v>270390</v>
      </c>
      <c r="Z30" s="110">
        <v>331269</v>
      </c>
      <c r="AA30" s="110">
        <v>213250</v>
      </c>
      <c r="AB30" s="110">
        <v>280064</v>
      </c>
      <c r="AC30" s="48">
        <v>2869732</v>
      </c>
    </row>
    <row r="31" spans="1:29" x14ac:dyDescent="0.3">
      <c r="A31" s="94" t="s">
        <v>10</v>
      </c>
      <c r="B31" s="95">
        <v>49107</v>
      </c>
      <c r="C31" s="95">
        <v>16237</v>
      </c>
      <c r="D31" s="95">
        <v>48387</v>
      </c>
      <c r="E31" s="95">
        <v>11110</v>
      </c>
      <c r="F31" s="95">
        <v>38985.01</v>
      </c>
      <c r="G31" s="95">
        <v>21320</v>
      </c>
      <c r="H31" s="95">
        <v>12120</v>
      </c>
      <c r="I31" s="95">
        <v>27290</v>
      </c>
      <c r="J31" s="96">
        <v>43340</v>
      </c>
      <c r="K31" s="95">
        <v>42100</v>
      </c>
      <c r="L31" s="95">
        <v>44460</v>
      </c>
      <c r="M31" s="95">
        <v>47680</v>
      </c>
      <c r="N31" s="167">
        <f t="shared" si="2"/>
        <v>402136.01</v>
      </c>
      <c r="O31" s="88"/>
      <c r="P31" s="123" t="s">
        <v>3</v>
      </c>
      <c r="Q31" s="110">
        <v>170622</v>
      </c>
      <c r="R31" s="110">
        <v>161608</v>
      </c>
      <c r="S31" s="110">
        <v>134654</v>
      </c>
      <c r="T31" s="110">
        <v>121368</v>
      </c>
      <c r="U31" s="110">
        <v>226517</v>
      </c>
      <c r="V31" s="110">
        <v>208953</v>
      </c>
      <c r="W31" s="110">
        <v>116624</v>
      </c>
      <c r="X31" s="110">
        <v>123029</v>
      </c>
      <c r="Y31" s="110">
        <v>179408</v>
      </c>
      <c r="Z31" s="110">
        <v>208690</v>
      </c>
      <c r="AA31" s="110">
        <v>207329</v>
      </c>
      <c r="AB31" s="110">
        <v>181600</v>
      </c>
      <c r="AC31" s="48">
        <v>2040402</v>
      </c>
    </row>
    <row r="32" spans="1:29" x14ac:dyDescent="0.3">
      <c r="A32" s="94" t="s">
        <v>11</v>
      </c>
      <c r="B32" s="95">
        <v>62473</v>
      </c>
      <c r="C32" s="95">
        <v>105606</v>
      </c>
      <c r="D32" s="95">
        <v>89821</v>
      </c>
      <c r="E32" s="95">
        <v>132607</v>
      </c>
      <c r="F32" s="95">
        <v>159420</v>
      </c>
      <c r="G32" s="95">
        <v>136395</v>
      </c>
      <c r="H32" s="95">
        <v>126460</v>
      </c>
      <c r="I32" s="95">
        <v>151035</v>
      </c>
      <c r="J32" s="96">
        <v>119925</v>
      </c>
      <c r="K32" s="95">
        <v>126665</v>
      </c>
      <c r="L32" s="95">
        <v>90312</v>
      </c>
      <c r="M32" s="95">
        <v>61365</v>
      </c>
      <c r="N32" s="167">
        <f t="shared" si="2"/>
        <v>1362084</v>
      </c>
      <c r="O32" s="88"/>
      <c r="P32" s="123" t="s">
        <v>10</v>
      </c>
      <c r="Q32" s="110">
        <v>47460</v>
      </c>
      <c r="R32" s="110">
        <v>51725</v>
      </c>
      <c r="S32" s="110">
        <v>57550</v>
      </c>
      <c r="T32" s="110">
        <v>52500</v>
      </c>
      <c r="U32" s="110">
        <v>84799</v>
      </c>
      <c r="V32" s="110">
        <v>56690</v>
      </c>
      <c r="W32" s="110">
        <v>3760</v>
      </c>
      <c r="X32" s="110">
        <v>53007</v>
      </c>
      <c r="Y32" s="110">
        <v>23899</v>
      </c>
      <c r="Z32" s="110">
        <v>88765</v>
      </c>
      <c r="AA32" s="110">
        <v>93305</v>
      </c>
      <c r="AB32" s="110">
        <v>84790</v>
      </c>
      <c r="AC32" s="48">
        <v>698250</v>
      </c>
    </row>
    <row r="33" spans="1:29" x14ac:dyDescent="0.3">
      <c r="A33" s="94" t="s">
        <v>5</v>
      </c>
      <c r="B33" s="95">
        <v>21866</v>
      </c>
      <c r="C33" s="95">
        <v>87124</v>
      </c>
      <c r="D33" s="95">
        <v>145989</v>
      </c>
      <c r="E33" s="95">
        <v>157522</v>
      </c>
      <c r="F33" s="95">
        <v>124546</v>
      </c>
      <c r="G33" s="95">
        <v>109817</v>
      </c>
      <c r="H33" s="95">
        <v>52359</v>
      </c>
      <c r="I33" s="95">
        <v>96687</v>
      </c>
      <c r="J33" s="96">
        <v>75555</v>
      </c>
      <c r="K33" s="95">
        <v>55564</v>
      </c>
      <c r="L33" s="95">
        <v>49397</v>
      </c>
      <c r="M33" s="95">
        <v>63367</v>
      </c>
      <c r="N33" s="167">
        <f t="shared" si="2"/>
        <v>1039793</v>
      </c>
      <c r="O33" s="88"/>
      <c r="P33" s="123" t="s">
        <v>11</v>
      </c>
      <c r="Q33" s="110">
        <v>124712</v>
      </c>
      <c r="R33" s="110">
        <v>49075</v>
      </c>
      <c r="S33" s="110">
        <v>48351</v>
      </c>
      <c r="T33" s="110">
        <v>52982</v>
      </c>
      <c r="U33" s="110">
        <v>55850</v>
      </c>
      <c r="V33" s="110">
        <v>96445</v>
      </c>
      <c r="W33" s="110">
        <v>41835</v>
      </c>
      <c r="X33" s="110">
        <v>34240</v>
      </c>
      <c r="Y33" s="110">
        <v>76390</v>
      </c>
      <c r="Z33" s="110">
        <v>128460</v>
      </c>
      <c r="AA33" s="110">
        <v>126260</v>
      </c>
      <c r="AB33" s="110">
        <v>85050</v>
      </c>
      <c r="AC33" s="48">
        <v>919650</v>
      </c>
    </row>
    <row r="34" spans="1:29" x14ac:dyDescent="0.3">
      <c r="A34" s="94" t="s">
        <v>23</v>
      </c>
      <c r="B34" s="95">
        <v>0</v>
      </c>
      <c r="C34" s="95">
        <v>0</v>
      </c>
      <c r="D34" s="95">
        <v>0</v>
      </c>
      <c r="E34" s="95">
        <v>0</v>
      </c>
      <c r="F34" s="95">
        <v>76100</v>
      </c>
      <c r="G34" s="95">
        <v>41831</v>
      </c>
      <c r="H34" s="95">
        <v>88843</v>
      </c>
      <c r="I34" s="95">
        <v>69484</v>
      </c>
      <c r="J34" s="96">
        <v>75997</v>
      </c>
      <c r="K34" s="95">
        <v>82882</v>
      </c>
      <c r="L34" s="95">
        <v>91527</v>
      </c>
      <c r="M34" s="95">
        <v>100431</v>
      </c>
      <c r="N34" s="167">
        <f t="shared" si="2"/>
        <v>627095</v>
      </c>
      <c r="O34" s="88"/>
      <c r="P34" s="123" t="s">
        <v>86</v>
      </c>
      <c r="Q34" s="110">
        <v>0</v>
      </c>
      <c r="R34" s="110">
        <v>37200</v>
      </c>
      <c r="S34" s="110">
        <v>25980</v>
      </c>
      <c r="T34" s="110">
        <v>26858</v>
      </c>
      <c r="U34" s="110">
        <v>82660</v>
      </c>
      <c r="V34" s="110">
        <v>48320</v>
      </c>
      <c r="W34" s="110">
        <v>14620</v>
      </c>
      <c r="X34" s="110">
        <v>18989</v>
      </c>
      <c r="Y34" s="110">
        <v>110954</v>
      </c>
      <c r="Z34" s="110">
        <v>89180</v>
      </c>
      <c r="AA34" s="110">
        <v>113645</v>
      </c>
      <c r="AB34" s="110">
        <v>111270</v>
      </c>
      <c r="AC34" s="48">
        <v>679676</v>
      </c>
    </row>
    <row r="35" spans="1:29" x14ac:dyDescent="0.3">
      <c r="A35" s="123" t="s">
        <v>129</v>
      </c>
      <c r="B35" s="95">
        <v>87276</v>
      </c>
      <c r="C35" s="95">
        <v>121578</v>
      </c>
      <c r="D35" s="95">
        <v>101698</v>
      </c>
      <c r="E35" s="95">
        <v>247631</v>
      </c>
      <c r="F35" s="95">
        <v>171376</v>
      </c>
      <c r="G35" s="95">
        <v>236713</v>
      </c>
      <c r="H35" s="95">
        <v>185683</v>
      </c>
      <c r="I35" s="95">
        <v>243487</v>
      </c>
      <c r="J35" s="96">
        <v>199163</v>
      </c>
      <c r="K35" s="95">
        <v>200776</v>
      </c>
      <c r="L35" s="95">
        <v>102535</v>
      </c>
      <c r="M35" s="95">
        <v>143716</v>
      </c>
      <c r="N35" s="167">
        <f t="shared" si="2"/>
        <v>2041632</v>
      </c>
      <c r="O35" s="88"/>
      <c r="P35" s="123" t="s">
        <v>5</v>
      </c>
      <c r="Q35" s="110">
        <v>43107</v>
      </c>
      <c r="R35" s="110">
        <v>68115</v>
      </c>
      <c r="S35" s="110">
        <v>90503</v>
      </c>
      <c r="T35" s="110">
        <v>28095</v>
      </c>
      <c r="U35" s="110">
        <v>63415</v>
      </c>
      <c r="V35" s="110">
        <v>54670</v>
      </c>
      <c r="W35" s="110">
        <v>79028</v>
      </c>
      <c r="X35" s="110">
        <v>47845</v>
      </c>
      <c r="Y35" s="110">
        <v>86689</v>
      </c>
      <c r="Z35" s="110">
        <v>161759</v>
      </c>
      <c r="AA35" s="110">
        <v>176900</v>
      </c>
      <c r="AB35" s="110">
        <v>139376</v>
      </c>
      <c r="AC35" s="48">
        <v>1039502</v>
      </c>
    </row>
    <row r="36" spans="1:29" x14ac:dyDescent="0.3">
      <c r="A36" s="94" t="s">
        <v>9</v>
      </c>
      <c r="B36" s="95">
        <v>59124</v>
      </c>
      <c r="C36" s="95">
        <v>59810</v>
      </c>
      <c r="D36" s="95">
        <v>40546</v>
      </c>
      <c r="E36" s="95">
        <v>91147</v>
      </c>
      <c r="F36" s="95">
        <v>99199</v>
      </c>
      <c r="G36" s="95">
        <v>59337</v>
      </c>
      <c r="H36" s="95">
        <v>66816</v>
      </c>
      <c r="I36" s="95">
        <v>29910</v>
      </c>
      <c r="J36" s="96">
        <v>52057</v>
      </c>
      <c r="K36" s="95">
        <v>32479</v>
      </c>
      <c r="L36" s="95">
        <v>86100</v>
      </c>
      <c r="M36" s="95">
        <v>69614</v>
      </c>
      <c r="N36" s="167">
        <f t="shared" si="2"/>
        <v>746139</v>
      </c>
      <c r="O36" s="88"/>
      <c r="P36" s="123" t="s">
        <v>23</v>
      </c>
      <c r="Q36" s="110">
        <v>74587</v>
      </c>
      <c r="R36" s="110">
        <v>98711</v>
      </c>
      <c r="S36" s="110">
        <v>90285</v>
      </c>
      <c r="T36" s="110">
        <v>59056</v>
      </c>
      <c r="U36" s="110">
        <v>118875</v>
      </c>
      <c r="V36" s="110">
        <v>100333</v>
      </c>
      <c r="W36" s="110">
        <v>59328</v>
      </c>
      <c r="X36" s="110">
        <v>135594</v>
      </c>
      <c r="Y36" s="110">
        <v>120724</v>
      </c>
      <c r="Z36" s="110">
        <v>194400</v>
      </c>
      <c r="AA36" s="110">
        <v>220263</v>
      </c>
      <c r="AB36" s="110">
        <v>234205</v>
      </c>
      <c r="AC36" s="48">
        <v>1506361</v>
      </c>
    </row>
    <row r="37" spans="1:29" x14ac:dyDescent="0.3">
      <c r="A37" s="94" t="s">
        <v>12</v>
      </c>
      <c r="B37" s="95">
        <v>27796</v>
      </c>
      <c r="C37" s="95">
        <v>42056</v>
      </c>
      <c r="D37" s="95">
        <v>34796</v>
      </c>
      <c r="E37" s="95">
        <v>52351</v>
      </c>
      <c r="F37" s="95">
        <v>79683</v>
      </c>
      <c r="G37" s="95">
        <v>61174</v>
      </c>
      <c r="H37" s="95">
        <v>42805</v>
      </c>
      <c r="I37" s="95">
        <v>46275</v>
      </c>
      <c r="J37" s="96">
        <v>57263</v>
      </c>
      <c r="K37" s="95">
        <v>48879</v>
      </c>
      <c r="L37" s="95">
        <v>34930</v>
      </c>
      <c r="M37" s="95">
        <v>42760</v>
      </c>
      <c r="N37" s="167">
        <f t="shared" si="2"/>
        <v>570768</v>
      </c>
      <c r="O37" s="88"/>
      <c r="P37" s="123" t="s">
        <v>87</v>
      </c>
      <c r="Q37" s="110">
        <v>0</v>
      </c>
      <c r="R37" s="110">
        <v>0</v>
      </c>
      <c r="S37" s="110">
        <v>6780</v>
      </c>
      <c r="T37" s="110">
        <v>11300</v>
      </c>
      <c r="U37" s="110">
        <v>22050</v>
      </c>
      <c r="V37" s="110">
        <v>28035</v>
      </c>
      <c r="W37" s="110">
        <v>15800</v>
      </c>
      <c r="X37" s="110">
        <v>11630</v>
      </c>
      <c r="Y37" s="110">
        <v>42400</v>
      </c>
      <c r="Z37" s="110">
        <v>90014</v>
      </c>
      <c r="AA37" s="110">
        <v>196128</v>
      </c>
      <c r="AB37" s="110">
        <v>108810</v>
      </c>
      <c r="AC37" s="48">
        <v>532947</v>
      </c>
    </row>
    <row r="38" spans="1:29" x14ac:dyDescent="0.3">
      <c r="A38" s="97" t="s">
        <v>14</v>
      </c>
      <c r="B38" s="98">
        <f>SUM(B24:B37)</f>
        <v>1208990</v>
      </c>
      <c r="C38" s="98">
        <f t="shared" ref="C38:J38" si="3">SUM(C24:C37)</f>
        <v>1779811</v>
      </c>
      <c r="D38" s="98">
        <f t="shared" si="3"/>
        <v>1903600</v>
      </c>
      <c r="E38" s="98">
        <f t="shared" si="3"/>
        <v>2417074</v>
      </c>
      <c r="F38" s="98">
        <f t="shared" si="3"/>
        <v>2245372.94</v>
      </c>
      <c r="G38" s="98">
        <f t="shared" si="3"/>
        <v>1985853</v>
      </c>
      <c r="H38" s="98">
        <f t="shared" si="3"/>
        <v>1754084</v>
      </c>
      <c r="I38" s="98">
        <f t="shared" si="3"/>
        <v>1759594</v>
      </c>
      <c r="J38" s="98">
        <f t="shared" si="3"/>
        <v>1792721</v>
      </c>
      <c r="K38" s="98">
        <f>SUM(K24:K37)</f>
        <v>1765669</v>
      </c>
      <c r="L38" s="98">
        <f>SUM(L24:L37)</f>
        <v>1358897</v>
      </c>
      <c r="M38" s="98">
        <f>SUM(M24:M37)</f>
        <v>1404193</v>
      </c>
      <c r="N38" s="98">
        <f>SUM(N24:N37)</f>
        <v>21375858.939999998</v>
      </c>
      <c r="P38" s="123" t="s">
        <v>129</v>
      </c>
      <c r="Q38" s="110">
        <v>115115</v>
      </c>
      <c r="R38" s="110">
        <v>142194</v>
      </c>
      <c r="S38" s="110">
        <v>113164</v>
      </c>
      <c r="T38" s="110">
        <v>106027</v>
      </c>
      <c r="U38" s="110">
        <v>225310</v>
      </c>
      <c r="V38" s="110">
        <v>121348</v>
      </c>
      <c r="W38" s="110">
        <v>48473</v>
      </c>
      <c r="X38" s="110">
        <v>64707</v>
      </c>
      <c r="Y38" s="110">
        <v>62684</v>
      </c>
      <c r="Z38" s="110">
        <v>123828</v>
      </c>
      <c r="AA38" s="110">
        <v>113814</v>
      </c>
      <c r="AB38" s="110">
        <v>138898</v>
      </c>
      <c r="AC38" s="48">
        <v>1375562</v>
      </c>
    </row>
    <row r="39" spans="1:29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P39" s="123" t="s">
        <v>130</v>
      </c>
      <c r="Q39" s="110">
        <v>0</v>
      </c>
      <c r="R39" s="110">
        <v>0</v>
      </c>
      <c r="S39" s="110">
        <v>46480</v>
      </c>
      <c r="T39" s="110">
        <v>54050</v>
      </c>
      <c r="U39" s="110">
        <v>89470</v>
      </c>
      <c r="V39" s="110">
        <v>84783</v>
      </c>
      <c r="W39" s="110">
        <v>44670</v>
      </c>
      <c r="X39" s="110">
        <v>25173</v>
      </c>
      <c r="Y39" s="110">
        <v>52751</v>
      </c>
      <c r="Z39" s="110">
        <v>148519</v>
      </c>
      <c r="AA39" s="110">
        <v>123109</v>
      </c>
      <c r="AB39" s="110">
        <v>82290</v>
      </c>
      <c r="AC39" s="48">
        <v>751295</v>
      </c>
    </row>
    <row r="40" spans="1:29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P40" s="123" t="s">
        <v>9</v>
      </c>
      <c r="Q40" s="110">
        <v>65722</v>
      </c>
      <c r="R40" s="110">
        <v>37366</v>
      </c>
      <c r="S40" s="110">
        <v>33186</v>
      </c>
      <c r="T40" s="110">
        <v>29786</v>
      </c>
      <c r="U40" s="110">
        <v>61463</v>
      </c>
      <c r="V40" s="110">
        <v>70076</v>
      </c>
      <c r="W40" s="110">
        <v>50918</v>
      </c>
      <c r="X40" s="110">
        <v>44121</v>
      </c>
      <c r="Y40" s="110">
        <v>60276</v>
      </c>
      <c r="Z40" s="110">
        <v>67513</v>
      </c>
      <c r="AA40" s="110">
        <v>33677</v>
      </c>
      <c r="AB40" s="110">
        <v>55060</v>
      </c>
      <c r="AC40" s="48">
        <v>609164</v>
      </c>
    </row>
    <row r="41" spans="1:29" x14ac:dyDescent="0.3">
      <c r="P41" s="123" t="s">
        <v>12</v>
      </c>
      <c r="Q41" s="110">
        <v>18830</v>
      </c>
      <c r="R41" s="110">
        <v>71210</v>
      </c>
      <c r="S41" s="110">
        <v>49207</v>
      </c>
      <c r="T41" s="110">
        <v>58852</v>
      </c>
      <c r="U41" s="110">
        <v>56438</v>
      </c>
      <c r="V41" s="110">
        <v>71745</v>
      </c>
      <c r="W41" s="110">
        <v>38996</v>
      </c>
      <c r="X41" s="110">
        <v>23647</v>
      </c>
      <c r="Y41" s="110">
        <v>75333</v>
      </c>
      <c r="Z41" s="110">
        <v>80950</v>
      </c>
      <c r="AA41" s="110">
        <v>78084</v>
      </c>
      <c r="AB41" s="110">
        <v>85367</v>
      </c>
      <c r="AC41" s="48">
        <v>708659</v>
      </c>
    </row>
    <row r="42" spans="1:29" x14ac:dyDescent="0.3">
      <c r="P42" s="168" t="s">
        <v>44</v>
      </c>
      <c r="Q42" s="169">
        <f>SUM(Q24:Q41)</f>
        <v>1282522</v>
      </c>
      <c r="R42" s="169">
        <f t="shared" ref="R42:AC42" si="4">SUM(R24:R41)</f>
        <v>1356982</v>
      </c>
      <c r="S42" s="169">
        <f t="shared" si="4"/>
        <v>1338211</v>
      </c>
      <c r="T42" s="169">
        <f t="shared" si="4"/>
        <v>1307005</v>
      </c>
      <c r="U42" s="169">
        <f t="shared" si="4"/>
        <v>2128317</v>
      </c>
      <c r="V42" s="169">
        <f t="shared" si="4"/>
        <v>1905333</v>
      </c>
      <c r="W42" s="169">
        <f t="shared" si="4"/>
        <v>1366166</v>
      </c>
      <c r="X42" s="169">
        <f t="shared" si="4"/>
        <v>1222644</v>
      </c>
      <c r="Y42" s="169">
        <f t="shared" si="4"/>
        <v>1914453</v>
      </c>
      <c r="Z42" s="169">
        <f t="shared" si="4"/>
        <v>2939340</v>
      </c>
      <c r="AA42" s="169">
        <f t="shared" si="4"/>
        <v>2855854</v>
      </c>
      <c r="AB42" s="169">
        <f t="shared" si="4"/>
        <v>2650128</v>
      </c>
      <c r="AC42" s="169">
        <f t="shared" si="4"/>
        <v>22266955</v>
      </c>
    </row>
  </sheetData>
  <mergeCells count="3">
    <mergeCell ref="A1:N1"/>
    <mergeCell ref="A22:N22"/>
    <mergeCell ref="P22:AC22"/>
  </mergeCells>
  <pageMargins left="0.7" right="0.7" top="0.75" bottom="0.75" header="0.3" footer="0.3"/>
  <pageSetup orientation="portrait" r:id="rId1"/>
  <ignoredErrors>
    <ignoredError sqref="N18 B18:M18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D898-019E-4B9F-8CF8-2E791EED1456}">
  <sheetPr codeName="Sheet8"/>
  <dimension ref="A1:AJ25"/>
  <sheetViews>
    <sheetView workbookViewId="0">
      <pane xSplit="1" ySplit="3" topLeftCell="Y4" activePane="bottomRight" state="frozen"/>
      <selection pane="topRight" activeCell="B1" sqref="B1"/>
      <selection pane="bottomLeft" activeCell="A4" sqref="A4"/>
      <selection pane="bottomRight" activeCell="AJ2" sqref="AJ2"/>
    </sheetView>
  </sheetViews>
  <sheetFormatPr defaultRowHeight="14.4" x14ac:dyDescent="0.3"/>
  <cols>
    <col min="1" max="1" width="14.21875" bestFit="1" customWidth="1"/>
    <col min="2" max="2" width="9" bestFit="1" customWidth="1"/>
    <col min="3" max="3" width="22.44140625" bestFit="1" customWidth="1"/>
    <col min="4" max="4" width="14.21875" bestFit="1" customWidth="1"/>
    <col min="5" max="5" width="9" bestFit="1" customWidth="1"/>
    <col min="6" max="6" width="22.44140625" bestFit="1" customWidth="1"/>
    <col min="7" max="7" width="14.21875" bestFit="1" customWidth="1"/>
    <col min="8" max="8" width="9" bestFit="1" customWidth="1"/>
    <col min="9" max="9" width="22.44140625" bestFit="1" customWidth="1"/>
    <col min="10" max="10" width="14.21875" bestFit="1" customWidth="1"/>
    <col min="11" max="11" width="9" bestFit="1" customWidth="1"/>
    <col min="12" max="12" width="22.44140625" bestFit="1" customWidth="1"/>
    <col min="13" max="13" width="14.21875" bestFit="1" customWidth="1"/>
    <col min="14" max="14" width="9" bestFit="1" customWidth="1"/>
    <col min="15" max="15" width="22.44140625" bestFit="1" customWidth="1"/>
    <col min="16" max="16" width="14.21875" bestFit="1" customWidth="1"/>
    <col min="17" max="17" width="9" bestFit="1" customWidth="1"/>
    <col min="18" max="18" width="22.44140625" bestFit="1" customWidth="1"/>
    <col min="19" max="19" width="14.21875" bestFit="1" customWidth="1"/>
    <col min="20" max="20" width="9" bestFit="1" customWidth="1"/>
    <col min="21" max="21" width="22.44140625" bestFit="1" customWidth="1"/>
    <col min="22" max="22" width="14.21875" bestFit="1" customWidth="1"/>
    <col min="23" max="23" width="9" bestFit="1" customWidth="1"/>
    <col min="24" max="24" width="22.44140625" bestFit="1" customWidth="1"/>
    <col min="25" max="25" width="14.21875" bestFit="1" customWidth="1"/>
    <col min="26" max="26" width="9" bestFit="1" customWidth="1"/>
    <col min="27" max="27" width="22.44140625" bestFit="1" customWidth="1"/>
    <col min="28" max="28" width="14.21875" bestFit="1" customWidth="1"/>
    <col min="29" max="29" width="9" bestFit="1" customWidth="1"/>
    <col min="30" max="30" width="22.44140625" bestFit="1" customWidth="1"/>
    <col min="31" max="31" width="14.21875" bestFit="1" customWidth="1"/>
    <col min="32" max="32" width="9" bestFit="1" customWidth="1"/>
    <col min="33" max="33" width="22.44140625" bestFit="1" customWidth="1"/>
    <col min="34" max="34" width="14.21875" bestFit="1" customWidth="1"/>
    <col min="35" max="35" width="9" bestFit="1" customWidth="1"/>
    <col min="36" max="36" width="22.44140625" bestFit="1" customWidth="1"/>
  </cols>
  <sheetData>
    <row r="1" spans="1:36" x14ac:dyDescent="0.3">
      <c r="A1" s="391">
        <v>44652</v>
      </c>
      <c r="B1" s="391"/>
      <c r="C1" s="391"/>
      <c r="D1" s="391">
        <v>44682</v>
      </c>
      <c r="E1" s="391">
        <v>44682</v>
      </c>
      <c r="F1" s="391">
        <v>44682</v>
      </c>
      <c r="G1" s="391">
        <v>44713</v>
      </c>
      <c r="H1" s="391">
        <v>44713</v>
      </c>
      <c r="I1" s="391">
        <v>44713</v>
      </c>
      <c r="J1" s="391">
        <v>44743</v>
      </c>
      <c r="K1" s="391">
        <v>44743</v>
      </c>
      <c r="L1" s="391">
        <v>44743</v>
      </c>
      <c r="M1" s="391">
        <v>44774</v>
      </c>
      <c r="N1" s="391">
        <v>44774</v>
      </c>
      <c r="O1" s="391">
        <v>44774</v>
      </c>
      <c r="P1" s="391">
        <v>44805</v>
      </c>
      <c r="Q1" s="391">
        <v>44805</v>
      </c>
      <c r="R1" s="391">
        <v>44805</v>
      </c>
      <c r="S1" s="391">
        <v>44835</v>
      </c>
      <c r="T1" s="391">
        <v>44835</v>
      </c>
      <c r="U1" s="391">
        <v>44835</v>
      </c>
      <c r="V1" s="391">
        <v>44866</v>
      </c>
      <c r="W1" s="391">
        <v>44866</v>
      </c>
      <c r="X1" s="391">
        <v>44866</v>
      </c>
      <c r="Y1" s="391">
        <v>44896</v>
      </c>
      <c r="Z1" s="391">
        <v>44896</v>
      </c>
      <c r="AA1" s="391">
        <v>44896</v>
      </c>
      <c r="AB1" s="391">
        <v>44927</v>
      </c>
      <c r="AC1" s="391">
        <v>44927</v>
      </c>
      <c r="AD1" s="391">
        <v>44927</v>
      </c>
      <c r="AE1" s="391">
        <v>44958</v>
      </c>
      <c r="AF1" s="391">
        <v>44958</v>
      </c>
      <c r="AG1" s="391">
        <v>44958</v>
      </c>
      <c r="AH1" s="391">
        <v>44986</v>
      </c>
      <c r="AI1" s="391">
        <v>44986</v>
      </c>
      <c r="AJ1" s="391">
        <v>44986</v>
      </c>
    </row>
    <row r="2" spans="1:36" x14ac:dyDescent="0.3">
      <c r="A2" s="50" t="s">
        <v>42</v>
      </c>
      <c r="B2" s="50" t="s">
        <v>63</v>
      </c>
      <c r="C2" s="50" t="s">
        <v>71</v>
      </c>
      <c r="D2" s="50" t="s">
        <v>42</v>
      </c>
      <c r="E2" s="50" t="s">
        <v>63</v>
      </c>
      <c r="F2" s="50" t="s">
        <v>71</v>
      </c>
      <c r="G2" s="50" t="s">
        <v>42</v>
      </c>
      <c r="H2" s="50" t="s">
        <v>63</v>
      </c>
      <c r="I2" s="50" t="s">
        <v>71</v>
      </c>
      <c r="J2" s="50" t="s">
        <v>42</v>
      </c>
      <c r="K2" s="50" t="s">
        <v>63</v>
      </c>
      <c r="L2" s="50" t="s">
        <v>71</v>
      </c>
      <c r="M2" s="50" t="s">
        <v>42</v>
      </c>
      <c r="N2" s="50" t="s">
        <v>63</v>
      </c>
      <c r="O2" s="50" t="s">
        <v>71</v>
      </c>
      <c r="P2" s="50" t="s">
        <v>42</v>
      </c>
      <c r="Q2" s="50" t="s">
        <v>63</v>
      </c>
      <c r="R2" s="50" t="s">
        <v>71</v>
      </c>
      <c r="S2" s="50" t="s">
        <v>42</v>
      </c>
      <c r="T2" s="50" t="s">
        <v>63</v>
      </c>
      <c r="U2" s="50" t="s">
        <v>71</v>
      </c>
      <c r="V2" s="50" t="s">
        <v>42</v>
      </c>
      <c r="W2" s="50" t="s">
        <v>63</v>
      </c>
      <c r="X2" s="50" t="s">
        <v>71</v>
      </c>
      <c r="Y2" s="50" t="s">
        <v>42</v>
      </c>
      <c r="Z2" s="50" t="s">
        <v>63</v>
      </c>
      <c r="AA2" s="50" t="s">
        <v>71</v>
      </c>
      <c r="AB2" s="50" t="s">
        <v>42</v>
      </c>
      <c r="AC2" s="50" t="s">
        <v>63</v>
      </c>
      <c r="AD2" s="50" t="s">
        <v>71</v>
      </c>
      <c r="AE2" s="50" t="s">
        <v>42</v>
      </c>
      <c r="AF2" s="50" t="s">
        <v>63</v>
      </c>
      <c r="AG2" s="50" t="s">
        <v>71</v>
      </c>
      <c r="AH2" s="50" t="s">
        <v>42</v>
      </c>
      <c r="AI2" s="50" t="s">
        <v>63</v>
      </c>
      <c r="AJ2" s="50" t="s">
        <v>71</v>
      </c>
    </row>
    <row r="3" spans="1:36" x14ac:dyDescent="0.3">
      <c r="A3" s="54" t="s">
        <v>47</v>
      </c>
      <c r="B3" s="54">
        <v>2387710</v>
      </c>
      <c r="C3" s="110">
        <v>37</v>
      </c>
      <c r="D3" s="54" t="s">
        <v>47</v>
      </c>
      <c r="E3" s="54">
        <v>3076310</v>
      </c>
      <c r="F3" s="110">
        <v>30</v>
      </c>
      <c r="G3" s="54" t="s">
        <v>47</v>
      </c>
      <c r="H3" s="54">
        <v>3102080</v>
      </c>
      <c r="I3" s="110">
        <v>46</v>
      </c>
      <c r="J3" s="54" t="s">
        <v>47</v>
      </c>
      <c r="K3" s="54">
        <v>3307728</v>
      </c>
      <c r="L3" s="110">
        <v>16</v>
      </c>
      <c r="M3" s="54" t="s">
        <v>47</v>
      </c>
      <c r="N3" s="54">
        <v>3215620</v>
      </c>
      <c r="O3" s="110">
        <v>25</v>
      </c>
      <c r="P3" s="54" t="s">
        <v>47</v>
      </c>
      <c r="Q3" s="54">
        <v>3000342</v>
      </c>
      <c r="R3" s="110">
        <v>21</v>
      </c>
      <c r="S3" s="54" t="s">
        <v>47</v>
      </c>
      <c r="T3" s="54">
        <v>2600420</v>
      </c>
      <c r="U3" s="110">
        <v>11</v>
      </c>
      <c r="V3" s="54" t="s">
        <v>47</v>
      </c>
      <c r="W3" s="54">
        <v>2756310</v>
      </c>
      <c r="X3" s="110">
        <v>30</v>
      </c>
      <c r="Y3" s="54" t="s">
        <v>47</v>
      </c>
      <c r="Z3" s="54">
        <v>2786004</v>
      </c>
      <c r="AA3" s="110">
        <v>29</v>
      </c>
      <c r="AB3" s="54" t="s">
        <v>47</v>
      </c>
      <c r="AC3" s="54">
        <v>3696041</v>
      </c>
      <c r="AD3" s="110">
        <v>39</v>
      </c>
      <c r="AE3" s="54" t="s">
        <v>47</v>
      </c>
      <c r="AF3" s="54">
        <v>3348800</v>
      </c>
      <c r="AG3" s="110">
        <v>22</v>
      </c>
      <c r="AH3" s="54" t="s">
        <v>47</v>
      </c>
      <c r="AI3" s="54">
        <v>3670850</v>
      </c>
      <c r="AJ3" s="110">
        <v>35</v>
      </c>
    </row>
    <row r="4" spans="1:36" x14ac:dyDescent="0.3">
      <c r="A4" s="54" t="s">
        <v>8</v>
      </c>
      <c r="B4" s="54">
        <v>1069240</v>
      </c>
      <c r="C4" s="110">
        <v>5</v>
      </c>
      <c r="D4" s="54" t="s">
        <v>8</v>
      </c>
      <c r="E4" s="54">
        <v>1330020</v>
      </c>
      <c r="F4" s="110">
        <v>8</v>
      </c>
      <c r="G4" s="54" t="s">
        <v>8</v>
      </c>
      <c r="H4" s="54">
        <v>1298325</v>
      </c>
      <c r="I4" s="110">
        <v>3</v>
      </c>
      <c r="J4" s="54" t="s">
        <v>8</v>
      </c>
      <c r="K4" s="54">
        <v>784958</v>
      </c>
      <c r="L4" s="110">
        <v>3</v>
      </c>
      <c r="M4" s="54" t="s">
        <v>8</v>
      </c>
      <c r="N4" s="54">
        <v>735450</v>
      </c>
      <c r="O4" s="110"/>
      <c r="P4" s="54" t="s">
        <v>8</v>
      </c>
      <c r="Q4" s="54">
        <v>853060</v>
      </c>
      <c r="R4" s="110">
        <v>11</v>
      </c>
      <c r="S4" s="54" t="s">
        <v>8</v>
      </c>
      <c r="T4" s="54">
        <v>1036300</v>
      </c>
      <c r="U4" s="110">
        <v>14</v>
      </c>
      <c r="V4" s="54" t="s">
        <v>8</v>
      </c>
      <c r="W4" s="54">
        <v>999300</v>
      </c>
      <c r="X4" s="110">
        <v>12</v>
      </c>
      <c r="Y4" s="54" t="s">
        <v>8</v>
      </c>
      <c r="Z4" s="54">
        <v>1339572</v>
      </c>
      <c r="AA4" s="110">
        <v>17</v>
      </c>
      <c r="AB4" s="54" t="s">
        <v>8</v>
      </c>
      <c r="AC4" s="54">
        <v>1156950</v>
      </c>
      <c r="AD4" s="110">
        <v>19</v>
      </c>
      <c r="AE4" s="54" t="s">
        <v>8</v>
      </c>
      <c r="AF4" s="54">
        <v>1098330</v>
      </c>
      <c r="AG4" s="110">
        <v>12</v>
      </c>
      <c r="AH4" s="54" t="s">
        <v>8</v>
      </c>
      <c r="AI4" s="54">
        <v>1445450</v>
      </c>
      <c r="AJ4" s="110">
        <v>7</v>
      </c>
    </row>
    <row r="5" spans="1:36" x14ac:dyDescent="0.3">
      <c r="A5" s="54" t="s">
        <v>7</v>
      </c>
      <c r="B5" s="54">
        <v>2435304</v>
      </c>
      <c r="C5" s="110">
        <v>8</v>
      </c>
      <c r="D5" s="54" t="s">
        <v>7</v>
      </c>
      <c r="E5" s="54">
        <v>2814390</v>
      </c>
      <c r="F5" s="110">
        <v>17</v>
      </c>
      <c r="G5" s="54" t="s">
        <v>7</v>
      </c>
      <c r="H5" s="54">
        <v>2076550</v>
      </c>
      <c r="I5" s="110">
        <v>11</v>
      </c>
      <c r="J5" s="54" t="s">
        <v>7</v>
      </c>
      <c r="K5" s="54">
        <v>1425319</v>
      </c>
      <c r="L5" s="110">
        <v>2</v>
      </c>
      <c r="M5" s="54" t="s">
        <v>7</v>
      </c>
      <c r="N5" s="54">
        <v>2285446</v>
      </c>
      <c r="O5" s="110">
        <v>11</v>
      </c>
      <c r="P5" s="54" t="s">
        <v>7</v>
      </c>
      <c r="Q5" s="54">
        <v>2030026</v>
      </c>
      <c r="R5" s="110">
        <v>28</v>
      </c>
      <c r="S5" s="54" t="s">
        <v>7</v>
      </c>
      <c r="T5" s="54">
        <v>2236560</v>
      </c>
      <c r="U5" s="110">
        <v>11</v>
      </c>
      <c r="V5" s="54" t="s">
        <v>7</v>
      </c>
      <c r="W5" s="54">
        <v>2153900</v>
      </c>
      <c r="X5" s="110">
        <v>12</v>
      </c>
      <c r="Y5" s="54" t="s">
        <v>7</v>
      </c>
      <c r="Z5" s="54">
        <v>2088760</v>
      </c>
      <c r="AA5" s="110">
        <v>13</v>
      </c>
      <c r="AB5" s="54" t="s">
        <v>7</v>
      </c>
      <c r="AC5" s="54">
        <v>1089000</v>
      </c>
      <c r="AD5" s="110">
        <v>3</v>
      </c>
      <c r="AE5" s="54" t="s">
        <v>7</v>
      </c>
      <c r="AF5" s="54">
        <v>1592060</v>
      </c>
      <c r="AG5" s="110">
        <v>7</v>
      </c>
      <c r="AH5" s="54" t="s">
        <v>7</v>
      </c>
      <c r="AI5" s="54">
        <v>1365760</v>
      </c>
      <c r="AJ5" s="110">
        <v>10</v>
      </c>
    </row>
    <row r="6" spans="1:36" x14ac:dyDescent="0.3">
      <c r="A6" s="54" t="s">
        <v>13</v>
      </c>
      <c r="B6" s="54">
        <v>847165</v>
      </c>
      <c r="C6" s="110">
        <v>2</v>
      </c>
      <c r="D6" s="54" t="s">
        <v>13</v>
      </c>
      <c r="E6" s="54">
        <v>1217829</v>
      </c>
      <c r="F6" s="110">
        <v>11</v>
      </c>
      <c r="G6" s="54" t="s">
        <v>13</v>
      </c>
      <c r="H6" s="54">
        <v>686300</v>
      </c>
      <c r="I6" s="110"/>
      <c r="J6" s="54" t="s">
        <v>13</v>
      </c>
      <c r="K6" s="54">
        <v>499534</v>
      </c>
      <c r="L6" s="110"/>
      <c r="M6" s="54" t="s">
        <v>13</v>
      </c>
      <c r="N6" s="54">
        <v>943110</v>
      </c>
      <c r="O6" s="110">
        <v>6</v>
      </c>
      <c r="P6" s="54" t="s">
        <v>13</v>
      </c>
      <c r="Q6" s="54">
        <v>820332</v>
      </c>
      <c r="R6" s="110">
        <v>2</v>
      </c>
      <c r="S6" s="54" t="s">
        <v>13</v>
      </c>
      <c r="T6" s="54">
        <v>1049300</v>
      </c>
      <c r="U6" s="110">
        <v>5</v>
      </c>
      <c r="V6" s="54" t="s">
        <v>13</v>
      </c>
      <c r="W6" s="54">
        <v>920050</v>
      </c>
      <c r="X6" s="110">
        <v>6</v>
      </c>
      <c r="Y6" s="54" t="s">
        <v>13</v>
      </c>
      <c r="Z6" s="54">
        <v>1495816</v>
      </c>
      <c r="AA6" s="110">
        <v>7</v>
      </c>
      <c r="AB6" s="54" t="s">
        <v>13</v>
      </c>
      <c r="AC6" s="54">
        <v>1215900</v>
      </c>
      <c r="AD6" s="110">
        <v>5</v>
      </c>
      <c r="AE6" s="54" t="s">
        <v>13</v>
      </c>
      <c r="AF6" s="54">
        <v>1200600</v>
      </c>
      <c r="AG6" s="110">
        <v>2</v>
      </c>
      <c r="AH6" s="54" t="s">
        <v>13</v>
      </c>
      <c r="AI6" s="54">
        <v>1001400</v>
      </c>
      <c r="AJ6" s="110">
        <v>3</v>
      </c>
    </row>
    <row r="7" spans="1:36" x14ac:dyDescent="0.3">
      <c r="A7" s="54" t="s">
        <v>127</v>
      </c>
      <c r="B7" s="54">
        <v>2340610</v>
      </c>
      <c r="C7" s="110">
        <v>14</v>
      </c>
      <c r="D7" s="54" t="s">
        <v>127</v>
      </c>
      <c r="E7" s="54">
        <v>2470950</v>
      </c>
      <c r="F7" s="110">
        <v>25</v>
      </c>
      <c r="G7" s="54" t="s">
        <v>127</v>
      </c>
      <c r="H7" s="54">
        <v>2374730</v>
      </c>
      <c r="I7" s="110">
        <v>14</v>
      </c>
      <c r="J7" s="54" t="s">
        <v>127</v>
      </c>
      <c r="K7" s="54">
        <v>2670611</v>
      </c>
      <c r="L7" s="110">
        <v>9</v>
      </c>
      <c r="M7" s="54" t="s">
        <v>127</v>
      </c>
      <c r="N7" s="54">
        <v>2872585</v>
      </c>
      <c r="O7" s="110">
        <v>16</v>
      </c>
      <c r="P7" s="54" t="s">
        <v>127</v>
      </c>
      <c r="Q7" s="54">
        <v>3402746</v>
      </c>
      <c r="R7" s="110">
        <v>20</v>
      </c>
      <c r="S7" s="54" t="s">
        <v>127</v>
      </c>
      <c r="T7" s="54">
        <v>2171940</v>
      </c>
      <c r="U7" s="110">
        <v>15</v>
      </c>
      <c r="V7" s="54" t="s">
        <v>127</v>
      </c>
      <c r="W7" s="54">
        <v>3911120</v>
      </c>
      <c r="X7" s="110">
        <v>24</v>
      </c>
      <c r="Y7" s="54" t="s">
        <v>127</v>
      </c>
      <c r="Z7" s="54">
        <v>3527681</v>
      </c>
      <c r="AA7" s="110">
        <v>17</v>
      </c>
      <c r="AB7" s="54" t="s">
        <v>127</v>
      </c>
      <c r="AC7" s="54">
        <v>2701512</v>
      </c>
      <c r="AD7" s="110">
        <v>15</v>
      </c>
      <c r="AE7" s="54" t="s">
        <v>127</v>
      </c>
      <c r="AF7" s="54">
        <v>2308350</v>
      </c>
      <c r="AG7" s="110">
        <v>8</v>
      </c>
      <c r="AH7" s="54" t="s">
        <v>127</v>
      </c>
      <c r="AI7" s="54">
        <v>2908450</v>
      </c>
      <c r="AJ7" s="110">
        <v>15</v>
      </c>
    </row>
    <row r="8" spans="1:36" x14ac:dyDescent="0.3">
      <c r="A8" s="54" t="s">
        <v>128</v>
      </c>
      <c r="B8" s="54">
        <v>4989357</v>
      </c>
      <c r="C8" s="110">
        <v>26</v>
      </c>
      <c r="D8" s="54" t="s">
        <v>128</v>
      </c>
      <c r="E8" s="54">
        <v>4331757</v>
      </c>
      <c r="F8" s="110">
        <v>15</v>
      </c>
      <c r="G8" s="54" t="s">
        <v>128</v>
      </c>
      <c r="H8" s="54">
        <v>3800550</v>
      </c>
      <c r="I8" s="110">
        <v>21</v>
      </c>
      <c r="J8" s="54" t="s">
        <v>128</v>
      </c>
      <c r="K8" s="54">
        <v>3311436</v>
      </c>
      <c r="L8" s="110">
        <v>9</v>
      </c>
      <c r="M8" s="54" t="s">
        <v>128</v>
      </c>
      <c r="N8" s="54">
        <v>3037450</v>
      </c>
      <c r="O8" s="110">
        <v>18</v>
      </c>
      <c r="P8" s="54" t="s">
        <v>128</v>
      </c>
      <c r="Q8" s="54">
        <v>5489093</v>
      </c>
      <c r="R8" s="110">
        <v>31</v>
      </c>
      <c r="S8" s="54" t="s">
        <v>128</v>
      </c>
      <c r="T8" s="54">
        <v>4245410</v>
      </c>
      <c r="U8" s="110">
        <v>19</v>
      </c>
      <c r="V8" s="54" t="s">
        <v>128</v>
      </c>
      <c r="W8" s="54">
        <v>3944658</v>
      </c>
      <c r="X8" s="110">
        <v>19</v>
      </c>
      <c r="Y8" s="54" t="s">
        <v>128</v>
      </c>
      <c r="Z8" s="54">
        <v>3644788</v>
      </c>
      <c r="AA8" s="110">
        <v>20</v>
      </c>
      <c r="AB8" s="54" t="s">
        <v>128</v>
      </c>
      <c r="AC8" s="54">
        <v>4375975</v>
      </c>
      <c r="AD8" s="110">
        <v>14</v>
      </c>
      <c r="AE8" s="54" t="s">
        <v>128</v>
      </c>
      <c r="AF8" s="54">
        <v>4091001</v>
      </c>
      <c r="AG8" s="110">
        <v>28</v>
      </c>
      <c r="AH8" s="54" t="s">
        <v>128</v>
      </c>
      <c r="AI8" s="54">
        <v>5870975</v>
      </c>
      <c r="AJ8" s="110">
        <v>38</v>
      </c>
    </row>
    <row r="9" spans="1:36" x14ac:dyDescent="0.3">
      <c r="A9" s="54" t="s">
        <v>48</v>
      </c>
      <c r="B9" s="54">
        <v>1761930</v>
      </c>
      <c r="C9" s="110">
        <v>11</v>
      </c>
      <c r="D9" s="54" t="s">
        <v>48</v>
      </c>
      <c r="E9" s="54">
        <v>2769050</v>
      </c>
      <c r="F9" s="110">
        <v>21</v>
      </c>
      <c r="G9" s="54" t="s">
        <v>48</v>
      </c>
      <c r="H9" s="54">
        <v>2728300</v>
      </c>
      <c r="I9" s="110">
        <v>16</v>
      </c>
      <c r="J9" s="54" t="s">
        <v>48</v>
      </c>
      <c r="K9" s="54">
        <v>2708568</v>
      </c>
      <c r="L9" s="110">
        <v>7</v>
      </c>
      <c r="M9" s="54" t="s">
        <v>48</v>
      </c>
      <c r="N9" s="54">
        <v>3518140</v>
      </c>
      <c r="O9" s="110">
        <v>19</v>
      </c>
      <c r="P9" s="54" t="s">
        <v>48</v>
      </c>
      <c r="Q9" s="54">
        <v>4176902</v>
      </c>
      <c r="R9" s="110">
        <v>24</v>
      </c>
      <c r="S9" s="54" t="s">
        <v>48</v>
      </c>
      <c r="T9" s="54">
        <v>2678840</v>
      </c>
      <c r="U9" s="110">
        <v>8</v>
      </c>
      <c r="V9" s="54" t="s">
        <v>48</v>
      </c>
      <c r="W9" s="54">
        <v>2907290</v>
      </c>
      <c r="X9" s="110">
        <v>24</v>
      </c>
      <c r="Y9" s="54" t="s">
        <v>48</v>
      </c>
      <c r="Z9" s="54">
        <v>3335077</v>
      </c>
      <c r="AA9" s="110">
        <v>14</v>
      </c>
      <c r="AB9" s="54" t="s">
        <v>48</v>
      </c>
      <c r="AC9" s="54">
        <v>3057200</v>
      </c>
      <c r="AD9" s="110">
        <v>14</v>
      </c>
      <c r="AE9" s="54" t="s">
        <v>48</v>
      </c>
      <c r="AF9" s="54">
        <v>3786900</v>
      </c>
      <c r="AG9" s="110">
        <v>17</v>
      </c>
      <c r="AH9" s="54" t="s">
        <v>48</v>
      </c>
      <c r="AI9" s="54">
        <v>3011705</v>
      </c>
      <c r="AJ9" s="110">
        <v>13</v>
      </c>
    </row>
    <row r="10" spans="1:36" x14ac:dyDescent="0.3">
      <c r="A10" s="54" t="s">
        <v>33</v>
      </c>
      <c r="B10" s="54">
        <v>688115</v>
      </c>
      <c r="C10" s="110">
        <v>5</v>
      </c>
      <c r="D10" s="54" t="s">
        <v>33</v>
      </c>
      <c r="E10" s="54">
        <v>1036670</v>
      </c>
      <c r="F10" s="110">
        <v>6</v>
      </c>
      <c r="G10" s="54" t="s">
        <v>33</v>
      </c>
      <c r="H10" s="54">
        <v>1018040</v>
      </c>
      <c r="I10" s="110">
        <v>5</v>
      </c>
      <c r="J10" s="54" t="s">
        <v>33</v>
      </c>
      <c r="K10" s="54">
        <v>580690</v>
      </c>
      <c r="L10" s="110">
        <v>1</v>
      </c>
      <c r="M10" s="54" t="s">
        <v>33</v>
      </c>
      <c r="N10" s="54">
        <v>630330</v>
      </c>
      <c r="O10" s="110">
        <v>2</v>
      </c>
      <c r="P10" s="54" t="s">
        <v>33</v>
      </c>
      <c r="Q10" s="54">
        <v>541270</v>
      </c>
      <c r="R10" s="110">
        <v>4</v>
      </c>
      <c r="S10" s="54" t="s">
        <v>33</v>
      </c>
      <c r="T10" s="54">
        <v>1002850</v>
      </c>
      <c r="U10" s="110">
        <v>5</v>
      </c>
      <c r="V10" s="54" t="s">
        <v>33</v>
      </c>
      <c r="W10" s="54">
        <v>622500</v>
      </c>
      <c r="X10" s="110">
        <v>0</v>
      </c>
      <c r="Y10" s="54" t="s">
        <v>10</v>
      </c>
      <c r="Z10" s="54">
        <v>973104</v>
      </c>
      <c r="AA10" s="110">
        <v>6</v>
      </c>
      <c r="AB10" s="54" t="s">
        <v>10</v>
      </c>
      <c r="AC10" s="54">
        <v>617600</v>
      </c>
      <c r="AD10" s="110">
        <v>1</v>
      </c>
      <c r="AE10" s="54" t="s">
        <v>10</v>
      </c>
      <c r="AF10" s="54">
        <v>726900</v>
      </c>
      <c r="AG10" s="110">
        <v>6</v>
      </c>
      <c r="AH10" s="54" t="s">
        <v>10</v>
      </c>
      <c r="AI10" s="54">
        <v>1145400</v>
      </c>
      <c r="AJ10" s="110">
        <v>11</v>
      </c>
    </row>
    <row r="11" spans="1:36" x14ac:dyDescent="0.3">
      <c r="A11" s="54" t="s">
        <v>10</v>
      </c>
      <c r="B11" s="54">
        <v>1570185</v>
      </c>
      <c r="C11" s="110">
        <v>5</v>
      </c>
      <c r="D11" s="54" t="s">
        <v>10</v>
      </c>
      <c r="E11" s="54">
        <v>1418000</v>
      </c>
      <c r="F11" s="110">
        <v>9</v>
      </c>
      <c r="G11" s="54" t="s">
        <v>10</v>
      </c>
      <c r="H11" s="54">
        <v>1407840</v>
      </c>
      <c r="I11" s="110">
        <v>7</v>
      </c>
      <c r="J11" s="54" t="s">
        <v>10</v>
      </c>
      <c r="K11" s="54">
        <v>1395890</v>
      </c>
      <c r="L11" s="110">
        <v>4</v>
      </c>
      <c r="M11" s="54" t="s">
        <v>10</v>
      </c>
      <c r="N11" s="54">
        <v>1016526</v>
      </c>
      <c r="O11" s="110">
        <v>2</v>
      </c>
      <c r="P11" s="54" t="s">
        <v>10</v>
      </c>
      <c r="Q11" s="54">
        <v>966372</v>
      </c>
      <c r="R11" s="110">
        <v>4</v>
      </c>
      <c r="S11" s="54" t="s">
        <v>10</v>
      </c>
      <c r="T11" s="54">
        <v>899000</v>
      </c>
      <c r="U11" s="110">
        <v>8</v>
      </c>
      <c r="V11" s="54" t="s">
        <v>10</v>
      </c>
      <c r="W11" s="54">
        <v>1135350</v>
      </c>
      <c r="X11" s="110">
        <v>6</v>
      </c>
      <c r="Y11" s="54" t="s">
        <v>11</v>
      </c>
      <c r="Z11" s="54">
        <v>1536864</v>
      </c>
      <c r="AA11" s="110">
        <v>12</v>
      </c>
      <c r="AB11" s="54" t="s">
        <v>11</v>
      </c>
      <c r="AC11" s="54">
        <v>1457550</v>
      </c>
      <c r="AD11" s="110">
        <v>12</v>
      </c>
      <c r="AE11" s="54" t="s">
        <v>11</v>
      </c>
      <c r="AF11" s="54">
        <v>1050700</v>
      </c>
      <c r="AG11" s="110">
        <v>6</v>
      </c>
      <c r="AH11" s="54" t="s">
        <v>11</v>
      </c>
      <c r="AI11" s="54">
        <v>2130250</v>
      </c>
      <c r="AJ11" s="110">
        <v>17</v>
      </c>
    </row>
    <row r="12" spans="1:36" x14ac:dyDescent="0.3">
      <c r="A12" s="54" t="s">
        <v>11</v>
      </c>
      <c r="B12" s="54">
        <v>1172400</v>
      </c>
      <c r="C12" s="110">
        <v>8</v>
      </c>
      <c r="D12" s="54" t="s">
        <v>11</v>
      </c>
      <c r="E12" s="54">
        <v>1053550</v>
      </c>
      <c r="F12" s="110">
        <v>14</v>
      </c>
      <c r="G12" s="54" t="s">
        <v>11</v>
      </c>
      <c r="H12" s="54">
        <v>1376050</v>
      </c>
      <c r="I12" s="110">
        <v>15</v>
      </c>
      <c r="J12" s="54" t="s">
        <v>11</v>
      </c>
      <c r="K12" s="54">
        <v>1444024</v>
      </c>
      <c r="L12" s="110">
        <v>5</v>
      </c>
      <c r="M12" s="54" t="s">
        <v>11</v>
      </c>
      <c r="N12" s="54">
        <v>1328690</v>
      </c>
      <c r="O12" s="110">
        <v>12</v>
      </c>
      <c r="P12" s="54" t="s">
        <v>11</v>
      </c>
      <c r="Q12" s="54">
        <v>1715062</v>
      </c>
      <c r="R12" s="110">
        <v>31</v>
      </c>
      <c r="S12" s="54" t="s">
        <v>11</v>
      </c>
      <c r="T12" s="54">
        <v>1285100</v>
      </c>
      <c r="U12" s="110">
        <v>14</v>
      </c>
      <c r="V12" s="54" t="s">
        <v>11</v>
      </c>
      <c r="W12" s="54">
        <v>1151050</v>
      </c>
      <c r="X12" s="110">
        <v>21</v>
      </c>
      <c r="Y12" s="54" t="s">
        <v>49</v>
      </c>
      <c r="Z12" s="54">
        <v>1716908</v>
      </c>
      <c r="AA12" s="110">
        <v>9</v>
      </c>
      <c r="AB12" s="54" t="s">
        <v>49</v>
      </c>
      <c r="AC12" s="54">
        <v>1458260</v>
      </c>
      <c r="AD12" s="110">
        <v>5</v>
      </c>
      <c r="AE12" s="54" t="s">
        <v>49</v>
      </c>
      <c r="AF12" s="54">
        <v>1266890</v>
      </c>
      <c r="AG12" s="110">
        <v>11</v>
      </c>
      <c r="AH12" s="54" t="s">
        <v>49</v>
      </c>
      <c r="AI12" s="54">
        <v>2026770</v>
      </c>
      <c r="AJ12" s="110">
        <v>11</v>
      </c>
    </row>
    <row r="13" spans="1:36" x14ac:dyDescent="0.3">
      <c r="A13" s="54" t="s">
        <v>49</v>
      </c>
      <c r="B13" s="54">
        <v>1488510</v>
      </c>
      <c r="C13" s="110">
        <v>6</v>
      </c>
      <c r="D13" s="54" t="s">
        <v>49</v>
      </c>
      <c r="E13" s="54">
        <v>1376150</v>
      </c>
      <c r="F13" s="110">
        <v>9</v>
      </c>
      <c r="G13" s="54" t="s">
        <v>49</v>
      </c>
      <c r="H13" s="54">
        <v>1977240</v>
      </c>
      <c r="I13" s="110">
        <v>10</v>
      </c>
      <c r="J13" s="54" t="s">
        <v>49</v>
      </c>
      <c r="K13" s="54">
        <v>2323240</v>
      </c>
      <c r="L13" s="110">
        <v>12</v>
      </c>
      <c r="M13" s="54" t="s">
        <v>49</v>
      </c>
      <c r="N13" s="54">
        <v>2110790</v>
      </c>
      <c r="O13" s="110">
        <v>4</v>
      </c>
      <c r="P13" s="54" t="s">
        <v>49</v>
      </c>
      <c r="Q13" s="54">
        <v>1601272</v>
      </c>
      <c r="R13" s="110">
        <v>9</v>
      </c>
      <c r="S13" s="54" t="s">
        <v>49</v>
      </c>
      <c r="T13" s="54">
        <v>1325700</v>
      </c>
      <c r="U13" s="110">
        <v>5</v>
      </c>
      <c r="V13" s="54" t="s">
        <v>49</v>
      </c>
      <c r="W13" s="54">
        <v>1458390</v>
      </c>
      <c r="X13" s="110">
        <v>15</v>
      </c>
      <c r="Y13" s="54" t="s">
        <v>6</v>
      </c>
      <c r="Z13" s="54">
        <v>2746386</v>
      </c>
      <c r="AA13" s="110">
        <v>11</v>
      </c>
      <c r="AB13" s="54" t="s">
        <v>6</v>
      </c>
      <c r="AC13" s="54">
        <v>3213110</v>
      </c>
      <c r="AD13" s="110">
        <v>17</v>
      </c>
      <c r="AE13" s="54" t="s">
        <v>6</v>
      </c>
      <c r="AF13" s="54">
        <v>2896330</v>
      </c>
      <c r="AG13" s="110">
        <v>10</v>
      </c>
      <c r="AH13" s="54" t="s">
        <v>6</v>
      </c>
      <c r="AI13" s="54">
        <v>3976210</v>
      </c>
      <c r="AJ13" s="110">
        <v>40</v>
      </c>
    </row>
    <row r="14" spans="1:36" x14ac:dyDescent="0.3">
      <c r="A14" s="54" t="s">
        <v>6</v>
      </c>
      <c r="B14" s="54">
        <v>2861990</v>
      </c>
      <c r="C14" s="110">
        <v>14</v>
      </c>
      <c r="D14" s="54" t="s">
        <v>6</v>
      </c>
      <c r="E14" s="54">
        <v>3244260</v>
      </c>
      <c r="F14" s="110">
        <v>13</v>
      </c>
      <c r="G14" s="54" t="s">
        <v>6</v>
      </c>
      <c r="H14" s="54">
        <v>1771600</v>
      </c>
      <c r="I14" s="110">
        <v>5</v>
      </c>
      <c r="J14" s="54" t="s">
        <v>6</v>
      </c>
      <c r="K14" s="54">
        <v>2153320</v>
      </c>
      <c r="L14" s="110">
        <v>8</v>
      </c>
      <c r="M14" s="54" t="s">
        <v>6</v>
      </c>
      <c r="N14" s="54">
        <v>1591160</v>
      </c>
      <c r="O14" s="110">
        <v>23</v>
      </c>
      <c r="P14" s="54" t="s">
        <v>6</v>
      </c>
      <c r="Q14" s="54">
        <v>2319459</v>
      </c>
      <c r="R14" s="110">
        <v>22</v>
      </c>
      <c r="S14" s="54" t="s">
        <v>6</v>
      </c>
      <c r="T14" s="54">
        <v>1754272</v>
      </c>
      <c r="U14" s="110">
        <v>10</v>
      </c>
      <c r="V14" s="54" t="s">
        <v>6</v>
      </c>
      <c r="W14" s="54">
        <v>2044670</v>
      </c>
      <c r="X14" s="110">
        <v>24</v>
      </c>
      <c r="Y14" s="54" t="s">
        <v>9</v>
      </c>
      <c r="Z14" s="54">
        <v>876942</v>
      </c>
      <c r="AA14" s="110">
        <v>8</v>
      </c>
      <c r="AB14" s="54" t="s">
        <v>9</v>
      </c>
      <c r="AC14" s="54">
        <v>803000</v>
      </c>
      <c r="AD14" s="110">
        <v>9</v>
      </c>
      <c r="AE14" s="54" t="s">
        <v>9</v>
      </c>
      <c r="AF14" s="54">
        <v>1047100</v>
      </c>
      <c r="AG14" s="110">
        <v>6</v>
      </c>
      <c r="AH14" s="54" t="s">
        <v>9</v>
      </c>
      <c r="AI14" s="54">
        <v>1214300</v>
      </c>
      <c r="AJ14" s="110">
        <v>8</v>
      </c>
    </row>
    <row r="15" spans="1:36" x14ac:dyDescent="0.3">
      <c r="A15" s="54" t="s">
        <v>9</v>
      </c>
      <c r="B15" s="54">
        <v>1072730</v>
      </c>
      <c r="C15" s="110">
        <v>5</v>
      </c>
      <c r="D15" s="54" t="s">
        <v>9</v>
      </c>
      <c r="E15" s="54">
        <v>1075860</v>
      </c>
      <c r="F15" s="110">
        <v>15</v>
      </c>
      <c r="G15" s="54" t="s">
        <v>9</v>
      </c>
      <c r="H15" s="54">
        <v>1202000</v>
      </c>
      <c r="I15" s="110">
        <v>12</v>
      </c>
      <c r="J15" s="54" t="s">
        <v>9</v>
      </c>
      <c r="K15" s="54">
        <v>891700</v>
      </c>
      <c r="L15" s="110">
        <v>7</v>
      </c>
      <c r="M15" s="54" t="s">
        <v>9</v>
      </c>
      <c r="N15" s="54">
        <v>887650</v>
      </c>
      <c r="O15" s="110">
        <v>12</v>
      </c>
      <c r="P15" s="54" t="s">
        <v>9</v>
      </c>
      <c r="Q15" s="54">
        <v>1177574</v>
      </c>
      <c r="R15" s="110">
        <v>19</v>
      </c>
      <c r="S15" s="54" t="s">
        <v>9</v>
      </c>
      <c r="T15" s="54">
        <v>929610</v>
      </c>
      <c r="U15" s="110">
        <v>8</v>
      </c>
      <c r="V15" s="54" t="s">
        <v>9</v>
      </c>
      <c r="W15" s="54">
        <v>1097000</v>
      </c>
      <c r="X15" s="110">
        <v>9</v>
      </c>
      <c r="Y15" s="54" t="s">
        <v>50</v>
      </c>
      <c r="Z15" s="54">
        <v>1045476</v>
      </c>
      <c r="AA15" s="110">
        <v>9</v>
      </c>
      <c r="AB15" s="54" t="s">
        <v>50</v>
      </c>
      <c r="AC15" s="54">
        <v>419600</v>
      </c>
      <c r="AD15" s="110">
        <v>3</v>
      </c>
      <c r="AE15" s="54" t="s">
        <v>50</v>
      </c>
      <c r="AF15" s="54">
        <v>467000</v>
      </c>
      <c r="AG15" s="110">
        <v>3</v>
      </c>
      <c r="AH15" s="54" t="s">
        <v>50</v>
      </c>
      <c r="AI15" s="54">
        <v>829890</v>
      </c>
      <c r="AJ15" s="110">
        <v>7</v>
      </c>
    </row>
    <row r="16" spans="1:36" x14ac:dyDescent="0.3">
      <c r="A16" s="54" t="s">
        <v>50</v>
      </c>
      <c r="B16" s="54">
        <v>416620</v>
      </c>
      <c r="C16" s="110">
        <v>4</v>
      </c>
      <c r="D16" s="54" t="s">
        <v>50</v>
      </c>
      <c r="E16" s="54">
        <v>424400</v>
      </c>
      <c r="F16" s="110">
        <v>4</v>
      </c>
      <c r="G16" s="54" t="s">
        <v>50</v>
      </c>
      <c r="H16" s="54">
        <v>574640</v>
      </c>
      <c r="I16" s="110">
        <v>3</v>
      </c>
      <c r="J16" s="54" t="s">
        <v>50</v>
      </c>
      <c r="K16" s="54">
        <v>300450</v>
      </c>
      <c r="L16" s="110">
        <v>2</v>
      </c>
      <c r="M16" s="54" t="s">
        <v>50</v>
      </c>
      <c r="N16" s="54">
        <v>894980</v>
      </c>
      <c r="O16" s="110">
        <v>5</v>
      </c>
      <c r="P16" s="54" t="s">
        <v>50</v>
      </c>
      <c r="Q16" s="54">
        <v>653530</v>
      </c>
      <c r="R16" s="110">
        <v>13</v>
      </c>
      <c r="S16" s="54" t="s">
        <v>50</v>
      </c>
      <c r="T16" s="54">
        <v>793120</v>
      </c>
      <c r="U16" s="110">
        <v>11</v>
      </c>
      <c r="V16" s="54" t="s">
        <v>50</v>
      </c>
      <c r="W16" s="54">
        <v>815800</v>
      </c>
      <c r="X16" s="110">
        <v>5</v>
      </c>
      <c r="Y16" s="54" t="s">
        <v>103</v>
      </c>
      <c r="Z16" s="54">
        <v>3057811</v>
      </c>
      <c r="AA16" s="110">
        <v>38</v>
      </c>
      <c r="AB16" s="54" t="s">
        <v>103</v>
      </c>
      <c r="AC16" s="54">
        <v>1880046</v>
      </c>
      <c r="AD16" s="110">
        <v>37</v>
      </c>
      <c r="AE16" s="54" t="s">
        <v>103</v>
      </c>
      <c r="AF16" s="54">
        <v>1907863</v>
      </c>
      <c r="AG16" s="110">
        <v>47</v>
      </c>
      <c r="AH16" s="54" t="s">
        <v>103</v>
      </c>
      <c r="AI16" s="54">
        <v>2777564</v>
      </c>
      <c r="AJ16" s="110">
        <v>64</v>
      </c>
    </row>
    <row r="17" spans="1:36" x14ac:dyDescent="0.3">
      <c r="A17" s="54" t="s">
        <v>103</v>
      </c>
      <c r="B17" s="54">
        <v>1635709</v>
      </c>
      <c r="C17" s="110">
        <v>34</v>
      </c>
      <c r="D17" s="54" t="s">
        <v>103</v>
      </c>
      <c r="E17" s="54">
        <v>2434125</v>
      </c>
      <c r="F17" s="110">
        <v>43</v>
      </c>
      <c r="G17" s="54" t="s">
        <v>103</v>
      </c>
      <c r="H17" s="54">
        <v>2508303</v>
      </c>
      <c r="I17" s="110">
        <v>37</v>
      </c>
      <c r="J17" s="54" t="s">
        <v>103</v>
      </c>
      <c r="K17" s="54">
        <v>2044459</v>
      </c>
      <c r="L17" s="110">
        <v>16</v>
      </c>
      <c r="M17" s="54" t="s">
        <v>103</v>
      </c>
      <c r="N17" s="54">
        <v>2647530</v>
      </c>
      <c r="O17" s="110">
        <v>40</v>
      </c>
      <c r="P17" s="54" t="s">
        <v>103</v>
      </c>
      <c r="Q17" s="54">
        <v>1705636</v>
      </c>
      <c r="R17" s="110">
        <v>36</v>
      </c>
      <c r="S17" s="54" t="s">
        <v>103</v>
      </c>
      <c r="T17" s="54">
        <v>1879717</v>
      </c>
      <c r="U17" s="110">
        <v>33</v>
      </c>
      <c r="V17" s="54" t="s">
        <v>103</v>
      </c>
      <c r="W17" s="54">
        <v>2085488</v>
      </c>
      <c r="X17" s="110">
        <v>44</v>
      </c>
      <c r="Y17" s="54" t="s">
        <v>32</v>
      </c>
      <c r="Z17" s="50">
        <f>SUM(Z3:Z16)</f>
        <v>30171189</v>
      </c>
      <c r="AA17" s="110">
        <v>210</v>
      </c>
      <c r="AB17" s="54" t="s">
        <v>32</v>
      </c>
      <c r="AC17" s="54">
        <f>SUM(AC3:AC16)</f>
        <v>27141744</v>
      </c>
      <c r="AD17" s="110">
        <f>SUM(AD3:AD16)</f>
        <v>193</v>
      </c>
      <c r="AE17" s="54" t="s">
        <v>32</v>
      </c>
      <c r="AF17" s="54">
        <f>SUM(AF3:AF16)</f>
        <v>26788824</v>
      </c>
      <c r="AG17" s="110">
        <v>185</v>
      </c>
      <c r="AH17" s="54" t="s">
        <v>32</v>
      </c>
      <c r="AI17" s="54">
        <f>SUM(AI3:AI16)</f>
        <v>33374974</v>
      </c>
      <c r="AJ17" s="48">
        <v>279</v>
      </c>
    </row>
    <row r="18" spans="1:36" x14ac:dyDescent="0.3">
      <c r="A18" s="54" t="s">
        <v>32</v>
      </c>
      <c r="B18" s="54">
        <f>SUM(B3:B17)</f>
        <v>26737575</v>
      </c>
      <c r="C18" s="110">
        <f>SUM(C3:C17)</f>
        <v>184</v>
      </c>
      <c r="D18" s="54" t="s">
        <v>32</v>
      </c>
      <c r="E18" s="54">
        <f>SUM(E3:E17)</f>
        <v>30073321</v>
      </c>
      <c r="F18" s="110">
        <f>SUM(F3:F17)</f>
        <v>240</v>
      </c>
      <c r="G18" s="54" t="s">
        <v>32</v>
      </c>
      <c r="H18" s="54">
        <f>SUM(H3:H17)</f>
        <v>27902548</v>
      </c>
      <c r="I18" s="110">
        <v>205</v>
      </c>
      <c r="J18" s="54" t="s">
        <v>32</v>
      </c>
      <c r="K18" s="54">
        <f>SUM(K3:K17)</f>
        <v>25841927</v>
      </c>
      <c r="L18" s="110">
        <v>101</v>
      </c>
      <c r="M18" s="54" t="s">
        <v>32</v>
      </c>
      <c r="N18" s="54">
        <f>SUM(N3:N17)</f>
        <v>27715457</v>
      </c>
      <c r="O18" s="110">
        <v>195</v>
      </c>
      <c r="P18" s="54" t="s">
        <v>32</v>
      </c>
      <c r="Q18" s="54">
        <f>SUM(Q3:Q17)</f>
        <v>30452676</v>
      </c>
      <c r="R18" s="110">
        <v>275</v>
      </c>
      <c r="S18" s="54" t="s">
        <v>32</v>
      </c>
      <c r="T18" s="54">
        <f>SUM(T3:T17)</f>
        <v>25888139</v>
      </c>
      <c r="U18" s="110">
        <v>177</v>
      </c>
      <c r="V18" s="54" t="s">
        <v>32</v>
      </c>
      <c r="W18" s="54">
        <f>SUM(W3:W17)</f>
        <v>28002876</v>
      </c>
      <c r="X18" s="110">
        <v>251</v>
      </c>
    </row>
    <row r="20" spans="1:36" x14ac:dyDescent="0.3">
      <c r="A20" s="48"/>
      <c r="B20" s="49">
        <v>44652</v>
      </c>
      <c r="C20" s="49">
        <v>44682</v>
      </c>
      <c r="D20" s="49">
        <v>44713</v>
      </c>
      <c r="E20" s="49">
        <v>44743</v>
      </c>
      <c r="F20" s="49">
        <v>44774</v>
      </c>
      <c r="G20" s="49">
        <v>44805</v>
      </c>
      <c r="H20" s="49">
        <v>44835</v>
      </c>
      <c r="I20" s="49">
        <v>44866</v>
      </c>
      <c r="J20" s="49">
        <v>44896</v>
      </c>
      <c r="K20" s="49">
        <v>44927</v>
      </c>
      <c r="L20" s="49">
        <v>44958</v>
      </c>
      <c r="M20" s="49">
        <v>44986</v>
      </c>
    </row>
    <row r="21" spans="1:36" x14ac:dyDescent="0.3">
      <c r="A21" s="50" t="s">
        <v>55</v>
      </c>
      <c r="B21" s="48">
        <v>320</v>
      </c>
      <c r="C21" s="48">
        <v>396</v>
      </c>
      <c r="D21" s="48">
        <v>303</v>
      </c>
      <c r="E21" s="48">
        <v>159</v>
      </c>
      <c r="F21" s="48">
        <v>295</v>
      </c>
      <c r="G21" s="48">
        <v>449</v>
      </c>
      <c r="H21" s="48">
        <v>270</v>
      </c>
      <c r="I21" s="48">
        <v>400</v>
      </c>
      <c r="J21" s="48">
        <v>336</v>
      </c>
      <c r="K21" s="48">
        <v>363</v>
      </c>
      <c r="L21" s="48">
        <v>295</v>
      </c>
      <c r="M21" s="48">
        <v>417</v>
      </c>
    </row>
    <row r="22" spans="1:36" x14ac:dyDescent="0.3">
      <c r="A22" s="50" t="s">
        <v>72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36" x14ac:dyDescent="0.3">
      <c r="A23" s="50" t="s">
        <v>73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 spans="1:36" x14ac:dyDescent="0.3">
      <c r="A24" s="50" t="s">
        <v>74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</row>
    <row r="25" spans="1:36" x14ac:dyDescent="0.3">
      <c r="A25" s="50" t="s">
        <v>56</v>
      </c>
      <c r="B25" s="50">
        <v>26737575</v>
      </c>
      <c r="C25" s="50">
        <v>30073321</v>
      </c>
      <c r="D25" s="50">
        <v>27902548</v>
      </c>
      <c r="E25" s="50">
        <v>25841927</v>
      </c>
      <c r="F25" s="50">
        <v>27715457</v>
      </c>
      <c r="G25" s="50">
        <v>30452676</v>
      </c>
      <c r="H25" s="50">
        <v>25888139</v>
      </c>
      <c r="I25" s="50">
        <v>28002876</v>
      </c>
      <c r="J25" s="50">
        <v>30171189</v>
      </c>
      <c r="K25" s="50">
        <v>27141744</v>
      </c>
      <c r="L25" s="50">
        <v>26788824</v>
      </c>
      <c r="M25" s="50">
        <v>33374974</v>
      </c>
    </row>
  </sheetData>
  <mergeCells count="12">
    <mergeCell ref="AH1:AJ1"/>
    <mergeCell ref="S1:U1"/>
    <mergeCell ref="V1:X1"/>
    <mergeCell ref="Y1:AA1"/>
    <mergeCell ref="AB1:AD1"/>
    <mergeCell ref="AE1:AG1"/>
    <mergeCell ref="P1:R1"/>
    <mergeCell ref="M1:O1"/>
    <mergeCell ref="A1:C1"/>
    <mergeCell ref="D1:F1"/>
    <mergeCell ref="G1:I1"/>
    <mergeCell ref="J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CF2D-FC51-4B40-B67C-05A44D5DF241}">
  <sheetPr codeName="Sheet9"/>
  <dimension ref="A1:Z44"/>
  <sheetViews>
    <sheetView topLeftCell="A25" workbookViewId="0">
      <selection activeCell="B31" sqref="B31"/>
    </sheetView>
  </sheetViews>
  <sheetFormatPr defaultRowHeight="14.4" x14ac:dyDescent="0.3"/>
  <cols>
    <col min="1" max="1" width="19.88671875" bestFit="1" customWidth="1"/>
    <col min="2" max="3" width="14.109375" bestFit="1" customWidth="1"/>
    <col min="4" max="4" width="8.109375" bestFit="1" customWidth="1"/>
    <col min="5" max="6" width="8.33203125" bestFit="1" customWidth="1"/>
    <col min="7" max="7" width="8.109375" bestFit="1" customWidth="1"/>
    <col min="8" max="11" width="12.88671875" bestFit="1" customWidth="1"/>
    <col min="12" max="12" width="14" bestFit="1" customWidth="1"/>
    <col min="13" max="13" width="9" bestFit="1" customWidth="1"/>
    <col min="14" max="14" width="9.109375" bestFit="1" customWidth="1"/>
    <col min="15" max="15" width="9" customWidth="1"/>
    <col min="16" max="16" width="9" bestFit="1" customWidth="1"/>
    <col min="17" max="17" width="9.109375" bestFit="1" customWidth="1"/>
    <col min="18" max="18" width="9" customWidth="1"/>
    <col min="19" max="19" width="9" bestFit="1" customWidth="1"/>
    <col min="20" max="20" width="9.109375" bestFit="1" customWidth="1"/>
    <col min="21" max="21" width="9" customWidth="1"/>
    <col min="22" max="22" width="9" bestFit="1" customWidth="1"/>
    <col min="23" max="23" width="9.109375" bestFit="1" customWidth="1"/>
    <col min="24" max="25" width="10" bestFit="1" customWidth="1"/>
    <col min="26" max="26" width="9.109375" bestFit="1" customWidth="1"/>
  </cols>
  <sheetData>
    <row r="1" spans="1:26" ht="18.600000000000001" thickBot="1" x14ac:dyDescent="0.4">
      <c r="A1" s="398" t="s">
        <v>43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400"/>
    </row>
    <row r="2" spans="1:26" s="11" customFormat="1" ht="15.6" x14ac:dyDescent="0.3">
      <c r="A2" s="38"/>
      <c r="B2" s="401" t="s">
        <v>35</v>
      </c>
      <c r="C2" s="402"/>
      <c r="D2" s="403"/>
      <c r="E2" s="404"/>
      <c r="F2" s="395" t="s">
        <v>36</v>
      </c>
      <c r="G2" s="396"/>
      <c r="H2" s="397"/>
      <c r="I2" s="395" t="s">
        <v>37</v>
      </c>
      <c r="J2" s="396"/>
      <c r="K2" s="397"/>
      <c r="L2" s="395" t="s">
        <v>38</v>
      </c>
      <c r="M2" s="396"/>
      <c r="N2" s="397"/>
      <c r="O2" s="395" t="s">
        <v>39</v>
      </c>
      <c r="P2" s="396"/>
      <c r="Q2" s="397"/>
      <c r="R2" s="395" t="s">
        <v>40</v>
      </c>
      <c r="S2" s="396"/>
      <c r="T2" s="397"/>
      <c r="U2" s="395" t="s">
        <v>41</v>
      </c>
      <c r="V2" s="396"/>
      <c r="W2" s="397"/>
      <c r="X2" s="395" t="s">
        <v>44</v>
      </c>
      <c r="Y2" s="396"/>
      <c r="Z2" s="397"/>
    </row>
    <row r="3" spans="1:26" s="7" customFormat="1" ht="15.6" x14ac:dyDescent="0.3">
      <c r="A3" s="31" t="s">
        <v>42</v>
      </c>
      <c r="B3" s="20">
        <v>2022</v>
      </c>
      <c r="C3" s="19">
        <v>2023</v>
      </c>
      <c r="D3" s="56"/>
      <c r="E3" s="21" t="s">
        <v>34</v>
      </c>
      <c r="F3" s="20">
        <v>2022</v>
      </c>
      <c r="G3" s="19">
        <v>2023</v>
      </c>
      <c r="H3" s="21" t="s">
        <v>34</v>
      </c>
      <c r="I3" s="20">
        <v>2022</v>
      </c>
      <c r="J3" s="19">
        <v>2023</v>
      </c>
      <c r="K3" s="21" t="s">
        <v>34</v>
      </c>
      <c r="L3" s="20">
        <v>2022</v>
      </c>
      <c r="M3" s="19">
        <v>2023</v>
      </c>
      <c r="N3" s="21" t="s">
        <v>34</v>
      </c>
      <c r="O3" s="20">
        <v>2022</v>
      </c>
      <c r="P3" s="19">
        <v>2023</v>
      </c>
      <c r="Q3" s="21" t="s">
        <v>34</v>
      </c>
      <c r="R3" s="20">
        <v>2022</v>
      </c>
      <c r="S3" s="19">
        <v>2023</v>
      </c>
      <c r="T3" s="21" t="s">
        <v>34</v>
      </c>
      <c r="U3" s="20">
        <v>2022</v>
      </c>
      <c r="V3" s="19">
        <v>2023</v>
      </c>
      <c r="W3" s="21" t="s">
        <v>34</v>
      </c>
      <c r="X3" s="20">
        <v>2022</v>
      </c>
      <c r="Y3" s="19">
        <v>2023</v>
      </c>
      <c r="Z3" s="21" t="s">
        <v>34</v>
      </c>
    </row>
    <row r="4" spans="1:26" x14ac:dyDescent="0.3">
      <c r="A4" s="32" t="s">
        <v>4</v>
      </c>
      <c r="B4" s="6">
        <v>2387710</v>
      </c>
      <c r="C4" s="1">
        <v>5446190</v>
      </c>
      <c r="D4" s="57"/>
      <c r="E4" s="29">
        <f>IFERROR(C4/B4-1,0)</f>
        <v>1.2809260756121974</v>
      </c>
      <c r="F4" s="6">
        <v>3076310</v>
      </c>
      <c r="G4" s="16">
        <v>6036990</v>
      </c>
      <c r="H4" s="29">
        <f>IFERROR(G4/F4-1,0)</f>
        <v>0.96241276074257787</v>
      </c>
      <c r="I4" s="13">
        <v>3102080</v>
      </c>
      <c r="J4" s="16">
        <v>7164000</v>
      </c>
      <c r="K4" s="29">
        <f>IFERROR(J4/I4-1,0)</f>
        <v>1.3094181968227772</v>
      </c>
      <c r="L4" s="13">
        <v>3307728</v>
      </c>
      <c r="M4" s="16">
        <v>8154175</v>
      </c>
      <c r="N4" s="29">
        <f>IFERROR(M4/L4-1,0)</f>
        <v>1.4651890965641674</v>
      </c>
      <c r="O4" s="13">
        <v>3215620</v>
      </c>
      <c r="P4" s="17">
        <v>6949630</v>
      </c>
      <c r="Q4" s="29">
        <f>IFERROR(P4/O4-1,0)</f>
        <v>1.1612099688396018</v>
      </c>
      <c r="R4" s="26">
        <v>3000342</v>
      </c>
      <c r="S4" s="15">
        <v>7347890</v>
      </c>
      <c r="T4" s="29">
        <f>IFERROR(S4/R4-1,0)</f>
        <v>1.4490174786740977</v>
      </c>
      <c r="U4" s="14">
        <v>2600420</v>
      </c>
      <c r="V4" s="15">
        <v>7231156</v>
      </c>
      <c r="W4" s="29">
        <f>IFERROR(V4/U4-1,0)</f>
        <v>1.7807646457110775</v>
      </c>
      <c r="X4" s="27">
        <f t="shared" ref="X4:X17" si="0">B4+F4+I4+L4+O4+R4+U4</f>
        <v>20690210</v>
      </c>
      <c r="Y4" s="27">
        <f t="shared" ref="Y4:Y17" si="1">C4+G4+J4+M4+P4+S4+V4</f>
        <v>48330031</v>
      </c>
      <c r="Z4" s="29">
        <f>IFERROR(Y4/X4-1,0)</f>
        <v>1.335888857580469</v>
      </c>
    </row>
    <row r="5" spans="1:26" x14ac:dyDescent="0.3">
      <c r="A5" s="32" t="s">
        <v>8</v>
      </c>
      <c r="B5" s="6">
        <v>1069240</v>
      </c>
      <c r="C5" s="1">
        <v>2061000</v>
      </c>
      <c r="D5" s="57"/>
      <c r="E5" s="29">
        <f t="shared" ref="E5:E20" si="2">IFERROR(C5/B5-1,0)</f>
        <v>0.92753731622460811</v>
      </c>
      <c r="F5" s="6">
        <v>1330020</v>
      </c>
      <c r="G5" s="16">
        <v>1723900</v>
      </c>
      <c r="H5" s="29">
        <f t="shared" ref="H5:H20" si="3">IFERROR(G5/F5-1,0)</f>
        <v>0.296145922617705</v>
      </c>
      <c r="I5" s="13">
        <v>1298325</v>
      </c>
      <c r="J5" s="16">
        <v>1791650</v>
      </c>
      <c r="K5" s="29">
        <f t="shared" ref="K5:K20" si="4">IFERROR(J5/I5-1,0)</f>
        <v>0.37997034640787164</v>
      </c>
      <c r="L5" s="13">
        <v>784958</v>
      </c>
      <c r="M5" s="16">
        <v>2449000</v>
      </c>
      <c r="N5" s="29">
        <f t="shared" ref="N5:N20" si="5">IFERROR(M5/L5-1,0)</f>
        <v>2.1199121481658891</v>
      </c>
      <c r="O5" s="13">
        <v>735450</v>
      </c>
      <c r="P5" s="17">
        <v>2689350</v>
      </c>
      <c r="Q5" s="29">
        <f t="shared" ref="Q5:Q20" si="6">IFERROR(P5/O5-1,0)</f>
        <v>2.6567407709565574</v>
      </c>
      <c r="R5" s="26">
        <v>853060</v>
      </c>
      <c r="S5" s="15">
        <v>2222200</v>
      </c>
      <c r="T5" s="29">
        <f t="shared" ref="T5:T20" si="7">IFERROR(S5/R5-1,0)</f>
        <v>1.604975031064638</v>
      </c>
      <c r="U5" s="14">
        <v>1036300</v>
      </c>
      <c r="V5" s="15">
        <v>1784500</v>
      </c>
      <c r="W5" s="29">
        <f t="shared" ref="W5:W20" si="8">IFERROR(V5/U5-1,0)</f>
        <v>0.72199170124481338</v>
      </c>
      <c r="X5" s="27">
        <f t="shared" si="0"/>
        <v>7107353</v>
      </c>
      <c r="Y5" s="28">
        <f t="shared" si="1"/>
        <v>14721600</v>
      </c>
      <c r="Z5" s="29">
        <f t="shared" ref="Z5:Z17" si="9">IFERROR(Y5/X5-1,0)</f>
        <v>1.0713196600759805</v>
      </c>
    </row>
    <row r="6" spans="1:26" x14ac:dyDescent="0.3">
      <c r="A6" s="32" t="s">
        <v>7</v>
      </c>
      <c r="B6" s="6">
        <v>2435304</v>
      </c>
      <c r="C6" s="1">
        <v>1546100</v>
      </c>
      <c r="D6" s="57"/>
      <c r="E6" s="29">
        <f t="shared" si="2"/>
        <v>-0.36513059560531247</v>
      </c>
      <c r="F6" s="6">
        <v>2814390</v>
      </c>
      <c r="G6" s="16">
        <v>1584420</v>
      </c>
      <c r="H6" s="29">
        <f t="shared" si="3"/>
        <v>-0.43702898318996297</v>
      </c>
      <c r="I6" s="13">
        <v>2076550</v>
      </c>
      <c r="J6" s="16">
        <v>2028660</v>
      </c>
      <c r="K6" s="29">
        <f t="shared" si="4"/>
        <v>-2.3062290818906317E-2</v>
      </c>
      <c r="L6" s="13">
        <v>1425319</v>
      </c>
      <c r="M6" s="16">
        <v>2564160</v>
      </c>
      <c r="N6" s="29">
        <f t="shared" si="5"/>
        <v>0.79900780106067493</v>
      </c>
      <c r="O6" s="13">
        <v>2285446</v>
      </c>
      <c r="P6" s="17">
        <v>3785950</v>
      </c>
      <c r="Q6" s="29">
        <f t="shared" si="6"/>
        <v>0.65654756227012157</v>
      </c>
      <c r="R6" s="26">
        <v>2030026</v>
      </c>
      <c r="S6" s="15">
        <v>3359800</v>
      </c>
      <c r="T6" s="29">
        <f t="shared" si="7"/>
        <v>0.65505269390638343</v>
      </c>
      <c r="U6" s="14">
        <v>2236560</v>
      </c>
      <c r="V6" s="15">
        <v>2851000</v>
      </c>
      <c r="W6" s="29">
        <f t="shared" si="8"/>
        <v>0.27472547125943403</v>
      </c>
      <c r="X6" s="27">
        <f t="shared" si="0"/>
        <v>15303595</v>
      </c>
      <c r="Y6" s="28">
        <f t="shared" si="1"/>
        <v>17720090</v>
      </c>
      <c r="Z6" s="29">
        <f t="shared" si="9"/>
        <v>0.15790374745280444</v>
      </c>
    </row>
    <row r="7" spans="1:26" x14ac:dyDescent="0.3">
      <c r="A7" s="32" t="s">
        <v>13</v>
      </c>
      <c r="B7" s="6">
        <v>847165</v>
      </c>
      <c r="C7" s="1">
        <v>1142988</v>
      </c>
      <c r="D7" s="57"/>
      <c r="E7" s="29">
        <f t="shared" si="2"/>
        <v>0.34919171589950015</v>
      </c>
      <c r="F7" s="6">
        <v>1217829</v>
      </c>
      <c r="G7" s="16">
        <v>887887</v>
      </c>
      <c r="H7" s="29">
        <f t="shared" si="3"/>
        <v>-0.27092637800545072</v>
      </c>
      <c r="I7" s="13">
        <v>686300</v>
      </c>
      <c r="J7" s="16">
        <v>904500</v>
      </c>
      <c r="K7" s="29">
        <f t="shared" si="4"/>
        <v>0.31793676234882695</v>
      </c>
      <c r="L7" s="13">
        <v>499534</v>
      </c>
      <c r="M7" s="16">
        <v>905050</v>
      </c>
      <c r="N7" s="29">
        <f t="shared" si="5"/>
        <v>0.81178858696304945</v>
      </c>
      <c r="O7" s="13">
        <v>943110</v>
      </c>
      <c r="P7" s="17">
        <v>713200</v>
      </c>
      <c r="Q7" s="29">
        <f t="shared" si="6"/>
        <v>-0.24377856241583695</v>
      </c>
      <c r="R7" s="26">
        <v>820332</v>
      </c>
      <c r="S7" s="15">
        <v>730090</v>
      </c>
      <c r="T7" s="29">
        <f t="shared" si="7"/>
        <v>-0.11000668022215399</v>
      </c>
      <c r="U7" s="14">
        <v>1049300</v>
      </c>
      <c r="V7" s="15">
        <v>704610</v>
      </c>
      <c r="W7" s="29">
        <f t="shared" si="8"/>
        <v>-0.32849518726770233</v>
      </c>
      <c r="X7" s="27">
        <f t="shared" si="0"/>
        <v>6063570</v>
      </c>
      <c r="Y7" s="28">
        <f t="shared" si="1"/>
        <v>5988325</v>
      </c>
      <c r="Z7" s="29">
        <f t="shared" si="9"/>
        <v>-1.2409356204348243E-2</v>
      </c>
    </row>
    <row r="8" spans="1:26" x14ac:dyDescent="0.3">
      <c r="A8" s="32" t="s">
        <v>127</v>
      </c>
      <c r="B8" s="6">
        <v>2340610</v>
      </c>
      <c r="C8" s="1">
        <v>3095700</v>
      </c>
      <c r="D8" s="57"/>
      <c r="E8" s="29">
        <f t="shared" si="2"/>
        <v>0.32260393658063502</v>
      </c>
      <c r="F8" s="6">
        <v>2470950</v>
      </c>
      <c r="G8" s="16">
        <v>4372310</v>
      </c>
      <c r="H8" s="29">
        <f t="shared" si="3"/>
        <v>0.76948542058722347</v>
      </c>
      <c r="I8" s="13">
        <v>2374730</v>
      </c>
      <c r="J8" s="16">
        <v>3706760</v>
      </c>
      <c r="K8" s="29">
        <f t="shared" si="4"/>
        <v>0.56091850441944979</v>
      </c>
      <c r="L8" s="13">
        <v>2670611</v>
      </c>
      <c r="M8" s="16">
        <v>5123670</v>
      </c>
      <c r="N8" s="29">
        <f t="shared" si="5"/>
        <v>0.9185384917533852</v>
      </c>
      <c r="O8" s="13">
        <v>2872585</v>
      </c>
      <c r="P8" s="17">
        <v>5848540</v>
      </c>
      <c r="Q8" s="29">
        <f t="shared" si="6"/>
        <v>1.03598501001711</v>
      </c>
      <c r="R8" s="26">
        <v>3402746</v>
      </c>
      <c r="S8" s="15">
        <v>5546200</v>
      </c>
      <c r="T8" s="29">
        <f t="shared" si="7"/>
        <v>0.62991889491604725</v>
      </c>
      <c r="U8" s="14">
        <v>2171940</v>
      </c>
      <c r="V8" s="15">
        <v>5013170</v>
      </c>
      <c r="W8" s="29">
        <f t="shared" si="8"/>
        <v>1.3081530797351677</v>
      </c>
      <c r="X8" s="27">
        <f t="shared" si="0"/>
        <v>18304172</v>
      </c>
      <c r="Y8" s="28">
        <f t="shared" si="1"/>
        <v>32706350</v>
      </c>
      <c r="Z8" s="29">
        <f t="shared" si="9"/>
        <v>0.78682488342002022</v>
      </c>
    </row>
    <row r="9" spans="1:26" x14ac:dyDescent="0.3">
      <c r="A9" s="32" t="s">
        <v>128</v>
      </c>
      <c r="B9" s="6">
        <v>4989357</v>
      </c>
      <c r="C9" s="1">
        <v>5612620</v>
      </c>
      <c r="D9" s="57"/>
      <c r="E9" s="29">
        <f t="shared" si="2"/>
        <v>0.12491850152234041</v>
      </c>
      <c r="F9" s="6">
        <v>4331757</v>
      </c>
      <c r="G9" s="16">
        <v>7413806</v>
      </c>
      <c r="H9" s="29">
        <f t="shared" si="3"/>
        <v>0.71150089905781888</v>
      </c>
      <c r="I9" s="13">
        <v>3800550</v>
      </c>
      <c r="J9" s="16">
        <v>7896825</v>
      </c>
      <c r="K9" s="29">
        <f t="shared" si="4"/>
        <v>1.077811106287248</v>
      </c>
      <c r="L9" s="13">
        <v>3311436</v>
      </c>
      <c r="M9" s="16">
        <v>8327160</v>
      </c>
      <c r="N9" s="29">
        <f t="shared" si="5"/>
        <v>1.5146673527738419</v>
      </c>
      <c r="O9" s="13">
        <v>3037450</v>
      </c>
      <c r="P9" s="17">
        <v>7944119</v>
      </c>
      <c r="Q9" s="29">
        <f t="shared" si="6"/>
        <v>1.6153908706316153</v>
      </c>
      <c r="R9" s="26">
        <v>5489093</v>
      </c>
      <c r="S9" s="15">
        <v>7399280</v>
      </c>
      <c r="T9" s="29">
        <f t="shared" si="7"/>
        <v>0.34799683663585212</v>
      </c>
      <c r="U9" s="14">
        <v>4245410</v>
      </c>
      <c r="V9" s="15">
        <v>7652417</v>
      </c>
      <c r="W9" s="29">
        <f t="shared" si="8"/>
        <v>0.80251542253869479</v>
      </c>
      <c r="X9" s="27">
        <f t="shared" si="0"/>
        <v>29205053</v>
      </c>
      <c r="Y9" s="28">
        <f t="shared" si="1"/>
        <v>52246227</v>
      </c>
      <c r="Z9" s="29">
        <f t="shared" si="9"/>
        <v>0.78894477609747882</v>
      </c>
    </row>
    <row r="10" spans="1:26" x14ac:dyDescent="0.3">
      <c r="A10" s="32" t="s">
        <v>3</v>
      </c>
      <c r="B10" s="6">
        <v>1761930</v>
      </c>
      <c r="C10" s="1">
        <v>3473828</v>
      </c>
      <c r="D10" s="57"/>
      <c r="E10" s="29">
        <f t="shared" si="2"/>
        <v>0.97160386621488937</v>
      </c>
      <c r="F10" s="6">
        <v>2769050</v>
      </c>
      <c r="G10" s="16">
        <v>3707465</v>
      </c>
      <c r="H10" s="29">
        <f t="shared" si="3"/>
        <v>0.33889420559397632</v>
      </c>
      <c r="I10" s="13">
        <v>2728300</v>
      </c>
      <c r="J10" s="16">
        <v>5123400</v>
      </c>
      <c r="K10" s="29">
        <f t="shared" si="4"/>
        <v>0.87787266796173435</v>
      </c>
      <c r="L10" s="13">
        <v>2708568</v>
      </c>
      <c r="M10" s="16">
        <v>7041895</v>
      </c>
      <c r="N10" s="29">
        <f t="shared" si="5"/>
        <v>1.5998590399059576</v>
      </c>
      <c r="O10" s="13">
        <v>3518140</v>
      </c>
      <c r="P10" s="17">
        <v>6958480</v>
      </c>
      <c r="Q10" s="29">
        <f t="shared" si="6"/>
        <v>0.9778860420563138</v>
      </c>
      <c r="R10" s="26">
        <v>4176902</v>
      </c>
      <c r="S10" s="15">
        <v>5857190</v>
      </c>
      <c r="T10" s="29">
        <f t="shared" si="7"/>
        <v>0.40228092495347023</v>
      </c>
      <c r="U10" s="14">
        <v>2678840</v>
      </c>
      <c r="V10" s="15">
        <v>6833565</v>
      </c>
      <c r="W10" s="29">
        <f t="shared" si="8"/>
        <v>1.5509418255662899</v>
      </c>
      <c r="X10" s="27">
        <f t="shared" si="0"/>
        <v>20341730</v>
      </c>
      <c r="Y10" s="28">
        <f t="shared" si="1"/>
        <v>38995823</v>
      </c>
      <c r="Z10" s="29">
        <f t="shared" si="9"/>
        <v>0.91703571918415983</v>
      </c>
    </row>
    <row r="11" spans="1:26" x14ac:dyDescent="0.3">
      <c r="A11" s="32" t="s">
        <v>10</v>
      </c>
      <c r="B11" s="6">
        <v>1570185</v>
      </c>
      <c r="C11" s="1">
        <v>1942350</v>
      </c>
      <c r="D11" s="57"/>
      <c r="E11" s="29">
        <f t="shared" si="2"/>
        <v>0.2370198416110203</v>
      </c>
      <c r="F11" s="6">
        <v>1418000</v>
      </c>
      <c r="G11" s="16">
        <v>1686400</v>
      </c>
      <c r="H11" s="29">
        <f t="shared" si="3"/>
        <v>0.18928067700987317</v>
      </c>
      <c r="I11" s="13">
        <v>1407840</v>
      </c>
      <c r="J11" s="16">
        <v>1914460</v>
      </c>
      <c r="K11" s="29">
        <f t="shared" si="4"/>
        <v>0.3598562336629163</v>
      </c>
      <c r="L11" s="13">
        <v>1395890</v>
      </c>
      <c r="M11" s="16">
        <v>1265530</v>
      </c>
      <c r="N11" s="29">
        <f t="shared" si="5"/>
        <v>-9.3388447513772621E-2</v>
      </c>
      <c r="O11" s="13">
        <v>1016526</v>
      </c>
      <c r="P11" s="17">
        <v>2382600</v>
      </c>
      <c r="Q11" s="29">
        <f t="shared" si="6"/>
        <v>1.3438652823439834</v>
      </c>
      <c r="R11" s="26">
        <v>966372</v>
      </c>
      <c r="S11" s="15">
        <v>1261120</v>
      </c>
      <c r="T11" s="29">
        <f t="shared" si="7"/>
        <v>0.30500469798379926</v>
      </c>
      <c r="U11" s="14">
        <v>899000</v>
      </c>
      <c r="V11" s="15">
        <v>1162610</v>
      </c>
      <c r="W11" s="29">
        <f t="shared" si="8"/>
        <v>0.29322580645161289</v>
      </c>
      <c r="X11" s="27">
        <f t="shared" si="0"/>
        <v>8673813</v>
      </c>
      <c r="Y11" s="28">
        <f t="shared" si="1"/>
        <v>11615070</v>
      </c>
      <c r="Z11" s="29">
        <f t="shared" si="9"/>
        <v>0.33909619679372849</v>
      </c>
    </row>
    <row r="12" spans="1:26" x14ac:dyDescent="0.3">
      <c r="A12" s="32" t="s">
        <v>11</v>
      </c>
      <c r="B12" s="6">
        <v>1172400</v>
      </c>
      <c r="C12" s="1">
        <v>1676950</v>
      </c>
      <c r="D12" s="57"/>
      <c r="E12" s="29">
        <f t="shared" si="2"/>
        <v>0.43035653360627779</v>
      </c>
      <c r="F12" s="6">
        <v>1053550</v>
      </c>
      <c r="G12" s="16">
        <v>1844199</v>
      </c>
      <c r="H12" s="29">
        <f t="shared" si="3"/>
        <v>0.75046177210383935</v>
      </c>
      <c r="I12" s="13">
        <v>1376050</v>
      </c>
      <c r="J12" s="16">
        <v>2293799</v>
      </c>
      <c r="K12" s="29">
        <f t="shared" si="4"/>
        <v>0.66694451509756192</v>
      </c>
      <c r="L12" s="13">
        <v>1444024</v>
      </c>
      <c r="M12" s="16">
        <v>2665650</v>
      </c>
      <c r="N12" s="29">
        <f t="shared" si="5"/>
        <v>0.84598732431039925</v>
      </c>
      <c r="O12" s="13">
        <v>1328690</v>
      </c>
      <c r="P12" s="17">
        <v>3223050</v>
      </c>
      <c r="Q12" s="29">
        <f t="shared" si="6"/>
        <v>1.4257351225643302</v>
      </c>
      <c r="R12" s="26">
        <v>1715062</v>
      </c>
      <c r="S12" s="15">
        <v>3086750</v>
      </c>
      <c r="T12" s="29">
        <f t="shared" si="7"/>
        <v>0.79978916214107709</v>
      </c>
      <c r="U12" s="14">
        <v>1285100</v>
      </c>
      <c r="V12" s="15">
        <v>3240250</v>
      </c>
      <c r="W12" s="29">
        <f t="shared" si="8"/>
        <v>1.521399112909501</v>
      </c>
      <c r="X12" s="27">
        <f t="shared" si="0"/>
        <v>9374876</v>
      </c>
      <c r="Y12" s="28">
        <f t="shared" si="1"/>
        <v>18030648</v>
      </c>
      <c r="Z12" s="29">
        <f t="shared" si="9"/>
        <v>0.92329455877603084</v>
      </c>
    </row>
    <row r="13" spans="1:26" x14ac:dyDescent="0.3">
      <c r="A13" s="32" t="s">
        <v>5</v>
      </c>
      <c r="B13" s="6">
        <v>1488510</v>
      </c>
      <c r="C13" s="1">
        <v>2332550</v>
      </c>
      <c r="D13" s="57"/>
      <c r="E13" s="29">
        <f t="shared" si="2"/>
        <v>0.56703683549321138</v>
      </c>
      <c r="F13" s="6">
        <v>1376150</v>
      </c>
      <c r="G13" s="16">
        <v>3069140</v>
      </c>
      <c r="H13" s="29">
        <f t="shared" si="3"/>
        <v>1.2302365294480979</v>
      </c>
      <c r="I13" s="13">
        <v>1977240</v>
      </c>
      <c r="J13" s="16">
        <v>2477840</v>
      </c>
      <c r="K13" s="29">
        <f t="shared" si="4"/>
        <v>0.25318120207966666</v>
      </c>
      <c r="L13" s="13">
        <v>2323240</v>
      </c>
      <c r="M13" s="16">
        <v>3809495</v>
      </c>
      <c r="N13" s="29">
        <f t="shared" si="5"/>
        <v>0.63973373392331401</v>
      </c>
      <c r="O13" s="13">
        <v>2110790</v>
      </c>
      <c r="P13" s="17">
        <v>3683779</v>
      </c>
      <c r="Q13" s="29">
        <f t="shared" si="6"/>
        <v>0.74521340351242893</v>
      </c>
      <c r="R13" s="26">
        <v>1601272</v>
      </c>
      <c r="S13" s="15">
        <v>3311677</v>
      </c>
      <c r="T13" s="29">
        <f t="shared" si="7"/>
        <v>1.0681539426156208</v>
      </c>
      <c r="U13" s="14">
        <v>1325700</v>
      </c>
      <c r="V13" s="15">
        <v>3007230</v>
      </c>
      <c r="W13" s="29">
        <f t="shared" si="8"/>
        <v>1.268409142339896</v>
      </c>
      <c r="X13" s="27">
        <f t="shared" si="0"/>
        <v>12202902</v>
      </c>
      <c r="Y13" s="28">
        <f t="shared" si="1"/>
        <v>21691711</v>
      </c>
      <c r="Z13" s="29">
        <f t="shared" si="9"/>
        <v>0.77758626595542601</v>
      </c>
    </row>
    <row r="14" spans="1:26" x14ac:dyDescent="0.3">
      <c r="A14" s="32" t="s">
        <v>6</v>
      </c>
      <c r="B14" s="6">
        <v>2861990</v>
      </c>
      <c r="C14" s="1">
        <v>4601560</v>
      </c>
      <c r="D14" s="57"/>
      <c r="E14" s="29">
        <f t="shared" si="2"/>
        <v>0.60781833619264924</v>
      </c>
      <c r="F14" s="6">
        <v>3244260</v>
      </c>
      <c r="G14" s="16">
        <v>5105200</v>
      </c>
      <c r="H14" s="29">
        <f t="shared" si="3"/>
        <v>0.57361000659626549</v>
      </c>
      <c r="I14" s="13">
        <v>1771600</v>
      </c>
      <c r="J14" s="16">
        <v>5158406</v>
      </c>
      <c r="K14" s="29">
        <f t="shared" si="4"/>
        <v>1.9117216075863626</v>
      </c>
      <c r="L14" s="13">
        <v>2153320</v>
      </c>
      <c r="M14" s="16">
        <v>7501625</v>
      </c>
      <c r="N14" s="29">
        <f t="shared" si="5"/>
        <v>2.4837483513829808</v>
      </c>
      <c r="O14" s="13">
        <v>1591160</v>
      </c>
      <c r="P14" s="17">
        <v>7010250</v>
      </c>
      <c r="Q14" s="29">
        <f t="shared" si="6"/>
        <v>3.4057480077427789</v>
      </c>
      <c r="R14" s="26">
        <v>2319459</v>
      </c>
      <c r="S14" s="15">
        <v>6887510</v>
      </c>
      <c r="T14" s="29">
        <f t="shared" si="7"/>
        <v>1.9694467546095877</v>
      </c>
      <c r="U14" s="14">
        <v>1754272</v>
      </c>
      <c r="V14" s="15">
        <v>6539325</v>
      </c>
      <c r="W14" s="29">
        <f t="shared" si="8"/>
        <v>2.7276573986246149</v>
      </c>
      <c r="X14" s="27">
        <f t="shared" si="0"/>
        <v>15696061</v>
      </c>
      <c r="Y14" s="28">
        <f t="shared" si="1"/>
        <v>42803876</v>
      </c>
      <c r="Z14" s="29">
        <f t="shared" si="9"/>
        <v>1.7270457218534001</v>
      </c>
    </row>
    <row r="15" spans="1:26" x14ac:dyDescent="0.3">
      <c r="A15" s="32" t="s">
        <v>9</v>
      </c>
      <c r="B15" s="6">
        <v>1072730</v>
      </c>
      <c r="C15" s="1">
        <v>1294650</v>
      </c>
      <c r="D15" s="57"/>
      <c r="E15" s="29">
        <f t="shared" si="2"/>
        <v>0.20687405032021111</v>
      </c>
      <c r="F15" s="6">
        <v>1075860</v>
      </c>
      <c r="G15" s="16">
        <v>1650100</v>
      </c>
      <c r="H15" s="29">
        <f t="shared" si="3"/>
        <v>0.53374974439053413</v>
      </c>
      <c r="I15" s="13">
        <v>1202000</v>
      </c>
      <c r="J15" s="16">
        <v>1278250</v>
      </c>
      <c r="K15" s="29">
        <f t="shared" si="4"/>
        <v>6.3435940099833665E-2</v>
      </c>
      <c r="L15" s="13">
        <v>891700</v>
      </c>
      <c r="M15" s="16">
        <v>1725760</v>
      </c>
      <c r="N15" s="29">
        <f t="shared" si="5"/>
        <v>0.93535942581585729</v>
      </c>
      <c r="O15" s="13">
        <v>887650</v>
      </c>
      <c r="P15" s="17">
        <v>1758840</v>
      </c>
      <c r="Q15" s="29">
        <f t="shared" si="6"/>
        <v>0.98145665521320336</v>
      </c>
      <c r="R15" s="26">
        <v>1177574</v>
      </c>
      <c r="S15" s="15">
        <v>1556110</v>
      </c>
      <c r="T15" s="29">
        <f t="shared" si="7"/>
        <v>0.32145410819192688</v>
      </c>
      <c r="U15" s="14">
        <v>929610</v>
      </c>
      <c r="V15" s="15">
        <v>1028450</v>
      </c>
      <c r="W15" s="29">
        <f t="shared" si="8"/>
        <v>0.10632415744236834</v>
      </c>
      <c r="X15" s="27">
        <f t="shared" si="0"/>
        <v>7237124</v>
      </c>
      <c r="Y15" s="28">
        <f t="shared" si="1"/>
        <v>10292160</v>
      </c>
      <c r="Z15" s="29">
        <f t="shared" si="9"/>
        <v>0.42213398582088679</v>
      </c>
    </row>
    <row r="16" spans="1:26" x14ac:dyDescent="0.3">
      <c r="A16" s="32" t="s">
        <v>12</v>
      </c>
      <c r="B16" s="6">
        <v>416620</v>
      </c>
      <c r="C16" s="1">
        <v>918500</v>
      </c>
      <c r="D16" s="57"/>
      <c r="E16" s="29">
        <f t="shared" si="2"/>
        <v>1.2046469204550911</v>
      </c>
      <c r="F16" s="6">
        <v>424400</v>
      </c>
      <c r="G16" s="16">
        <v>972200</v>
      </c>
      <c r="H16" s="29">
        <f t="shared" si="3"/>
        <v>1.2907634307257303</v>
      </c>
      <c r="I16" s="13">
        <v>574640</v>
      </c>
      <c r="J16" s="16">
        <v>762200</v>
      </c>
      <c r="K16" s="29">
        <f t="shared" si="4"/>
        <v>0.32639565641097024</v>
      </c>
      <c r="L16" s="13">
        <v>300450</v>
      </c>
      <c r="M16" s="16">
        <v>852700</v>
      </c>
      <c r="N16" s="29">
        <f t="shared" si="5"/>
        <v>1.8380762190048259</v>
      </c>
      <c r="O16" s="13">
        <v>894980</v>
      </c>
      <c r="P16" s="17">
        <v>1376300</v>
      </c>
      <c r="Q16" s="29">
        <f t="shared" si="6"/>
        <v>0.53779972736820936</v>
      </c>
      <c r="R16" s="26">
        <v>653530</v>
      </c>
      <c r="S16" s="15">
        <v>1536450</v>
      </c>
      <c r="T16" s="29">
        <f t="shared" si="7"/>
        <v>1.3510014842470888</v>
      </c>
      <c r="U16" s="14">
        <v>793120</v>
      </c>
      <c r="V16" s="15">
        <v>1432100</v>
      </c>
      <c r="W16" s="29">
        <f t="shared" si="8"/>
        <v>0.80565362114181971</v>
      </c>
      <c r="X16" s="27">
        <f t="shared" si="0"/>
        <v>4057740</v>
      </c>
      <c r="Y16" s="28">
        <f t="shared" si="1"/>
        <v>7850450</v>
      </c>
      <c r="Z16" s="29">
        <f t="shared" si="9"/>
        <v>0.93468531744271433</v>
      </c>
    </row>
    <row r="17" spans="1:26" x14ac:dyDescent="0.3">
      <c r="A17" s="32" t="s">
        <v>103</v>
      </c>
      <c r="B17" s="6">
        <v>1635709</v>
      </c>
      <c r="C17" s="1">
        <v>2081050</v>
      </c>
      <c r="D17" s="57"/>
      <c r="E17" s="29">
        <f t="shared" si="2"/>
        <v>0.27226175316025047</v>
      </c>
      <c r="F17" s="6">
        <v>2434125</v>
      </c>
      <c r="G17" s="16">
        <v>1692550</v>
      </c>
      <c r="H17" s="29">
        <f t="shared" si="3"/>
        <v>-0.30465773121758333</v>
      </c>
      <c r="I17" s="13">
        <v>2508303</v>
      </c>
      <c r="J17" s="16">
        <v>2144670</v>
      </c>
      <c r="K17" s="29">
        <f t="shared" si="4"/>
        <v>-0.1449717199237891</v>
      </c>
      <c r="L17" s="13">
        <v>2044459</v>
      </c>
      <c r="M17" s="16">
        <v>1805630</v>
      </c>
      <c r="N17" s="29">
        <f t="shared" si="5"/>
        <v>-0.11681770091745547</v>
      </c>
      <c r="O17" s="13">
        <v>2647530</v>
      </c>
      <c r="P17" s="17">
        <v>1581140</v>
      </c>
      <c r="Q17" s="29">
        <f t="shared" si="6"/>
        <v>-0.4027867484032287</v>
      </c>
      <c r="R17" s="26">
        <v>1705636</v>
      </c>
      <c r="S17" s="15">
        <v>1240890</v>
      </c>
      <c r="T17" s="29">
        <f t="shared" si="7"/>
        <v>-0.27247665973279178</v>
      </c>
      <c r="U17" s="14">
        <v>1879717</v>
      </c>
      <c r="V17" s="15">
        <v>762221</v>
      </c>
      <c r="W17" s="29">
        <f t="shared" si="8"/>
        <v>-0.59450225752067998</v>
      </c>
      <c r="X17" s="27">
        <f t="shared" si="0"/>
        <v>14855479</v>
      </c>
      <c r="Y17" s="28">
        <f t="shared" si="1"/>
        <v>11308151</v>
      </c>
      <c r="Z17" s="29">
        <f t="shared" si="9"/>
        <v>-0.23878920363321843</v>
      </c>
    </row>
    <row r="18" spans="1:26" x14ac:dyDescent="0.3">
      <c r="A18" s="32" t="s">
        <v>23</v>
      </c>
      <c r="B18" s="10">
        <v>0</v>
      </c>
      <c r="C18" s="8">
        <v>0</v>
      </c>
      <c r="D18" s="58"/>
      <c r="E18" s="35">
        <v>0</v>
      </c>
      <c r="F18" s="10">
        <v>0</v>
      </c>
      <c r="G18" s="8">
        <v>0</v>
      </c>
      <c r="H18" s="35">
        <v>0</v>
      </c>
      <c r="I18" s="10">
        <v>0</v>
      </c>
      <c r="J18" s="8">
        <v>0</v>
      </c>
      <c r="K18" s="35">
        <v>0</v>
      </c>
      <c r="L18" s="10">
        <v>0</v>
      </c>
      <c r="M18" s="8">
        <v>0</v>
      </c>
      <c r="N18" s="35">
        <v>0</v>
      </c>
      <c r="O18" s="10">
        <v>0</v>
      </c>
      <c r="P18" s="17">
        <v>1281600</v>
      </c>
      <c r="Q18" s="37">
        <v>0</v>
      </c>
      <c r="R18" s="10">
        <v>0</v>
      </c>
      <c r="S18" s="15">
        <v>1303600</v>
      </c>
      <c r="T18" s="37">
        <v>0</v>
      </c>
      <c r="U18" s="30">
        <v>0</v>
      </c>
      <c r="V18" s="15">
        <v>1629200</v>
      </c>
      <c r="W18" s="37">
        <v>0</v>
      </c>
      <c r="X18" s="30">
        <v>0</v>
      </c>
      <c r="Y18" s="28">
        <f>C18+G18+J18+M18+P18+S18+V18</f>
        <v>4214400</v>
      </c>
      <c r="Z18" s="22">
        <v>0</v>
      </c>
    </row>
    <row r="19" spans="1:26" x14ac:dyDescent="0.3">
      <c r="A19" s="33" t="s">
        <v>33</v>
      </c>
      <c r="B19" s="6">
        <v>688115</v>
      </c>
      <c r="C19" s="18">
        <v>0</v>
      </c>
      <c r="D19" s="59"/>
      <c r="E19" s="36">
        <v>0</v>
      </c>
      <c r="F19" s="6">
        <v>1036670</v>
      </c>
      <c r="G19" s="18">
        <v>0</v>
      </c>
      <c r="H19" s="36">
        <v>0</v>
      </c>
      <c r="I19" s="13">
        <v>1018040</v>
      </c>
      <c r="J19" s="18">
        <v>0</v>
      </c>
      <c r="K19" s="36">
        <v>0</v>
      </c>
      <c r="L19" s="13">
        <v>580690</v>
      </c>
      <c r="M19" s="18">
        <v>0</v>
      </c>
      <c r="N19" s="36">
        <v>0</v>
      </c>
      <c r="O19" s="13">
        <v>630330</v>
      </c>
      <c r="P19" s="18">
        <v>0</v>
      </c>
      <c r="Q19" s="36">
        <v>0</v>
      </c>
      <c r="R19" s="26">
        <v>541270</v>
      </c>
      <c r="S19" s="18">
        <v>0</v>
      </c>
      <c r="T19" s="36">
        <v>0</v>
      </c>
      <c r="U19" s="14">
        <v>1002850</v>
      </c>
      <c r="V19" s="18">
        <v>0</v>
      </c>
      <c r="W19" s="36">
        <v>0</v>
      </c>
      <c r="X19" s="27">
        <f>B19+F19+I19+L19+O19+R19+U19</f>
        <v>5497965</v>
      </c>
      <c r="Y19" s="28">
        <f>C19+G19+J19+M19+P19+S19+V19</f>
        <v>0</v>
      </c>
      <c r="Z19" s="22">
        <v>0</v>
      </c>
    </row>
    <row r="20" spans="1:26" ht="15" thickBot="1" x14ac:dyDescent="0.35">
      <c r="A20" s="34" t="s">
        <v>14</v>
      </c>
      <c r="B20" s="23">
        <f>SUM(B4:B19)</f>
        <v>26737575</v>
      </c>
      <c r="C20" s="24">
        <f>SUM(C4:C19)</f>
        <v>37226036</v>
      </c>
      <c r="D20" s="60"/>
      <c r="E20" s="25">
        <f t="shared" si="2"/>
        <v>0.39227420586945527</v>
      </c>
      <c r="F20" s="23">
        <f>SUM(F4:F19)</f>
        <v>30073321</v>
      </c>
      <c r="G20" s="24">
        <f>SUM(G4:G19)</f>
        <v>41746567</v>
      </c>
      <c r="H20" s="25">
        <f t="shared" si="3"/>
        <v>0.38815952518180485</v>
      </c>
      <c r="I20" s="23">
        <f>SUM(I4:I19)</f>
        <v>27902548</v>
      </c>
      <c r="J20" s="24">
        <f>SUM(J4:J19)</f>
        <v>44645420</v>
      </c>
      <c r="K20" s="25">
        <f t="shared" si="4"/>
        <v>0.60004813897282783</v>
      </c>
      <c r="L20" s="23">
        <f>SUM(L4:L19)</f>
        <v>25841927</v>
      </c>
      <c r="M20" s="24">
        <f>SUM(M4:M19)</f>
        <v>54191500</v>
      </c>
      <c r="N20" s="25">
        <f t="shared" si="5"/>
        <v>1.0970378873061595</v>
      </c>
      <c r="O20" s="23">
        <f>SUM(O4:O19)</f>
        <v>27715457</v>
      </c>
      <c r="P20" s="24">
        <f>SUM(P4:P19)</f>
        <v>57186828</v>
      </c>
      <c r="Q20" s="25">
        <f t="shared" si="6"/>
        <v>1.0633550440824409</v>
      </c>
      <c r="R20" s="23">
        <f>SUM(R4:R19)</f>
        <v>30452676</v>
      </c>
      <c r="S20" s="24">
        <f>SUM(S4:S19)</f>
        <v>52646757</v>
      </c>
      <c r="T20" s="25">
        <f t="shared" si="7"/>
        <v>0.72880560644325643</v>
      </c>
      <c r="U20" s="23">
        <f>SUM(U4:U19)</f>
        <v>25888139</v>
      </c>
      <c r="V20" s="24">
        <f>SUM(V4:V19)</f>
        <v>50871804</v>
      </c>
      <c r="W20" s="25">
        <f t="shared" si="8"/>
        <v>0.96506222405557995</v>
      </c>
      <c r="X20" s="23">
        <f>SUM(X4:X19)</f>
        <v>194611643</v>
      </c>
      <c r="Y20" s="24">
        <f>SUM(Y4:Y19)</f>
        <v>338514912</v>
      </c>
      <c r="Z20" s="25">
        <f t="shared" ref="Z20" si="10">IFERROR(Y20/X20-1,0)</f>
        <v>0.73943812806718867</v>
      </c>
    </row>
    <row r="21" spans="1:26" ht="15" thickBot="1" x14ac:dyDescent="0.35"/>
    <row r="22" spans="1:26" ht="15.6" x14ac:dyDescent="0.3">
      <c r="A22" s="45" t="s">
        <v>53</v>
      </c>
      <c r="B22" s="46" t="s">
        <v>0</v>
      </c>
      <c r="C22" s="46" t="s">
        <v>58</v>
      </c>
      <c r="D22" s="46"/>
      <c r="E22" s="46" t="s">
        <v>59</v>
      </c>
      <c r="F22" s="46" t="s">
        <v>60</v>
      </c>
      <c r="G22" s="46" t="s">
        <v>24</v>
      </c>
      <c r="H22" s="46" t="s">
        <v>25</v>
      </c>
      <c r="I22" s="46" t="s">
        <v>29</v>
      </c>
      <c r="J22" s="46" t="s">
        <v>45</v>
      </c>
      <c r="K22" s="46" t="s">
        <v>52</v>
      </c>
      <c r="L22" s="47" t="s">
        <v>54</v>
      </c>
      <c r="M22" s="55" t="s">
        <v>57</v>
      </c>
      <c r="N22" s="55"/>
    </row>
    <row r="23" spans="1:26" x14ac:dyDescent="0.3">
      <c r="A23" s="43">
        <v>2022</v>
      </c>
      <c r="B23" s="41">
        <v>26737575</v>
      </c>
      <c r="C23" s="41">
        <v>30073321</v>
      </c>
      <c r="D23" s="41"/>
      <c r="E23" s="41">
        <v>27902548</v>
      </c>
      <c r="F23" s="41">
        <v>25841927</v>
      </c>
      <c r="G23" s="41">
        <v>27715457</v>
      </c>
      <c r="H23" s="41">
        <v>30452676</v>
      </c>
      <c r="I23" s="41">
        <v>25888139</v>
      </c>
      <c r="J23" s="41">
        <v>28002876</v>
      </c>
      <c r="K23" s="41">
        <v>30171189</v>
      </c>
      <c r="L23" s="54">
        <v>27141744</v>
      </c>
      <c r="M23">
        <v>26788824</v>
      </c>
    </row>
    <row r="24" spans="1:26" ht="15" thickBot="1" x14ac:dyDescent="0.35">
      <c r="A24" s="44">
        <v>2023</v>
      </c>
      <c r="B24" s="42">
        <v>37226036</v>
      </c>
      <c r="C24" s="53">
        <v>41746567</v>
      </c>
      <c r="D24" s="53"/>
      <c r="E24" s="53">
        <v>44645420</v>
      </c>
      <c r="F24" s="53">
        <v>54191500</v>
      </c>
      <c r="G24" s="53">
        <v>57186828</v>
      </c>
      <c r="H24" s="53">
        <v>52646757</v>
      </c>
      <c r="I24" s="53">
        <v>50871804</v>
      </c>
      <c r="J24" s="53">
        <v>50057220</v>
      </c>
      <c r="K24" s="53">
        <v>54519181</v>
      </c>
      <c r="L24" s="53">
        <v>61645775</v>
      </c>
      <c r="M24">
        <v>59635666</v>
      </c>
    </row>
    <row r="26" spans="1:26" x14ac:dyDescent="0.3">
      <c r="A26" s="48"/>
      <c r="B26" s="49">
        <v>44652</v>
      </c>
      <c r="C26" s="49">
        <v>44682</v>
      </c>
      <c r="D26" s="49"/>
      <c r="E26" s="49">
        <v>44713</v>
      </c>
      <c r="F26" s="49">
        <v>44743</v>
      </c>
      <c r="G26" s="49">
        <v>44774</v>
      </c>
      <c r="H26" s="49">
        <v>44805</v>
      </c>
      <c r="I26" s="49">
        <v>44835</v>
      </c>
      <c r="J26" s="49">
        <v>44866</v>
      </c>
      <c r="K26" s="49">
        <v>44896</v>
      </c>
      <c r="L26" s="49">
        <v>44927</v>
      </c>
      <c r="M26" s="49">
        <v>44958</v>
      </c>
      <c r="N26" s="49">
        <v>44986</v>
      </c>
    </row>
    <row r="27" spans="1:26" x14ac:dyDescent="0.3">
      <c r="A27" s="50" t="s">
        <v>55</v>
      </c>
      <c r="B27" s="48">
        <v>320</v>
      </c>
      <c r="C27" s="48">
        <v>396</v>
      </c>
      <c r="D27" s="48"/>
      <c r="E27" s="48">
        <v>303</v>
      </c>
      <c r="F27" s="48">
        <v>159</v>
      </c>
      <c r="G27" s="48">
        <v>295</v>
      </c>
      <c r="H27" s="48">
        <v>449</v>
      </c>
      <c r="I27" s="48">
        <v>270</v>
      </c>
      <c r="J27" s="48">
        <v>400</v>
      </c>
      <c r="K27" s="48">
        <v>336</v>
      </c>
      <c r="L27" s="48">
        <v>363</v>
      </c>
      <c r="M27" s="48">
        <v>295</v>
      </c>
      <c r="N27" s="48">
        <v>417</v>
      </c>
    </row>
    <row r="28" spans="1:26" x14ac:dyDescent="0.3">
      <c r="A28" s="50" t="s">
        <v>56</v>
      </c>
      <c r="B28" s="50">
        <v>26737575</v>
      </c>
      <c r="C28" s="50">
        <v>30073321</v>
      </c>
      <c r="D28" s="50"/>
      <c r="E28" s="50">
        <v>27902548</v>
      </c>
      <c r="F28" s="50">
        <v>25841927</v>
      </c>
      <c r="G28" s="50">
        <v>27715457</v>
      </c>
      <c r="H28" s="50">
        <v>30452676</v>
      </c>
      <c r="I28" s="50">
        <v>25888139</v>
      </c>
      <c r="J28" s="50">
        <v>28002876</v>
      </c>
      <c r="K28" s="50">
        <v>30171189</v>
      </c>
      <c r="L28" s="50">
        <v>27141744</v>
      </c>
      <c r="M28" s="50">
        <v>26788824</v>
      </c>
      <c r="N28" s="50">
        <v>33374974</v>
      </c>
    </row>
    <row r="29" spans="1:26" ht="15" thickBot="1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26" ht="15.6" x14ac:dyDescent="0.3">
      <c r="A30" s="111" t="s">
        <v>70</v>
      </c>
      <c r="B30" s="392" t="s">
        <v>63</v>
      </c>
      <c r="C30" s="393"/>
      <c r="D30" s="394"/>
      <c r="E30" s="392" t="s">
        <v>64</v>
      </c>
      <c r="F30" s="393"/>
      <c r="G30" s="394"/>
    </row>
    <row r="31" spans="1:26" ht="15.6" x14ac:dyDescent="0.3">
      <c r="A31" s="112" t="s">
        <v>65</v>
      </c>
      <c r="B31" s="68" t="s">
        <v>61</v>
      </c>
      <c r="C31" s="65" t="s">
        <v>62</v>
      </c>
      <c r="D31" s="69" t="s">
        <v>2</v>
      </c>
      <c r="E31" s="68" t="s">
        <v>61</v>
      </c>
      <c r="F31" s="65" t="s">
        <v>62</v>
      </c>
      <c r="G31" s="69" t="s">
        <v>2</v>
      </c>
    </row>
    <row r="32" spans="1:26" ht="15.6" x14ac:dyDescent="0.3">
      <c r="A32" s="113" t="s">
        <v>75</v>
      </c>
      <c r="B32" s="70">
        <v>26737575</v>
      </c>
      <c r="C32" s="66">
        <v>37226036</v>
      </c>
      <c r="D32" s="71">
        <f>C32/B32-1</f>
        <v>0.39227420586945527</v>
      </c>
      <c r="E32" s="73">
        <v>320</v>
      </c>
      <c r="F32" s="67">
        <v>443</v>
      </c>
      <c r="G32" s="71">
        <f>F32/E32-1</f>
        <v>0.38437499999999991</v>
      </c>
    </row>
    <row r="33" spans="1:7" ht="15.6" x14ac:dyDescent="0.3">
      <c r="A33" s="113" t="s">
        <v>36</v>
      </c>
      <c r="B33" s="70">
        <v>30073321</v>
      </c>
      <c r="C33" s="66">
        <v>41746567</v>
      </c>
      <c r="D33" s="71">
        <f t="shared" ref="D33:D44" si="11">C33/B33-1</f>
        <v>0.38815952518180485</v>
      </c>
      <c r="E33" s="73">
        <v>396</v>
      </c>
      <c r="F33" s="67">
        <v>539</v>
      </c>
      <c r="G33" s="71">
        <f t="shared" ref="G33:G44" si="12">F33/E33-1</f>
        <v>0.36111111111111116</v>
      </c>
    </row>
    <row r="34" spans="1:7" ht="15.6" x14ac:dyDescent="0.3">
      <c r="A34" s="113" t="s">
        <v>76</v>
      </c>
      <c r="B34" s="70">
        <v>27902548</v>
      </c>
      <c r="C34" s="66">
        <v>44645420</v>
      </c>
      <c r="D34" s="71">
        <f t="shared" si="11"/>
        <v>0.60004813897282783</v>
      </c>
      <c r="E34" s="73">
        <v>303</v>
      </c>
      <c r="F34" s="67">
        <v>547</v>
      </c>
      <c r="G34" s="71">
        <f t="shared" si="12"/>
        <v>0.80528052805280526</v>
      </c>
    </row>
    <row r="35" spans="1:7" ht="15.6" x14ac:dyDescent="0.3">
      <c r="A35" s="113" t="s">
        <v>77</v>
      </c>
      <c r="B35" s="70">
        <v>25841927</v>
      </c>
      <c r="C35" s="66">
        <v>54191500</v>
      </c>
      <c r="D35" s="71">
        <f t="shared" si="11"/>
        <v>1.0970378873061595</v>
      </c>
      <c r="E35" s="73">
        <v>159</v>
      </c>
      <c r="F35" s="67">
        <v>527</v>
      </c>
      <c r="G35" s="71">
        <f t="shared" si="12"/>
        <v>2.3144654088050314</v>
      </c>
    </row>
    <row r="36" spans="1:7" ht="15.6" x14ac:dyDescent="0.3">
      <c r="A36" s="113" t="s">
        <v>78</v>
      </c>
      <c r="B36" s="70">
        <v>27715457</v>
      </c>
      <c r="C36" s="66">
        <v>57186828</v>
      </c>
      <c r="D36" s="71">
        <f t="shared" si="11"/>
        <v>1.0633550440824409</v>
      </c>
      <c r="E36" s="73">
        <v>295</v>
      </c>
      <c r="F36" s="67">
        <v>505</v>
      </c>
      <c r="G36" s="71">
        <f t="shared" si="12"/>
        <v>0.71186440677966112</v>
      </c>
    </row>
    <row r="37" spans="1:7" ht="15.6" x14ac:dyDescent="0.3">
      <c r="A37" s="113" t="s">
        <v>79</v>
      </c>
      <c r="B37" s="70">
        <v>30452676</v>
      </c>
      <c r="C37" s="66">
        <v>52646757</v>
      </c>
      <c r="D37" s="71">
        <f t="shared" si="11"/>
        <v>0.72880560644325643</v>
      </c>
      <c r="E37" s="73">
        <v>449</v>
      </c>
      <c r="F37" s="67">
        <v>382</v>
      </c>
      <c r="G37" s="71">
        <f t="shared" si="12"/>
        <v>-0.1492204899777283</v>
      </c>
    </row>
    <row r="38" spans="1:7" ht="15.6" x14ac:dyDescent="0.3">
      <c r="A38" s="113" t="s">
        <v>80</v>
      </c>
      <c r="B38" s="70">
        <v>25888139</v>
      </c>
      <c r="C38" s="66">
        <v>50871804</v>
      </c>
      <c r="D38" s="71">
        <f t="shared" si="11"/>
        <v>0.96506222405557995</v>
      </c>
      <c r="E38" s="73">
        <v>270</v>
      </c>
      <c r="F38" s="67">
        <v>389</v>
      </c>
      <c r="G38" s="71">
        <f t="shared" si="12"/>
        <v>0.44074074074074066</v>
      </c>
    </row>
    <row r="39" spans="1:7" ht="15.6" x14ac:dyDescent="0.3">
      <c r="A39" s="113" t="s">
        <v>81</v>
      </c>
      <c r="B39" s="70">
        <v>28002876</v>
      </c>
      <c r="C39" s="66">
        <v>50057220</v>
      </c>
      <c r="D39" s="71">
        <f t="shared" si="11"/>
        <v>0.78757424773084028</v>
      </c>
      <c r="E39" s="73">
        <v>400</v>
      </c>
      <c r="F39" s="67">
        <v>353</v>
      </c>
      <c r="G39" s="71">
        <f t="shared" si="12"/>
        <v>-0.11750000000000005</v>
      </c>
    </row>
    <row r="40" spans="1:7" ht="15.6" x14ac:dyDescent="0.3">
      <c r="A40" s="113" t="s">
        <v>82</v>
      </c>
      <c r="B40" s="70">
        <v>30171189</v>
      </c>
      <c r="C40" s="66">
        <v>54519181</v>
      </c>
      <c r="D40" s="71">
        <f t="shared" si="11"/>
        <v>0.80699477902577854</v>
      </c>
      <c r="E40" s="73">
        <v>336</v>
      </c>
      <c r="F40" s="67">
        <v>500</v>
      </c>
      <c r="G40" s="71">
        <f t="shared" si="12"/>
        <v>0.48809523809523814</v>
      </c>
    </row>
    <row r="41" spans="1:7" ht="15.6" x14ac:dyDescent="0.3">
      <c r="A41" s="113" t="s">
        <v>83</v>
      </c>
      <c r="B41" s="70">
        <v>27141744</v>
      </c>
      <c r="C41" s="66">
        <v>61645775</v>
      </c>
      <c r="D41" s="71">
        <f t="shared" si="11"/>
        <v>1.2712532768712284</v>
      </c>
      <c r="E41" s="73">
        <v>363</v>
      </c>
      <c r="F41" s="67">
        <v>567</v>
      </c>
      <c r="G41" s="71">
        <f t="shared" si="12"/>
        <v>0.56198347107438007</v>
      </c>
    </row>
    <row r="42" spans="1:7" ht="15.6" x14ac:dyDescent="0.3">
      <c r="A42" s="113" t="s">
        <v>84</v>
      </c>
      <c r="B42" s="70">
        <v>26788824</v>
      </c>
      <c r="C42" s="66">
        <v>59635666</v>
      </c>
      <c r="D42" s="71">
        <f t="shared" si="11"/>
        <v>1.2261397514127532</v>
      </c>
      <c r="E42" s="73">
        <v>295</v>
      </c>
      <c r="F42" s="67">
        <v>560</v>
      </c>
      <c r="G42" s="71">
        <f t="shared" si="12"/>
        <v>0.89830508474576276</v>
      </c>
    </row>
    <row r="43" spans="1:7" ht="15.6" x14ac:dyDescent="0.3">
      <c r="A43" s="113" t="s">
        <v>85</v>
      </c>
      <c r="B43" s="70">
        <v>33374974</v>
      </c>
      <c r="C43" s="66">
        <v>54462123</v>
      </c>
      <c r="D43" s="71">
        <f t="shared" si="11"/>
        <v>0.63182518134695775</v>
      </c>
      <c r="E43" s="73">
        <v>417</v>
      </c>
      <c r="F43" s="67">
        <v>495</v>
      </c>
      <c r="G43" s="71">
        <f t="shared" si="12"/>
        <v>0.18705035971223016</v>
      </c>
    </row>
    <row r="44" spans="1:7" ht="16.2" thickBot="1" x14ac:dyDescent="0.35">
      <c r="A44" s="114" t="s">
        <v>32</v>
      </c>
      <c r="B44" s="74">
        <f>SUM(B32:B43)</f>
        <v>340091250</v>
      </c>
      <c r="C44" s="75">
        <f>SUM(C32:C43)</f>
        <v>618834877</v>
      </c>
      <c r="D44" s="72">
        <f t="shared" si="11"/>
        <v>0.81961422706406006</v>
      </c>
      <c r="E44" s="76">
        <f>SUM(E32:E43)</f>
        <v>4003</v>
      </c>
      <c r="F44" s="77">
        <f>SUM(F32:F43)</f>
        <v>5807</v>
      </c>
      <c r="G44" s="72">
        <f t="shared" si="12"/>
        <v>0.45066200349737695</v>
      </c>
    </row>
  </sheetData>
  <mergeCells count="11">
    <mergeCell ref="B30:D30"/>
    <mergeCell ref="E30:G30"/>
    <mergeCell ref="U2:W2"/>
    <mergeCell ref="X2:Z2"/>
    <mergeCell ref="A1:Z1"/>
    <mergeCell ref="B2:E2"/>
    <mergeCell ref="F2:H2"/>
    <mergeCell ref="I2:K2"/>
    <mergeCell ref="L2:N2"/>
    <mergeCell ref="O2:Q2"/>
    <mergeCell ref="R2:T2"/>
  </mergeCells>
  <phoneticPr fontId="2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C6139A-EE01-4FFE-A4A6-A2C65C115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abv</vt:lpstr>
      <vt:lpstr>MT-MNT</vt:lpstr>
      <vt:lpstr>REVENUE</vt:lpstr>
      <vt:lpstr>2026-27</vt:lpstr>
      <vt:lpstr>TgtvsAch-CHC</vt:lpstr>
      <vt:lpstr>2025-26</vt:lpstr>
      <vt:lpstr>MT-MNT 2023-24</vt:lpstr>
      <vt:lpstr>2024-25</vt:lpstr>
      <vt:lpstr>2023-24</vt:lpstr>
      <vt:lpstr>Revenue2023-24</vt:lpstr>
      <vt:lpstr>2022-23</vt:lpstr>
      <vt:lpstr>YoY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Raka</cp:lastModifiedBy>
  <cp:lastPrinted>2026-04-07T07:22:00Z</cp:lastPrinted>
  <dcterms:created xsi:type="dcterms:W3CDTF">2023-08-26T12:46:34Z</dcterms:created>
  <dcterms:modified xsi:type="dcterms:W3CDTF">2026-08-05T06:06:55Z</dcterms:modified>
</cp:coreProperties>
</file>